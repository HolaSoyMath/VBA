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slicers/slicer3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E:\7. Posts LinkedIn\DashBoard\"/>
    </mc:Choice>
  </mc:AlternateContent>
  <xr:revisionPtr revIDLastSave="0" documentId="13_ncr:1_{C58C3B4F-B587-4F8E-9058-EF0ACA3D5CDC}" xr6:coauthVersionLast="47" xr6:coauthVersionMax="47" xr10:uidLastSave="{00000000-0000-0000-0000-000000000000}"/>
  <bookViews>
    <workbookView xWindow="20370" yWindow="-120" windowWidth="29040" windowHeight="15990" tabRatio="0" xr2:uid="{00000000-000D-0000-FFFF-FFFF00000000}"/>
  </bookViews>
  <sheets>
    <sheet name="DashBoard Vendas" sheetId="3" r:id="rId1"/>
    <sheet name="DBO Vendas" sheetId="1" state="hidden" r:id="rId2"/>
    <sheet name="Ven. Peso e Valor" sheetId="5" state="hidden" r:id="rId3"/>
    <sheet name="Ven. Mes" sheetId="7" state="hidden" r:id="rId4"/>
    <sheet name="TOP Compradores" sheetId="8" state="hidden" r:id="rId5"/>
    <sheet name="Auxiliar Vendas" sheetId="2" state="hidden" r:id="rId6"/>
    <sheet name="DashBoard Compras" sheetId="12" r:id="rId7"/>
    <sheet name="DBO Compras" sheetId="13" state="hidden" r:id="rId8"/>
    <sheet name="Com. Vlr" sheetId="18" state="hidden" r:id="rId9"/>
    <sheet name="Top 10 Compras" sheetId="20" state="hidden" r:id="rId10"/>
    <sheet name="Com. Mes" sheetId="21" state="hidden" r:id="rId11"/>
    <sheet name="Auxiliar Compras" sheetId="14" state="hidden" r:id="rId12"/>
    <sheet name="A pagar Semanal" sheetId="23" state="hidden" r:id="rId13"/>
    <sheet name="DashBoard Receber" sheetId="35" r:id="rId14"/>
    <sheet name="DBO Receber" sheetId="24" state="hidden" r:id="rId15"/>
    <sheet name="Prazo" sheetId="36" state="hidden" r:id="rId16"/>
    <sheet name="Auxiliar a Receber" sheetId="31" state="hidden" r:id="rId17"/>
  </sheets>
  <definedNames>
    <definedName name="_xlnm._FilterDatabase" localSheetId="12" hidden="1">'A pagar Semanal'!$A$1:$E$36</definedName>
    <definedName name="_xlnm._FilterDatabase" localSheetId="5" hidden="1">'Auxiliar Vendas'!$E$4:$G$36</definedName>
    <definedName name="_xlnm._FilterDatabase" localSheetId="7" hidden="1">'DBO Compras'!$A$1:$Q$161</definedName>
    <definedName name="_xlnm._FilterDatabase" localSheetId="14" hidden="1">'DBO Receber'!$A$1:$D$321</definedName>
    <definedName name="_xlnm._FilterDatabase" localSheetId="1" hidden="1">'DBO Vendas'!$A$1:$AJ$939</definedName>
    <definedName name="SegmentaçãodeDados_A_receber">#N/A</definedName>
    <definedName name="SegmentaçãodeDados_Ano">#N/A</definedName>
    <definedName name="SegmentaçãodeDados_ano1">#N/A</definedName>
    <definedName name="SegmentaçãodeDados_Anos2">#N/A</definedName>
    <definedName name="SegmentaçãodeDados_Atrasado">#N/A</definedName>
    <definedName name="SegmentaçãodeDados_Descrição_Resumida">#N/A</definedName>
    <definedName name="SegmentaçãodeDados_Descrição_Resumida1">#N/A</definedName>
    <definedName name="SegmentaçãodeDados_FORNECEDOR">#N/A</definedName>
    <definedName name="SegmentaçãodeDados_SEMANA">#N/A</definedName>
  </definedNames>
  <calcPr calcId="191029"/>
  <pivotCaches>
    <pivotCache cacheId="7" r:id="rId18"/>
    <pivotCache cacheId="8" r:id="rId19"/>
    <pivotCache cacheId="9" r:id="rId20"/>
    <pivotCache cacheId="10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3" l="1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2" i="2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2" i="1"/>
  <c r="AL2" i="1" s="1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14" i="2"/>
  <c r="J6" i="2"/>
  <c r="J7" i="2"/>
  <c r="J8" i="2"/>
  <c r="J9" i="2"/>
  <c r="J10" i="2"/>
  <c r="J11" i="2"/>
  <c r="J12" i="2"/>
  <c r="J13" i="2"/>
  <c r="J5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2" i="1"/>
  <c r="AB3" i="13"/>
  <c r="AB4" i="13"/>
  <c r="L65" i="13" s="1"/>
  <c r="AB5" i="13"/>
  <c r="AB6" i="13"/>
  <c r="L78" i="13" s="1"/>
  <c r="R78" i="13" s="1"/>
  <c r="AB7" i="13"/>
  <c r="AB8" i="13"/>
  <c r="L84" i="13" s="1"/>
  <c r="T84" i="13" s="1"/>
  <c r="U84" i="13" s="1"/>
  <c r="AB9" i="13"/>
  <c r="AB10" i="13"/>
  <c r="L74" i="13" s="1"/>
  <c r="T74" i="13" s="1"/>
  <c r="U74" i="13" s="1"/>
  <c r="AB2" i="13"/>
  <c r="AC3" i="13"/>
  <c r="AC4" i="13"/>
  <c r="AC5" i="13"/>
  <c r="AC6" i="13"/>
  <c r="E23" i="13" s="1"/>
  <c r="AC7" i="13"/>
  <c r="AC8" i="13"/>
  <c r="AC9" i="13"/>
  <c r="AC10" i="13"/>
  <c r="E8" i="13" s="1"/>
  <c r="AC2" i="13"/>
  <c r="E6" i="13"/>
  <c r="E3" i="13"/>
  <c r="E7" i="13"/>
  <c r="E9" i="13"/>
  <c r="E10" i="13"/>
  <c r="E11" i="13"/>
  <c r="E12" i="13"/>
  <c r="E13" i="13"/>
  <c r="E14" i="13"/>
  <c r="E15" i="13"/>
  <c r="E17" i="13"/>
  <c r="E19" i="13"/>
  <c r="E20" i="13"/>
  <c r="E22" i="13"/>
  <c r="E24" i="13"/>
  <c r="E25" i="13"/>
  <c r="E30" i="13"/>
  <c r="E31" i="13"/>
  <c r="E33" i="13"/>
  <c r="E34" i="13"/>
  <c r="E35" i="13"/>
  <c r="E36" i="13"/>
  <c r="E37" i="13"/>
  <c r="E41" i="13"/>
  <c r="E42" i="13"/>
  <c r="E45" i="13"/>
  <c r="E46" i="13"/>
  <c r="E48" i="13"/>
  <c r="E49" i="13"/>
  <c r="E50" i="13"/>
  <c r="E51" i="13"/>
  <c r="E52" i="13"/>
  <c r="E53" i="13"/>
  <c r="E57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5" i="13"/>
  <c r="E76" i="13"/>
  <c r="E78" i="13"/>
  <c r="E80" i="13"/>
  <c r="E81" i="13"/>
  <c r="E82" i="13"/>
  <c r="E83" i="13"/>
  <c r="E85" i="13"/>
  <c r="E86" i="13"/>
  <c r="E87" i="13"/>
  <c r="E88" i="13"/>
  <c r="E89" i="13"/>
  <c r="E90" i="13"/>
  <c r="E91" i="13"/>
  <c r="E92" i="13"/>
  <c r="E93" i="13"/>
  <c r="E94" i="13"/>
  <c r="E95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10" i="13"/>
  <c r="E111" i="13"/>
  <c r="E112" i="13"/>
  <c r="E117" i="13"/>
  <c r="E118" i="13"/>
  <c r="E119" i="13"/>
  <c r="E120" i="13"/>
  <c r="E122" i="13"/>
  <c r="E123" i="13"/>
  <c r="E125" i="13"/>
  <c r="E126" i="13"/>
  <c r="E128" i="13"/>
  <c r="E129" i="13"/>
  <c r="E130" i="13"/>
  <c r="E131" i="13"/>
  <c r="E132" i="13"/>
  <c r="E133" i="13"/>
  <c r="E134" i="13"/>
  <c r="E135" i="13"/>
  <c r="E136" i="13"/>
  <c r="E137" i="13"/>
  <c r="E138" i="13"/>
  <c r="E141" i="13"/>
  <c r="E142" i="13"/>
  <c r="E144" i="13"/>
  <c r="E145" i="13"/>
  <c r="E146" i="13"/>
  <c r="E147" i="13"/>
  <c r="E148" i="13"/>
  <c r="E151" i="13"/>
  <c r="E152" i="13"/>
  <c r="E154" i="13"/>
  <c r="E155" i="13"/>
  <c r="E156" i="13"/>
  <c r="E157" i="13"/>
  <c r="E158" i="13"/>
  <c r="E160" i="13"/>
  <c r="E161" i="13"/>
  <c r="AC18" i="13"/>
  <c r="AC19" i="13"/>
  <c r="AC20" i="13"/>
  <c r="AC21" i="13"/>
  <c r="E74" i="13"/>
  <c r="E16" i="13"/>
  <c r="L25" i="13"/>
  <c r="E140" i="13"/>
  <c r="E39" i="13"/>
  <c r="E18" i="13"/>
  <c r="L83" i="13"/>
  <c r="E54" i="13"/>
  <c r="E109" i="13"/>
  <c r="AB11" i="13"/>
  <c r="AC11" i="13"/>
  <c r="AB12" i="13"/>
  <c r="AC12" i="13"/>
  <c r="AB13" i="13"/>
  <c r="AC13" i="13"/>
  <c r="AB14" i="13"/>
  <c r="AC14" i="13"/>
  <c r="AB15" i="13"/>
  <c r="AC15" i="13"/>
  <c r="AB16" i="13"/>
  <c r="AC16" i="13"/>
  <c r="AB17" i="13"/>
  <c r="AC17" i="13"/>
  <c r="L8" i="13"/>
  <c r="L63" i="13"/>
  <c r="L66" i="13"/>
  <c r="R66" i="13" s="1"/>
  <c r="L67" i="13"/>
  <c r="T67" i="13" s="1"/>
  <c r="U67" i="13" s="1"/>
  <c r="L68" i="13"/>
  <c r="R68" i="13" s="1"/>
  <c r="L69" i="13"/>
  <c r="L70" i="13"/>
  <c r="R70" i="13" s="1"/>
  <c r="L71" i="13"/>
  <c r="S71" i="13" s="1"/>
  <c r="V71" i="13" s="1"/>
  <c r="L72" i="13"/>
  <c r="L75" i="13"/>
  <c r="R75" i="13" s="1"/>
  <c r="L77" i="13"/>
  <c r="L79" i="13"/>
  <c r="L80" i="13"/>
  <c r="R80" i="13" s="1"/>
  <c r="L82" i="13"/>
  <c r="S82" i="13" s="1"/>
  <c r="L85" i="13"/>
  <c r="L87" i="13"/>
  <c r="S87" i="13" s="1"/>
  <c r="V87" i="13" s="1"/>
  <c r="L88" i="13"/>
  <c r="T88" i="13" s="1"/>
  <c r="U88" i="13" s="1"/>
  <c r="L89" i="13"/>
  <c r="L90" i="13"/>
  <c r="S90" i="13" s="1"/>
  <c r="L91" i="13"/>
  <c r="L92" i="13"/>
  <c r="S92" i="13" s="1"/>
  <c r="L93" i="13"/>
  <c r="L94" i="13"/>
  <c r="T94" i="13" s="1"/>
  <c r="U94" i="13" s="1"/>
  <c r="L95" i="13"/>
  <c r="L96" i="13"/>
  <c r="R96" i="13" s="1"/>
  <c r="L97" i="13"/>
  <c r="L98" i="13"/>
  <c r="R98" i="13" s="1"/>
  <c r="L99" i="13"/>
  <c r="L100" i="13"/>
  <c r="L101" i="13"/>
  <c r="L102" i="13"/>
  <c r="R102" i="13" s="1"/>
  <c r="L104" i="13"/>
  <c r="T104" i="13" s="1"/>
  <c r="U104" i="13" s="1"/>
  <c r="L105" i="13"/>
  <c r="L106" i="13"/>
  <c r="R106" i="13" s="1"/>
  <c r="L107" i="13"/>
  <c r="L108" i="13"/>
  <c r="S108" i="13" s="1"/>
  <c r="L109" i="13"/>
  <c r="L110" i="13"/>
  <c r="S110" i="13" s="1"/>
  <c r="L111" i="13"/>
  <c r="L112" i="13"/>
  <c r="L113" i="13"/>
  <c r="L114" i="13"/>
  <c r="T114" i="13" s="1"/>
  <c r="U114" i="13" s="1"/>
  <c r="L117" i="13"/>
  <c r="L118" i="13"/>
  <c r="R118" i="13" s="1"/>
  <c r="L119" i="13"/>
  <c r="S119" i="13" s="1"/>
  <c r="L121" i="13"/>
  <c r="L122" i="13"/>
  <c r="S122" i="13" s="1"/>
  <c r="L123" i="13"/>
  <c r="R123" i="13" s="1"/>
  <c r="L126" i="13"/>
  <c r="T126" i="13" s="1"/>
  <c r="U126" i="13" s="1"/>
  <c r="L127" i="13"/>
  <c r="R127" i="13" s="1"/>
  <c r="L128" i="13"/>
  <c r="R128" i="13" s="1"/>
  <c r="L129" i="13"/>
  <c r="L130" i="13"/>
  <c r="R130" i="13" s="1"/>
  <c r="L131" i="13"/>
  <c r="T131" i="13" s="1"/>
  <c r="U131" i="13" s="1"/>
  <c r="L132" i="13"/>
  <c r="T132" i="13" s="1"/>
  <c r="U132" i="13" s="1"/>
  <c r="L133" i="13"/>
  <c r="L134" i="13"/>
  <c r="R134" i="13" s="1"/>
  <c r="L137" i="13"/>
  <c r="L138" i="13"/>
  <c r="R138" i="13" s="1"/>
  <c r="L139" i="13"/>
  <c r="R139" i="13" s="1"/>
  <c r="L140" i="13"/>
  <c r="S140" i="13" s="1"/>
  <c r="L141" i="13"/>
  <c r="L142" i="13"/>
  <c r="S142" i="13" s="1"/>
  <c r="L143" i="13"/>
  <c r="R143" i="13" s="1"/>
  <c r="L144" i="13"/>
  <c r="R144" i="13" s="1"/>
  <c r="L145" i="13"/>
  <c r="L147" i="13"/>
  <c r="T147" i="13" s="1"/>
  <c r="U147" i="13" s="1"/>
  <c r="L148" i="13"/>
  <c r="R148" i="13" s="1"/>
  <c r="L149" i="13"/>
  <c r="L152" i="13"/>
  <c r="T152" i="13" s="1"/>
  <c r="U152" i="13" s="1"/>
  <c r="L153" i="13"/>
  <c r="L154" i="13"/>
  <c r="S154" i="13" s="1"/>
  <c r="L155" i="13"/>
  <c r="R155" i="13" s="1"/>
  <c r="L156" i="13"/>
  <c r="S156" i="13" s="1"/>
  <c r="L157" i="13"/>
  <c r="L159" i="13"/>
  <c r="R159" i="13" s="1"/>
  <c r="L160" i="13"/>
  <c r="R160" i="13" s="1"/>
  <c r="L161" i="13"/>
  <c r="L4" i="13"/>
  <c r="L5" i="13"/>
  <c r="L7" i="13"/>
  <c r="R7" i="13" s="1"/>
  <c r="L9" i="13"/>
  <c r="S9" i="13" s="1"/>
  <c r="L10" i="13"/>
  <c r="L11" i="13"/>
  <c r="L12" i="13"/>
  <c r="L13" i="13"/>
  <c r="L15" i="13"/>
  <c r="L17" i="13"/>
  <c r="L18" i="13"/>
  <c r="L19" i="13"/>
  <c r="L20" i="13"/>
  <c r="L22" i="13"/>
  <c r="L23" i="13"/>
  <c r="L24" i="13"/>
  <c r="L27" i="13"/>
  <c r="L28" i="13"/>
  <c r="L29" i="13"/>
  <c r="L31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1" i="13"/>
  <c r="L52" i="13"/>
  <c r="L53" i="13"/>
  <c r="L54" i="13"/>
  <c r="L56" i="13"/>
  <c r="L57" i="13"/>
  <c r="L58" i="13"/>
  <c r="L60" i="13"/>
  <c r="L2" i="13"/>
  <c r="R2" i="13" s="1"/>
  <c r="E2" i="13"/>
  <c r="X65" i="13"/>
  <c r="X66" i="13"/>
  <c r="X69" i="13"/>
  <c r="X70" i="13"/>
  <c r="X74" i="13"/>
  <c r="X78" i="13"/>
  <c r="X81" i="13"/>
  <c r="X82" i="13"/>
  <c r="X85" i="13"/>
  <c r="X86" i="13"/>
  <c r="X90" i="13"/>
  <c r="X94" i="13"/>
  <c r="X97" i="13"/>
  <c r="X98" i="13"/>
  <c r="X101" i="13"/>
  <c r="X102" i="13"/>
  <c r="X106" i="13"/>
  <c r="X110" i="13"/>
  <c r="X113" i="13"/>
  <c r="X114" i="13"/>
  <c r="X117" i="13"/>
  <c r="X118" i="13"/>
  <c r="X122" i="13"/>
  <c r="X126" i="13"/>
  <c r="X129" i="13"/>
  <c r="X130" i="13"/>
  <c r="X133" i="13"/>
  <c r="X134" i="13"/>
  <c r="X138" i="13"/>
  <c r="X142" i="13"/>
  <c r="X145" i="13"/>
  <c r="X146" i="13"/>
  <c r="X149" i="13"/>
  <c r="X150" i="13"/>
  <c r="X154" i="13"/>
  <c r="X158" i="13"/>
  <c r="X1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X63" i="13"/>
  <c r="X64" i="13"/>
  <c r="X67" i="13"/>
  <c r="X68" i="13"/>
  <c r="X71" i="13"/>
  <c r="X72" i="13"/>
  <c r="X73" i="13"/>
  <c r="X75" i="13"/>
  <c r="X76" i="13"/>
  <c r="X77" i="13"/>
  <c r="X79" i="13"/>
  <c r="X80" i="13"/>
  <c r="X83" i="13"/>
  <c r="X84" i="13"/>
  <c r="X87" i="13"/>
  <c r="X88" i="13"/>
  <c r="X89" i="13"/>
  <c r="X91" i="13"/>
  <c r="X92" i="13"/>
  <c r="X93" i="13"/>
  <c r="X95" i="13"/>
  <c r="X96" i="13"/>
  <c r="X99" i="13"/>
  <c r="X100" i="13"/>
  <c r="X103" i="13"/>
  <c r="X104" i="13"/>
  <c r="X105" i="13"/>
  <c r="X107" i="13"/>
  <c r="X108" i="13"/>
  <c r="X109" i="13"/>
  <c r="X111" i="13"/>
  <c r="X112" i="13"/>
  <c r="X115" i="13"/>
  <c r="X116" i="13"/>
  <c r="X119" i="13"/>
  <c r="X120" i="13"/>
  <c r="X121" i="13"/>
  <c r="X123" i="13"/>
  <c r="X124" i="13"/>
  <c r="X125" i="13"/>
  <c r="X127" i="13"/>
  <c r="X128" i="13"/>
  <c r="X131" i="13"/>
  <c r="X132" i="13"/>
  <c r="X135" i="13"/>
  <c r="X136" i="13"/>
  <c r="X137" i="13"/>
  <c r="X139" i="13"/>
  <c r="X140" i="13"/>
  <c r="X141" i="13"/>
  <c r="X143" i="13"/>
  <c r="X144" i="13"/>
  <c r="X147" i="13"/>
  <c r="X148" i="13"/>
  <c r="X151" i="13"/>
  <c r="X152" i="13"/>
  <c r="X153" i="13"/>
  <c r="X155" i="13"/>
  <c r="X156" i="13"/>
  <c r="X157" i="13"/>
  <c r="X159" i="13"/>
  <c r="X160" i="13"/>
  <c r="O1" i="36"/>
  <c r="L32" i="13" l="1"/>
  <c r="L21" i="13"/>
  <c r="L151" i="13"/>
  <c r="S151" i="13" s="1"/>
  <c r="V151" i="13" s="1"/>
  <c r="L146" i="13"/>
  <c r="R146" i="13" s="1"/>
  <c r="L125" i="13"/>
  <c r="S125" i="13" s="1"/>
  <c r="V125" i="13" s="1"/>
  <c r="L120" i="13"/>
  <c r="T120" i="13" s="1"/>
  <c r="U120" i="13" s="1"/>
  <c r="L115" i="13"/>
  <c r="T115" i="13" s="1"/>
  <c r="U115" i="13" s="1"/>
  <c r="L103" i="13"/>
  <c r="R103" i="13" s="1"/>
  <c r="L76" i="13"/>
  <c r="S76" i="13" s="1"/>
  <c r="V76" i="13" s="1"/>
  <c r="L62" i="13"/>
  <c r="S62" i="13" s="1"/>
  <c r="V62" i="13" s="1"/>
  <c r="L61" i="13"/>
  <c r="L3" i="13"/>
  <c r="L136" i="13"/>
  <c r="T136" i="13" s="1"/>
  <c r="U136" i="13" s="1"/>
  <c r="E139" i="13"/>
  <c r="E40" i="13"/>
  <c r="E79" i="13"/>
  <c r="E96" i="13"/>
  <c r="E127" i="13"/>
  <c r="E28" i="13"/>
  <c r="L73" i="13"/>
  <c r="T73" i="13" s="1"/>
  <c r="U73" i="13" s="1"/>
  <c r="L64" i="13"/>
  <c r="R64" i="13" s="1"/>
  <c r="E114" i="13"/>
  <c r="L116" i="13"/>
  <c r="S116" i="13" s="1"/>
  <c r="V116" i="13" s="1"/>
  <c r="E113" i="13"/>
  <c r="E56" i="13"/>
  <c r="E150" i="13"/>
  <c r="E124" i="13"/>
  <c r="L158" i="13"/>
  <c r="S158" i="13" s="1"/>
  <c r="V158" i="13" s="1"/>
  <c r="E38" i="13"/>
  <c r="E21" i="13"/>
  <c r="E143" i="13"/>
  <c r="E84" i="13"/>
  <c r="E58" i="13"/>
  <c r="E115" i="13"/>
  <c r="E121" i="13"/>
  <c r="E153" i="13"/>
  <c r="E149" i="13"/>
  <c r="L14" i="13"/>
  <c r="L135" i="13"/>
  <c r="S135" i="13" s="1"/>
  <c r="V135" i="13" s="1"/>
  <c r="L86" i="13"/>
  <c r="T86" i="13" s="1"/>
  <c r="U86" i="13" s="1"/>
  <c r="E32" i="13"/>
  <c r="E44" i="13"/>
  <c r="E4" i="13"/>
  <c r="L150" i="13"/>
  <c r="R150" i="13" s="1"/>
  <c r="L30" i="13"/>
  <c r="E47" i="13"/>
  <c r="E43" i="13"/>
  <c r="E116" i="13"/>
  <c r="L26" i="13"/>
  <c r="E159" i="13"/>
  <c r="E77" i="13"/>
  <c r="E27" i="13"/>
  <c r="E5" i="13"/>
  <c r="E55" i="13"/>
  <c r="E26" i="13"/>
  <c r="E29" i="13"/>
  <c r="L59" i="13"/>
  <c r="L55" i="13"/>
  <c r="L81" i="13"/>
  <c r="R81" i="13" s="1"/>
  <c r="R107" i="13"/>
  <c r="R91" i="13"/>
  <c r="R63" i="13"/>
  <c r="T116" i="13"/>
  <c r="U116" i="13" s="1"/>
  <c r="R112" i="13"/>
  <c r="T100" i="13"/>
  <c r="U100" i="13" s="1"/>
  <c r="T72" i="13"/>
  <c r="U72" i="13" s="1"/>
  <c r="R111" i="13"/>
  <c r="T99" i="13"/>
  <c r="U99" i="13" s="1"/>
  <c r="R95" i="13"/>
  <c r="T83" i="13"/>
  <c r="U83" i="13" s="1"/>
  <c r="R79" i="13"/>
  <c r="L50" i="13"/>
  <c r="L6" i="13"/>
  <c r="L124" i="13"/>
  <c r="S124" i="13" s="1"/>
  <c r="V124" i="13" s="1"/>
  <c r="L16" i="13"/>
  <c r="R74" i="13"/>
  <c r="S67" i="13"/>
  <c r="V67" i="13" s="1"/>
  <c r="T111" i="13"/>
  <c r="U111" i="13" s="1"/>
  <c r="R119" i="13"/>
  <c r="T75" i="13"/>
  <c r="U75" i="13" s="1"/>
  <c r="R83" i="13"/>
  <c r="T107" i="13"/>
  <c r="U107" i="13" s="1"/>
  <c r="S159" i="13"/>
  <c r="V159" i="13" s="1"/>
  <c r="S111" i="13"/>
  <c r="V111" i="13" s="1"/>
  <c r="S63" i="13"/>
  <c r="V63" i="13" s="1"/>
  <c r="T91" i="13"/>
  <c r="U91" i="13" s="1"/>
  <c r="S147" i="13"/>
  <c r="V147" i="13" s="1"/>
  <c r="S95" i="13"/>
  <c r="V95" i="13" s="1"/>
  <c r="R99" i="13"/>
  <c r="R71" i="13"/>
  <c r="T123" i="13"/>
  <c r="U123" i="13" s="1"/>
  <c r="T79" i="13"/>
  <c r="U79" i="13" s="1"/>
  <c r="S131" i="13"/>
  <c r="V131" i="13" s="1"/>
  <c r="S83" i="13"/>
  <c r="V83" i="13" s="1"/>
  <c r="R87" i="13"/>
  <c r="R67" i="13"/>
  <c r="S84" i="13"/>
  <c r="V84" i="13" s="1"/>
  <c r="S100" i="13"/>
  <c r="V100" i="13" s="1"/>
  <c r="T143" i="13"/>
  <c r="U143" i="13" s="1"/>
  <c r="T95" i="13"/>
  <c r="U95" i="13" s="1"/>
  <c r="T63" i="13"/>
  <c r="U63" i="13" s="1"/>
  <c r="S127" i="13"/>
  <c r="V127" i="13" s="1"/>
  <c r="S99" i="13"/>
  <c r="V99" i="13" s="1"/>
  <c r="S79" i="13"/>
  <c r="V79" i="13" s="1"/>
  <c r="R147" i="13"/>
  <c r="T155" i="13"/>
  <c r="U155" i="13" s="1"/>
  <c r="S143" i="13"/>
  <c r="V143" i="13" s="1"/>
  <c r="R131" i="13"/>
  <c r="T134" i="13"/>
  <c r="U134" i="13" s="1"/>
  <c r="T70" i="13"/>
  <c r="U70" i="13" s="1"/>
  <c r="S98" i="13"/>
  <c r="V98" i="13" s="1"/>
  <c r="S138" i="13"/>
  <c r="V138" i="13" s="1"/>
  <c r="R88" i="13"/>
  <c r="R72" i="13"/>
  <c r="T112" i="13"/>
  <c r="U112" i="13" s="1"/>
  <c r="S106" i="13"/>
  <c r="V106" i="13" s="1"/>
  <c r="R126" i="13"/>
  <c r="T122" i="13"/>
  <c r="U122" i="13" s="1"/>
  <c r="T102" i="13"/>
  <c r="U102" i="13" s="1"/>
  <c r="R94" i="13"/>
  <c r="T130" i="13"/>
  <c r="U130" i="13" s="1"/>
  <c r="T118" i="13"/>
  <c r="U118" i="13" s="1"/>
  <c r="T110" i="13"/>
  <c r="U110" i="13" s="1"/>
  <c r="T98" i="13"/>
  <c r="U98" i="13" s="1"/>
  <c r="T90" i="13"/>
  <c r="U90" i="13" s="1"/>
  <c r="T78" i="13"/>
  <c r="U78" i="13" s="1"/>
  <c r="T66" i="13"/>
  <c r="U66" i="13" s="1"/>
  <c r="S134" i="13"/>
  <c r="V134" i="13" s="1"/>
  <c r="S126" i="13"/>
  <c r="V126" i="13" s="1"/>
  <c r="S114" i="13"/>
  <c r="V114" i="13" s="1"/>
  <c r="S102" i="13"/>
  <c r="V102" i="13" s="1"/>
  <c r="S78" i="13"/>
  <c r="V78" i="13" s="1"/>
  <c r="S66" i="13"/>
  <c r="V66" i="13" s="1"/>
  <c r="R154" i="13"/>
  <c r="R122" i="13"/>
  <c r="R114" i="13"/>
  <c r="R90" i="13"/>
  <c r="R82" i="13"/>
  <c r="T154" i="13"/>
  <c r="U154" i="13" s="1"/>
  <c r="T142" i="13"/>
  <c r="U142" i="13" s="1"/>
  <c r="S94" i="13"/>
  <c r="V94" i="13" s="1"/>
  <c r="S74" i="13"/>
  <c r="V74" i="13" s="1"/>
  <c r="R142" i="13"/>
  <c r="R110" i="13"/>
  <c r="T138" i="13"/>
  <c r="U138" i="13" s="1"/>
  <c r="T106" i="13"/>
  <c r="U106" i="13" s="1"/>
  <c r="T82" i="13"/>
  <c r="U82" i="13" s="1"/>
  <c r="S130" i="13"/>
  <c r="V130" i="13" s="1"/>
  <c r="S118" i="13"/>
  <c r="V118" i="13" s="1"/>
  <c r="S70" i="13"/>
  <c r="V70" i="13" s="1"/>
  <c r="T139" i="13"/>
  <c r="U139" i="13" s="1"/>
  <c r="T127" i="13"/>
  <c r="U127" i="13" s="1"/>
  <c r="T160" i="13"/>
  <c r="U160" i="13" s="1"/>
  <c r="T159" i="13"/>
  <c r="U159" i="13" s="1"/>
  <c r="S148" i="13"/>
  <c r="V148" i="13" s="1"/>
  <c r="T80" i="13"/>
  <c r="U80" i="13" s="1"/>
  <c r="R152" i="13"/>
  <c r="R104" i="13"/>
  <c r="T144" i="13"/>
  <c r="U144" i="13" s="1"/>
  <c r="T96" i="13"/>
  <c r="U96" i="13" s="1"/>
  <c r="S132" i="13"/>
  <c r="V132" i="13" s="1"/>
  <c r="S68" i="13"/>
  <c r="V68" i="13" s="1"/>
  <c r="V122" i="13"/>
  <c r="V156" i="13"/>
  <c r="V140" i="13"/>
  <c r="V108" i="13"/>
  <c r="V92" i="13"/>
  <c r="V154" i="13"/>
  <c r="V110" i="13"/>
  <c r="V90" i="13"/>
  <c r="V82" i="13"/>
  <c r="V119" i="13"/>
  <c r="V142" i="13"/>
  <c r="T128" i="13"/>
  <c r="U128" i="13" s="1"/>
  <c r="R136" i="13"/>
  <c r="T148" i="13"/>
  <c r="U148" i="13" s="1"/>
  <c r="T68" i="13"/>
  <c r="U68" i="13" s="1"/>
  <c r="S120" i="13"/>
  <c r="V120" i="13" s="1"/>
  <c r="S104" i="13"/>
  <c r="V104" i="13" s="1"/>
  <c r="S72" i="13"/>
  <c r="V72" i="13" s="1"/>
  <c r="R156" i="13"/>
  <c r="R140" i="13"/>
  <c r="R108" i="13"/>
  <c r="R92" i="13"/>
  <c r="T156" i="13"/>
  <c r="U156" i="13" s="1"/>
  <c r="T140" i="13"/>
  <c r="U140" i="13" s="1"/>
  <c r="T119" i="13"/>
  <c r="U119" i="13" s="1"/>
  <c r="T108" i="13"/>
  <c r="U108" i="13" s="1"/>
  <c r="T92" i="13"/>
  <c r="U92" i="13" s="1"/>
  <c r="T87" i="13"/>
  <c r="U87" i="13" s="1"/>
  <c r="T71" i="13"/>
  <c r="U71" i="13" s="1"/>
  <c r="S160" i="13"/>
  <c r="V160" i="13" s="1"/>
  <c r="S155" i="13"/>
  <c r="V155" i="13" s="1"/>
  <c r="S144" i="13"/>
  <c r="V144" i="13" s="1"/>
  <c r="S139" i="13"/>
  <c r="V139" i="13" s="1"/>
  <c r="S128" i="13"/>
  <c r="V128" i="13" s="1"/>
  <c r="S123" i="13"/>
  <c r="V123" i="13" s="1"/>
  <c r="S112" i="13"/>
  <c r="V112" i="13" s="1"/>
  <c r="S107" i="13"/>
  <c r="V107" i="13" s="1"/>
  <c r="S96" i="13"/>
  <c r="V96" i="13" s="1"/>
  <c r="S91" i="13"/>
  <c r="V91" i="13" s="1"/>
  <c r="S80" i="13"/>
  <c r="V80" i="13" s="1"/>
  <c r="S75" i="13"/>
  <c r="V75" i="13" s="1"/>
  <c r="R132" i="13"/>
  <c r="R100" i="13"/>
  <c r="R84" i="13"/>
  <c r="S152" i="13"/>
  <c r="V152" i="13" s="1"/>
  <c r="S88" i="13"/>
  <c r="V88" i="13" s="1"/>
  <c r="R161" i="13"/>
  <c r="S161" i="13"/>
  <c r="V161" i="13" s="1"/>
  <c r="T161" i="13"/>
  <c r="U161" i="13" s="1"/>
  <c r="R157" i="13"/>
  <c r="S157" i="13"/>
  <c r="V157" i="13" s="1"/>
  <c r="T157" i="13"/>
  <c r="U157" i="13" s="1"/>
  <c r="R153" i="13"/>
  <c r="S153" i="13"/>
  <c r="V153" i="13" s="1"/>
  <c r="T153" i="13"/>
  <c r="U153" i="13" s="1"/>
  <c r="R149" i="13"/>
  <c r="S149" i="13"/>
  <c r="V149" i="13" s="1"/>
  <c r="T149" i="13"/>
  <c r="U149" i="13" s="1"/>
  <c r="R145" i="13"/>
  <c r="S145" i="13"/>
  <c r="V145" i="13" s="1"/>
  <c r="T145" i="13"/>
  <c r="U145" i="13" s="1"/>
  <c r="R141" i="13"/>
  <c r="S141" i="13"/>
  <c r="V141" i="13" s="1"/>
  <c r="T141" i="13"/>
  <c r="U141" i="13" s="1"/>
  <c r="R137" i="13"/>
  <c r="S137" i="13"/>
  <c r="V137" i="13" s="1"/>
  <c r="T137" i="13"/>
  <c r="U137" i="13" s="1"/>
  <c r="R133" i="13"/>
  <c r="S133" i="13"/>
  <c r="V133" i="13" s="1"/>
  <c r="T133" i="13"/>
  <c r="U133" i="13" s="1"/>
  <c r="R129" i="13"/>
  <c r="S129" i="13"/>
  <c r="V129" i="13" s="1"/>
  <c r="T129" i="13"/>
  <c r="U129" i="13" s="1"/>
  <c r="R125" i="13"/>
  <c r="T125" i="13"/>
  <c r="U125" i="13" s="1"/>
  <c r="R121" i="13"/>
  <c r="S121" i="13"/>
  <c r="V121" i="13" s="1"/>
  <c r="T121" i="13"/>
  <c r="U121" i="13" s="1"/>
  <c r="R117" i="13"/>
  <c r="S117" i="13"/>
  <c r="V117" i="13" s="1"/>
  <c r="T117" i="13"/>
  <c r="U117" i="13" s="1"/>
  <c r="R113" i="13"/>
  <c r="S113" i="13"/>
  <c r="V113" i="13" s="1"/>
  <c r="T113" i="13"/>
  <c r="U113" i="13" s="1"/>
  <c r="R109" i="13"/>
  <c r="S109" i="13"/>
  <c r="V109" i="13" s="1"/>
  <c r="T109" i="13"/>
  <c r="U109" i="13" s="1"/>
  <c r="R105" i="13"/>
  <c r="S105" i="13"/>
  <c r="V105" i="13" s="1"/>
  <c r="T105" i="13"/>
  <c r="U105" i="13" s="1"/>
  <c r="R101" i="13"/>
  <c r="S101" i="13"/>
  <c r="V101" i="13" s="1"/>
  <c r="T101" i="13"/>
  <c r="U101" i="13" s="1"/>
  <c r="R97" i="13"/>
  <c r="S97" i="13"/>
  <c r="V97" i="13" s="1"/>
  <c r="T97" i="13"/>
  <c r="U97" i="13" s="1"/>
  <c r="R93" i="13"/>
  <c r="S93" i="13"/>
  <c r="V93" i="13" s="1"/>
  <c r="T93" i="13"/>
  <c r="U93" i="13" s="1"/>
  <c r="R89" i="13"/>
  <c r="S89" i="13"/>
  <c r="V89" i="13" s="1"/>
  <c r="T89" i="13"/>
  <c r="U89" i="13" s="1"/>
  <c r="R85" i="13"/>
  <c r="S85" i="13"/>
  <c r="V85" i="13" s="1"/>
  <c r="T85" i="13"/>
  <c r="U85" i="13" s="1"/>
  <c r="R77" i="13"/>
  <c r="S77" i="13"/>
  <c r="V77" i="13" s="1"/>
  <c r="T77" i="13"/>
  <c r="U77" i="13" s="1"/>
  <c r="R69" i="13"/>
  <c r="S69" i="13"/>
  <c r="V69" i="13" s="1"/>
  <c r="T69" i="13"/>
  <c r="U69" i="13" s="1"/>
  <c r="R65" i="13"/>
  <c r="S65" i="13"/>
  <c r="V65" i="13" s="1"/>
  <c r="T65" i="13"/>
  <c r="U65" i="13" s="1"/>
  <c r="X62" i="13"/>
  <c r="R151" i="13" l="1"/>
  <c r="R115" i="13"/>
  <c r="R120" i="13"/>
  <c r="T62" i="13"/>
  <c r="U62" i="13" s="1"/>
  <c r="R62" i="13"/>
  <c r="R116" i="13"/>
  <c r="T151" i="13"/>
  <c r="U151" i="13" s="1"/>
  <c r="S115" i="13"/>
  <c r="V115" i="13" s="1"/>
  <c r="T76" i="13"/>
  <c r="U76" i="13" s="1"/>
  <c r="R76" i="13"/>
  <c r="S136" i="13"/>
  <c r="V136" i="13" s="1"/>
  <c r="S64" i="13"/>
  <c r="V64" i="13" s="1"/>
  <c r="T64" i="13"/>
  <c r="U64" i="13" s="1"/>
  <c r="T135" i="13"/>
  <c r="U135" i="13" s="1"/>
  <c r="R135" i="13"/>
  <c r="T103" i="13"/>
  <c r="U103" i="13" s="1"/>
  <c r="S146" i="13"/>
  <c r="V146" i="13" s="1"/>
  <c r="T150" i="13"/>
  <c r="U150" i="13" s="1"/>
  <c r="S86" i="13"/>
  <c r="V86" i="13" s="1"/>
  <c r="R86" i="13"/>
  <c r="S103" i="13"/>
  <c r="V103" i="13" s="1"/>
  <c r="S73" i="13"/>
  <c r="V73" i="13" s="1"/>
  <c r="T146" i="13"/>
  <c r="U146" i="13" s="1"/>
  <c r="R73" i="13"/>
  <c r="S150" i="13"/>
  <c r="V150" i="13" s="1"/>
  <c r="T158" i="13"/>
  <c r="U158" i="13" s="1"/>
  <c r="R158" i="13"/>
  <c r="T81" i="13"/>
  <c r="U81" i="13" s="1"/>
  <c r="S81" i="13"/>
  <c r="V81" i="13" s="1"/>
  <c r="T124" i="13"/>
  <c r="U124" i="13" s="1"/>
  <c r="R124" i="13"/>
  <c r="R49" i="13" l="1"/>
  <c r="R50" i="13"/>
  <c r="R51" i="13"/>
  <c r="R52" i="13"/>
  <c r="R53" i="13"/>
  <c r="R54" i="13"/>
  <c r="R55" i="13"/>
  <c r="R56" i="13"/>
  <c r="R57" i="13"/>
  <c r="R58" i="13"/>
  <c r="R59" i="13"/>
  <c r="R60" i="13"/>
  <c r="R61" i="13"/>
  <c r="S49" i="13"/>
  <c r="V49" i="13" s="1"/>
  <c r="S50" i="13"/>
  <c r="V50" i="13" s="1"/>
  <c r="S51" i="13"/>
  <c r="V51" i="13" s="1"/>
  <c r="S52" i="13"/>
  <c r="V52" i="13" s="1"/>
  <c r="S53" i="13"/>
  <c r="V53" i="13" s="1"/>
  <c r="S54" i="13"/>
  <c r="V54" i="13" s="1"/>
  <c r="S55" i="13"/>
  <c r="V55" i="13" s="1"/>
  <c r="S56" i="13"/>
  <c r="V56" i="13" s="1"/>
  <c r="S57" i="13"/>
  <c r="V57" i="13" s="1"/>
  <c r="S58" i="13"/>
  <c r="V58" i="13" s="1"/>
  <c r="S59" i="13"/>
  <c r="V59" i="13" s="1"/>
  <c r="S60" i="13"/>
  <c r="V60" i="13" s="1"/>
  <c r="S61" i="13"/>
  <c r="V61" i="13" s="1"/>
  <c r="T49" i="13"/>
  <c r="U49" i="13" s="1"/>
  <c r="T50" i="13"/>
  <c r="U50" i="13" s="1"/>
  <c r="T51" i="13"/>
  <c r="U51" i="13" s="1"/>
  <c r="T52" i="13"/>
  <c r="U52" i="13" s="1"/>
  <c r="T53" i="13"/>
  <c r="U53" i="13" s="1"/>
  <c r="T54" i="13"/>
  <c r="U54" i="13" s="1"/>
  <c r="T55" i="13"/>
  <c r="U55" i="13" s="1"/>
  <c r="T56" i="13"/>
  <c r="U56" i="13" s="1"/>
  <c r="T57" i="13"/>
  <c r="U57" i="13" s="1"/>
  <c r="T58" i="13"/>
  <c r="U58" i="13" s="1"/>
  <c r="T59" i="13"/>
  <c r="U59" i="13" s="1"/>
  <c r="T60" i="13"/>
  <c r="U60" i="13" s="1"/>
  <c r="T61" i="13"/>
  <c r="U61" i="13" s="1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F1" i="18"/>
  <c r="R48" i="13" l="1"/>
  <c r="S48" i="13"/>
  <c r="V48" i="13" s="1"/>
  <c r="T48" i="13"/>
  <c r="U48" i="13" s="1"/>
  <c r="W48" i="13"/>
  <c r="X48" i="13"/>
  <c r="AK880" i="1" l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E1" i="31"/>
  <c r="E3" i="31" l="1"/>
  <c r="E2" i="31"/>
  <c r="X47" i="13"/>
  <c r="W47" i="13"/>
  <c r="T47" i="13"/>
  <c r="U47" i="13" s="1"/>
  <c r="S47" i="13"/>
  <c r="V47" i="13" s="1"/>
  <c r="R47" i="13"/>
  <c r="X46" i="13"/>
  <c r="W46" i="13"/>
  <c r="T46" i="13"/>
  <c r="U46" i="13" s="1"/>
  <c r="S46" i="13"/>
  <c r="V46" i="13" s="1"/>
  <c r="R46" i="13"/>
  <c r="X45" i="13"/>
  <c r="W45" i="13"/>
  <c r="T45" i="13"/>
  <c r="U45" i="13" s="1"/>
  <c r="S45" i="13"/>
  <c r="V45" i="13" s="1"/>
  <c r="R45" i="13"/>
  <c r="X44" i="13"/>
  <c r="W44" i="13"/>
  <c r="T44" i="13"/>
  <c r="U44" i="13" s="1"/>
  <c r="S44" i="13"/>
  <c r="V44" i="13" s="1"/>
  <c r="R44" i="13"/>
  <c r="X43" i="13"/>
  <c r="W43" i="13"/>
  <c r="T43" i="13"/>
  <c r="U43" i="13" s="1"/>
  <c r="S43" i="13"/>
  <c r="V43" i="13" s="1"/>
  <c r="R43" i="13"/>
  <c r="E4" i="31" l="1"/>
  <c r="X2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W2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B3" i="8"/>
  <c r="B4" i="8"/>
  <c r="B5" i="8"/>
  <c r="B6" i="8"/>
  <c r="B7" i="8"/>
  <c r="B8" i="8"/>
  <c r="B9" i="8"/>
  <c r="B10" i="8"/>
  <c r="B11" i="8"/>
  <c r="B2" i="8"/>
  <c r="C10" i="8"/>
  <c r="C11" i="8"/>
  <c r="C6" i="8"/>
  <c r="B2" i="5"/>
  <c r="C3" i="8"/>
  <c r="C9" i="8"/>
  <c r="C7" i="8"/>
  <c r="C4" i="8"/>
  <c r="C8" i="8"/>
  <c r="C2" i="8"/>
  <c r="C5" i="8"/>
  <c r="B3" i="5" l="1"/>
  <c r="H1" i="23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2" i="1"/>
  <c r="S3" i="13"/>
  <c r="V3" i="13" s="1"/>
  <c r="S4" i="13"/>
  <c r="V4" i="13" s="1"/>
  <c r="S5" i="13"/>
  <c r="V5" i="13" s="1"/>
  <c r="S6" i="13"/>
  <c r="V6" i="13" s="1"/>
  <c r="S7" i="13"/>
  <c r="V7" i="13" s="1"/>
  <c r="S8" i="13"/>
  <c r="V8" i="13" s="1"/>
  <c r="V9" i="13"/>
  <c r="S10" i="13"/>
  <c r="V10" i="13" s="1"/>
  <c r="S11" i="13"/>
  <c r="V11" i="13" s="1"/>
  <c r="S12" i="13"/>
  <c r="V12" i="13" s="1"/>
  <c r="S13" i="13"/>
  <c r="V13" i="13" s="1"/>
  <c r="S14" i="13"/>
  <c r="V14" i="13" s="1"/>
  <c r="S15" i="13"/>
  <c r="V15" i="13" s="1"/>
  <c r="S16" i="13"/>
  <c r="V16" i="13" s="1"/>
  <c r="S17" i="13"/>
  <c r="V17" i="13" s="1"/>
  <c r="S18" i="13"/>
  <c r="V18" i="13" s="1"/>
  <c r="S19" i="13"/>
  <c r="V19" i="13" s="1"/>
  <c r="S20" i="13"/>
  <c r="V20" i="13" s="1"/>
  <c r="S21" i="13"/>
  <c r="V21" i="13" s="1"/>
  <c r="S22" i="13"/>
  <c r="V22" i="13" s="1"/>
  <c r="S23" i="13"/>
  <c r="V23" i="13" s="1"/>
  <c r="S24" i="13"/>
  <c r="V24" i="13" s="1"/>
  <c r="S25" i="13"/>
  <c r="V25" i="13" s="1"/>
  <c r="S26" i="13"/>
  <c r="V26" i="13" s="1"/>
  <c r="S27" i="13"/>
  <c r="V27" i="13" s="1"/>
  <c r="S28" i="13"/>
  <c r="V28" i="13" s="1"/>
  <c r="S29" i="13"/>
  <c r="V29" i="13" s="1"/>
  <c r="S30" i="13"/>
  <c r="V30" i="13" s="1"/>
  <c r="S31" i="13"/>
  <c r="V31" i="13" s="1"/>
  <c r="S32" i="13"/>
  <c r="V32" i="13" s="1"/>
  <c r="S33" i="13"/>
  <c r="V33" i="13" s="1"/>
  <c r="S34" i="13"/>
  <c r="V34" i="13" s="1"/>
  <c r="S35" i="13"/>
  <c r="V35" i="13" s="1"/>
  <c r="S36" i="13"/>
  <c r="V36" i="13" s="1"/>
  <c r="S37" i="13"/>
  <c r="V37" i="13" s="1"/>
  <c r="S38" i="13"/>
  <c r="V38" i="13" s="1"/>
  <c r="S39" i="13"/>
  <c r="V39" i="13" s="1"/>
  <c r="S40" i="13"/>
  <c r="V40" i="13" s="1"/>
  <c r="S41" i="13"/>
  <c r="V41" i="13" s="1"/>
  <c r="S42" i="13"/>
  <c r="V42" i="13" s="1"/>
  <c r="S2" i="13"/>
  <c r="V2" i="13" s="1"/>
  <c r="T3" i="13"/>
  <c r="U3" i="13" s="1"/>
  <c r="T4" i="13"/>
  <c r="U4" i="13" s="1"/>
  <c r="T5" i="13"/>
  <c r="U5" i="13" s="1"/>
  <c r="T6" i="13"/>
  <c r="U6" i="13" s="1"/>
  <c r="T7" i="13"/>
  <c r="U7" i="13" s="1"/>
  <c r="T8" i="13"/>
  <c r="U8" i="13" s="1"/>
  <c r="T9" i="13"/>
  <c r="U9" i="13" s="1"/>
  <c r="T10" i="13"/>
  <c r="U10" i="13" s="1"/>
  <c r="T11" i="13"/>
  <c r="U11" i="13" s="1"/>
  <c r="T12" i="13"/>
  <c r="U12" i="13" s="1"/>
  <c r="T13" i="13"/>
  <c r="U13" i="13" s="1"/>
  <c r="T14" i="13"/>
  <c r="U14" i="13" s="1"/>
  <c r="T15" i="13"/>
  <c r="U15" i="13" s="1"/>
  <c r="T16" i="13"/>
  <c r="U16" i="13" s="1"/>
  <c r="T17" i="13"/>
  <c r="U17" i="13" s="1"/>
  <c r="T18" i="13"/>
  <c r="U18" i="13" s="1"/>
  <c r="T19" i="13"/>
  <c r="U19" i="13" s="1"/>
  <c r="T20" i="13"/>
  <c r="U20" i="13" s="1"/>
  <c r="T21" i="13"/>
  <c r="U21" i="13" s="1"/>
  <c r="T22" i="13"/>
  <c r="U22" i="13" s="1"/>
  <c r="T23" i="13"/>
  <c r="U23" i="13" s="1"/>
  <c r="T24" i="13"/>
  <c r="U24" i="13" s="1"/>
  <c r="T25" i="13"/>
  <c r="U25" i="13" s="1"/>
  <c r="T26" i="13"/>
  <c r="U26" i="13" s="1"/>
  <c r="T27" i="13"/>
  <c r="U27" i="13" s="1"/>
  <c r="T28" i="13"/>
  <c r="U28" i="13" s="1"/>
  <c r="T29" i="13"/>
  <c r="U29" i="13" s="1"/>
  <c r="T30" i="13"/>
  <c r="U30" i="13" s="1"/>
  <c r="T31" i="13"/>
  <c r="U31" i="13" s="1"/>
  <c r="T32" i="13"/>
  <c r="U32" i="13" s="1"/>
  <c r="T33" i="13"/>
  <c r="U33" i="13" s="1"/>
  <c r="T34" i="13"/>
  <c r="U34" i="13" s="1"/>
  <c r="T35" i="13"/>
  <c r="U35" i="13" s="1"/>
  <c r="T36" i="13"/>
  <c r="U36" i="13" s="1"/>
  <c r="T37" i="13"/>
  <c r="U37" i="13" s="1"/>
  <c r="T38" i="13"/>
  <c r="U38" i="13" s="1"/>
  <c r="T39" i="13"/>
  <c r="U39" i="13" s="1"/>
  <c r="T40" i="13"/>
  <c r="U40" i="13" s="1"/>
  <c r="T41" i="13"/>
  <c r="U41" i="13" s="1"/>
  <c r="T42" i="13"/>
  <c r="U42" i="13" s="1"/>
  <c r="T2" i="13"/>
  <c r="U2" i="13" s="1"/>
  <c r="R3" i="13"/>
  <c r="R4" i="13"/>
  <c r="R5" i="13"/>
  <c r="R6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B1" i="7"/>
  <c r="B2" i="7"/>
  <c r="B1" i="18"/>
</calcChain>
</file>

<file path=xl/sharedStrings.xml><?xml version="1.0" encoding="utf-8"?>
<sst xmlns="http://schemas.openxmlformats.org/spreadsheetml/2006/main" count="10739" uniqueCount="583">
  <si>
    <t>ID</t>
  </si>
  <si>
    <t>N° do Pedido</t>
  </si>
  <si>
    <t>N° do Pedido na Loja Virtual</t>
  </si>
  <si>
    <t>Data</t>
  </si>
  <si>
    <t>ID contato</t>
  </si>
  <si>
    <t>Nome do contato</t>
  </si>
  <si>
    <t>Cpf/Cnpj</t>
  </si>
  <si>
    <t>Endereco</t>
  </si>
  <si>
    <t>Bairro</t>
  </si>
  <si>
    <t>Município</t>
  </si>
  <si>
    <t>Cep</t>
  </si>
  <si>
    <t>Estado</t>
  </si>
  <si>
    <t>E-mail</t>
  </si>
  <si>
    <t>Telefone</t>
  </si>
  <si>
    <t>Desconto pedido</t>
  </si>
  <si>
    <t>Frete</t>
  </si>
  <si>
    <t>Observações</t>
  </si>
  <si>
    <t>Situação</t>
  </si>
  <si>
    <t>ID produto</t>
  </si>
  <si>
    <t>Descrição</t>
  </si>
  <si>
    <t>Quantidade</t>
  </si>
  <si>
    <t>Valor unitário</t>
  </si>
  <si>
    <t>Desconto item</t>
  </si>
  <si>
    <t>Preço de Custo</t>
  </si>
  <si>
    <t>Preço Total</t>
  </si>
  <si>
    <t>Código do contato</t>
  </si>
  <si>
    <t>Código do produto</t>
  </si>
  <si>
    <t>Frete proporcional</t>
  </si>
  <si>
    <t>Desconto proporcional</t>
  </si>
  <si>
    <t>Vendedor</t>
  </si>
  <si>
    <t>Nº da NFe</t>
  </si>
  <si>
    <t>Natureza da NFe</t>
  </si>
  <si>
    <t>Situação da NFe</t>
  </si>
  <si>
    <t>Última ocorrência</t>
  </si>
  <si>
    <t>Outras despesas</t>
  </si>
  <si>
    <t>Outras despesas proporcional</t>
  </si>
  <si>
    <t>28.561.609/0001-59</t>
  </si>
  <si>
    <t>Rodovia BR-277 Curitiba-Paranaguá, 3641</t>
  </si>
  <si>
    <t>Cajuru</t>
  </si>
  <si>
    <t>Curitiba</t>
  </si>
  <si>
    <t>PR</t>
  </si>
  <si>
    <t>teste@share-inc.com.br</t>
  </si>
  <si>
    <t>Atendido</t>
  </si>
  <si>
    <t>PRFL.00.0001</t>
  </si>
  <si>
    <t>PRFL.00.0002</t>
  </si>
  <si>
    <t>03.387.992/0001-40</t>
  </si>
  <si>
    <t>RUA ANTONIO GRECA, 91</t>
  </si>
  <si>
    <t>AHU</t>
  </si>
  <si>
    <t>CURITIBA</t>
  </si>
  <si>
    <t>Ref. faturamento NFE saída 614. PAGO VM.</t>
  </si>
  <si>
    <t>PRFL.00.0019</t>
  </si>
  <si>
    <t>AMANDA HUBBE</t>
  </si>
  <si>
    <t>Ref. faturamento NFE saída 619. PAGO VM.</t>
  </si>
  <si>
    <t>PRFL.00.0005</t>
  </si>
  <si>
    <t>44.114.658/0001-08</t>
  </si>
  <si>
    <t>RUA JOAO RAPHAEL MACHADO, 496</t>
  </si>
  <si>
    <t>Araucaria</t>
  </si>
  <si>
    <t>Marcio@destak.com.br</t>
  </si>
  <si>
    <t>HENRIQUE</t>
  </si>
  <si>
    <t>PRFL.00.0011</t>
  </si>
  <si>
    <t>25.195.001/0001-60</t>
  </si>
  <si>
    <t>RUA ITACIANO MARCONDES, 47</t>
  </si>
  <si>
    <t>SANTA CANDIDA</t>
  </si>
  <si>
    <t>Delta@Delta.com.br</t>
  </si>
  <si>
    <t>PRFL.00.0025</t>
  </si>
  <si>
    <t>PRFL.00.0026</t>
  </si>
  <si>
    <t>PRFL.00.0009</t>
  </si>
  <si>
    <t>21.267.641/0001-87</t>
  </si>
  <si>
    <t>LOC RODOVIA DEP JOAO LEOPOLDO JA, 11432</t>
  </si>
  <si>
    <t>CENTRO</t>
  </si>
  <si>
    <t>PINHAIS</t>
  </si>
  <si>
    <t>Fabio@Install.com.br</t>
  </si>
  <si>
    <t>30.641.041/0001-28</t>
  </si>
  <si>
    <t>RUA LEONARDO NOVICKI, 1554</t>
  </si>
  <si>
    <t>CAJURU</t>
  </si>
  <si>
    <t>26.509.761/0001-67</t>
  </si>
  <si>
    <t>AV JUSCELINO KUBITSCHEK DE OLIVEIRA, 2046, BRCAO A</t>
  </si>
  <si>
    <t>CIDADE INDUSTRIAL</t>
  </si>
  <si>
    <t>PRFL.00.0010</t>
  </si>
  <si>
    <t>PRFL.00.0027</t>
  </si>
  <si>
    <t>PRFL.00.0024</t>
  </si>
  <si>
    <t>PRFL.00.0007</t>
  </si>
  <si>
    <t>PRFL.00.0012</t>
  </si>
  <si>
    <t>15.651.626/0001-35</t>
  </si>
  <si>
    <t>RUA BRIGADEIRO FRANCO, 5024, LOJA 01</t>
  </si>
  <si>
    <t>REBOUCAS</t>
  </si>
  <si>
    <t>Diego@Drywall.com.br</t>
  </si>
  <si>
    <t>PRFL.00.0008</t>
  </si>
  <si>
    <t>42.010.522/0001-14</t>
  </si>
  <si>
    <t>RUA BLUMENAU, 101, GALPAO:01</t>
  </si>
  <si>
    <t>centro</t>
  </si>
  <si>
    <t>Balneário Camboriú</t>
  </si>
  <si>
    <t>SC</t>
  </si>
  <si>
    <t>Elizeu@Decorgesso.com.br</t>
  </si>
  <si>
    <t>18.552.908/0001-73</t>
  </si>
  <si>
    <t>Rua Rio Tibagi, 787</t>
  </si>
  <si>
    <t>Jardim Santo Amaro</t>
  </si>
  <si>
    <t>Cambé</t>
  </si>
  <si>
    <t>amanda.hubbe@perfilar.ind.br</t>
  </si>
  <si>
    <t>36.957.725/0001-10</t>
  </si>
  <si>
    <t>RUA BENJAMIM CONSTANT, 322</t>
  </si>
  <si>
    <t>UNIAO DA VITORIA</t>
  </si>
  <si>
    <t>03.101.294/0001-36</t>
  </si>
  <si>
    <t>R MARECHAL DEODORO, 869, 19 ANDAR</t>
  </si>
  <si>
    <t>80060-010</t>
  </si>
  <si>
    <t>24.623.275/0001-40</t>
  </si>
  <si>
    <t>AV PARANA , 8455</t>
  </si>
  <si>
    <t>ZONA I</t>
  </si>
  <si>
    <t>Umuarama</t>
  </si>
  <si>
    <t>87502-000</t>
  </si>
  <si>
    <t>172.265.119-91</t>
  </si>
  <si>
    <t>Rua Arthur Thomas, 235, AP 1702</t>
  </si>
  <si>
    <t>Zona 01</t>
  </si>
  <si>
    <t>Maringá</t>
  </si>
  <si>
    <t>14.709.771/0001-67</t>
  </si>
  <si>
    <t>RUA SANTA TEREZINHA, 669</t>
  </si>
  <si>
    <t>JD SAO RAFAEL</t>
  </si>
  <si>
    <t>Londrina</t>
  </si>
  <si>
    <t>genio.gesso@gmail.com</t>
  </si>
  <si>
    <t>14.972.161/0001-51</t>
  </si>
  <si>
    <t>Rua Poeta Carlos Drumond de Andrade, S/N, CASA B</t>
  </si>
  <si>
    <t>Parque Avenida</t>
  </si>
  <si>
    <t>913.178.439-91</t>
  </si>
  <si>
    <t>Avenida Cerro Azul, 2649</t>
  </si>
  <si>
    <t>Jardim Novo Horizonte</t>
  </si>
  <si>
    <t>PRFL.00.0004</t>
  </si>
  <si>
    <t>PRFL.00.0022</t>
  </si>
  <si>
    <t>PRFL.00.0006</t>
  </si>
  <si>
    <t>07.700.789/0001-32</t>
  </si>
  <si>
    <t>RUA TRISTE-PIA, 20, A</t>
  </si>
  <si>
    <t>JARDIM PRIMAVERA</t>
  </si>
  <si>
    <t>ARAPONGAS</t>
  </si>
  <si>
    <t>12.510.166/0001-37</t>
  </si>
  <si>
    <t>RUA CASTRO ALVES, 22, A</t>
  </si>
  <si>
    <t>ZONA 06</t>
  </si>
  <si>
    <t>MARINGA</t>
  </si>
  <si>
    <t>11.448.815/0001-54</t>
  </si>
  <si>
    <t>RUA IZAAC FERREIRA DA CRUZ, 3920, FUNDOS</t>
  </si>
  <si>
    <t>SITIO CERCADO</t>
  </si>
  <si>
    <t>Gesso@Alvo.com.br</t>
  </si>
  <si>
    <t>09.171.164/0001-56</t>
  </si>
  <si>
    <t>RUA MARIO LIMA DOS SANTOS, 59</t>
  </si>
  <si>
    <t>ESTRELA</t>
  </si>
  <si>
    <t>Ponta Grossa</t>
  </si>
  <si>
    <t>Vilavelha@vilavelha.com</t>
  </si>
  <si>
    <t>PRFL.00.0028</t>
  </si>
  <si>
    <t>PRFL.00.0029</t>
  </si>
  <si>
    <t>29.578.605/0001-46</t>
  </si>
  <si>
    <t>RUA JOAO DOSZANET, 553</t>
  </si>
  <si>
    <t>CONTORNO</t>
  </si>
  <si>
    <t>comercial@perfilar.ind.br</t>
  </si>
  <si>
    <t>27.774.006/0001-72</t>
  </si>
  <si>
    <t>R JOSE LINHARES, 145</t>
  </si>
  <si>
    <t>MONTE ALEGRE</t>
  </si>
  <si>
    <t>TELEMACO BORBA</t>
  </si>
  <si>
    <t>13.559.797/0001-03</t>
  </si>
  <si>
    <t>AV NOE REBESCO, 1650</t>
  </si>
  <si>
    <t>LAGOA</t>
  </si>
  <si>
    <t>Irati</t>
  </si>
  <si>
    <t>Julio@Irati.com</t>
  </si>
  <si>
    <t>PRFL.00.0023</t>
  </si>
  <si>
    <t>85.121.372/0001-29</t>
  </si>
  <si>
    <t xml:space="preserve">Rua do Rouxinol, 1433, VM -FABRICA </t>
  </si>
  <si>
    <t>Aviação</t>
  </si>
  <si>
    <t>São José dos Pinhais</t>
  </si>
  <si>
    <t>24.840.713/0001-21</t>
  </si>
  <si>
    <t>RUA QUINTA DO SOL, 342</t>
  </si>
  <si>
    <t>GUARAITUBA</t>
  </si>
  <si>
    <t>COLOMBO</t>
  </si>
  <si>
    <t>PRFL.00.0014</t>
  </si>
  <si>
    <t>31.186.898/0001-68</t>
  </si>
  <si>
    <t>R CURIO , 222, N/A</t>
  </si>
  <si>
    <t>Colonia Dona Luiza</t>
  </si>
  <si>
    <t>84043-270</t>
  </si>
  <si>
    <t>25.131.379/0001-08</t>
  </si>
  <si>
    <t>Barra Velha</t>
  </si>
  <si>
    <t>jusieldoxavier@hotmai.com</t>
  </si>
  <si>
    <t>12.580.433/0001-42</t>
  </si>
  <si>
    <t>Rodovia SC 405 Rio Tavares, 1178, -</t>
  </si>
  <si>
    <t>campeche</t>
  </si>
  <si>
    <t>Florianópolis</t>
  </si>
  <si>
    <t>so.gesso@hotmail.com</t>
  </si>
  <si>
    <t>14.119.157/0001-45</t>
  </si>
  <si>
    <t>Avenida Presidente Kennedy, 4121, 4121</t>
  </si>
  <si>
    <t>Portão</t>
  </si>
  <si>
    <t>29.874.259/0001-43</t>
  </si>
  <si>
    <t>RUA 408, 131, Nao Informado</t>
  </si>
  <si>
    <t>MORRETES</t>
  </si>
  <si>
    <t>Itapema</t>
  </si>
  <si>
    <t>FERNANDO CARDOSO</t>
  </si>
  <si>
    <t>22.103.612/0001-42</t>
  </si>
  <si>
    <t>RUA CAMBORIÚ (Marques de Olinda), 4.370, SALA 02 E 03</t>
  </si>
  <si>
    <t>glória</t>
  </si>
  <si>
    <t>Joinville</t>
  </si>
  <si>
    <t>comercial@shoppingdasdivisorias.com.br</t>
  </si>
  <si>
    <t>22.755.004/0001-12</t>
  </si>
  <si>
    <t>Rua Domingos Nascimento, S/N</t>
  </si>
  <si>
    <t>Bom Retiro</t>
  </si>
  <si>
    <t>35.797.262/0001-03</t>
  </si>
  <si>
    <t>Rua Emiliano Perneta, 174, 13 ANDAR</t>
  </si>
  <si>
    <t>Centro</t>
  </si>
  <si>
    <t>09.120.752/0001-60</t>
  </si>
  <si>
    <t>RUA 24 DE FEVEREIRO, 143</t>
  </si>
  <si>
    <t>Ijuí</t>
  </si>
  <si>
    <t>RS</t>
  </si>
  <si>
    <t>Ciaa@ciaa.com.br</t>
  </si>
  <si>
    <t>05.785.081/0001-04</t>
  </si>
  <si>
    <t>Rua C, 65</t>
  </si>
  <si>
    <t>Tijuca</t>
  </si>
  <si>
    <t>Alvorada</t>
  </si>
  <si>
    <t>03.321.303/0001-02</t>
  </si>
  <si>
    <t>RUA PAPA  PAULO VI, 499, GALPAO 03</t>
  </si>
  <si>
    <t>PONTE DO IMARUIM</t>
  </si>
  <si>
    <t>Palhoça</t>
  </si>
  <si>
    <t>diviforros@nfe.omie.com.br</t>
  </si>
  <si>
    <t>28.012.307/0001-21</t>
  </si>
  <si>
    <t>Américo Vespucio, 560, -</t>
  </si>
  <si>
    <t>Nova Brasília</t>
  </si>
  <si>
    <t>vendas@engeplax.com.br</t>
  </si>
  <si>
    <t>11.584.825/0001-17</t>
  </si>
  <si>
    <t>RUA MINAS GERAIS, 2810, Nao Informado</t>
  </si>
  <si>
    <t>NOVA BRASÍLIA</t>
  </si>
  <si>
    <t>Claudinei@tecnoobras</t>
  </si>
  <si>
    <t>03.243.457/0001-15</t>
  </si>
  <si>
    <t>R LRG VIRMOND DE LIMA, 83, N/A</t>
  </si>
  <si>
    <t>SEMINARIO</t>
  </si>
  <si>
    <t>80440-030</t>
  </si>
  <si>
    <t>Leparc@Leparc.com.br</t>
  </si>
  <si>
    <t>03.389.734/0001-00</t>
  </si>
  <si>
    <t>AV GETULIO VARGAS, 3454, SALA 01</t>
  </si>
  <si>
    <t>Santo Ângelo</t>
  </si>
  <si>
    <t>34.072.782/0001-96</t>
  </si>
  <si>
    <t>Rua do Príncipe, 1346, sala 02</t>
  </si>
  <si>
    <t>Itapema do norte</t>
  </si>
  <si>
    <t>Itapoá</t>
  </si>
  <si>
    <t>Sc</t>
  </si>
  <si>
    <t>contato.wisecontabilidade@gmail.com</t>
  </si>
  <si>
    <t>23.980.813/0001-90</t>
  </si>
  <si>
    <t>EST CAIUARU, 28, N/A</t>
  </si>
  <si>
    <t>Pq Industrial</t>
  </si>
  <si>
    <t>Nova Esperança</t>
  </si>
  <si>
    <t>87600-000</t>
  </si>
  <si>
    <t>08.669.518/0001-24</t>
  </si>
  <si>
    <t>R LEONIDAS GARCIA RODRIGUES, 270, N/A</t>
  </si>
  <si>
    <t>Telêmaco Borba</t>
  </si>
  <si>
    <t>84261-030</t>
  </si>
  <si>
    <t>07.916.986/0001-93</t>
  </si>
  <si>
    <t>RUA SAUL DALLAGO, 555, Nao Informado</t>
  </si>
  <si>
    <t>CEDRO</t>
  </si>
  <si>
    <t>Camboriú</t>
  </si>
  <si>
    <t>10.267.026/0001-54</t>
  </si>
  <si>
    <t>RUA ADELMYR PRESSANTO, 414, SALA</t>
  </si>
  <si>
    <t>Caçador</t>
  </si>
  <si>
    <t>77.110.920/0001-97</t>
  </si>
  <si>
    <t>R 1338  , 34, N/A</t>
  </si>
  <si>
    <t>ITAJUBA</t>
  </si>
  <si>
    <t>88390-000</t>
  </si>
  <si>
    <t>07.900.599/0001-69</t>
  </si>
  <si>
    <t>RUA AUGUSTO DRIESSEN, 180, Nao Informado</t>
  </si>
  <si>
    <t>SORGATTO</t>
  </si>
  <si>
    <t>.</t>
  </si>
  <si>
    <t>38.290.178/0001-97</t>
  </si>
  <si>
    <t>AV CHANCELER HORACIO LAFFER, 863, SL 02</t>
  </si>
  <si>
    <t>11.948.531/0001-27</t>
  </si>
  <si>
    <t>RUA JOSE FERNANDES MALDONADO, 255, BARRACAO C</t>
  </si>
  <si>
    <t>BAIRRO ALTO</t>
  </si>
  <si>
    <t>Elizeu@gds.com.br</t>
  </si>
  <si>
    <t>PRFL.00.0020</t>
  </si>
  <si>
    <t>PRFL.00.0039</t>
  </si>
  <si>
    <t>PRFL.00.0033</t>
  </si>
  <si>
    <t>PRFL.00.0040</t>
  </si>
  <si>
    <t>15.066.452/0001-43</t>
  </si>
  <si>
    <t>RUA HERCILIO FIDES ZIMMERMANN, 501, Nao Informado</t>
  </si>
  <si>
    <t>MARGEM ESQUERDA</t>
  </si>
  <si>
    <t>Gaspar</t>
  </si>
  <si>
    <t>PRFL.00.0041</t>
  </si>
  <si>
    <t>06.293.474/0001-55</t>
  </si>
  <si>
    <t>AREA 01</t>
  </si>
  <si>
    <t>jonasdeoliver@gmail.com</t>
  </si>
  <si>
    <t>23.828.859/0001-99</t>
  </si>
  <si>
    <t>Navegantes</t>
  </si>
  <si>
    <t>financeiro@dryobras.com.br</t>
  </si>
  <si>
    <t>41.513.838/0001-66</t>
  </si>
  <si>
    <t>RUA TUPY, 1877</t>
  </si>
  <si>
    <t>NOVA BRASILIA</t>
  </si>
  <si>
    <t>adilson.moraescont@gmail.com</t>
  </si>
  <si>
    <t>30.161.967/0001-16</t>
  </si>
  <si>
    <t>Av. Osvaldo Jardim, 842, -</t>
  </si>
  <si>
    <t>Santa rita</t>
  </si>
  <si>
    <t>Guaíba</t>
  </si>
  <si>
    <t>ccsgesso@gmail.com</t>
  </si>
  <si>
    <t>PRFL.00.0030</t>
  </si>
  <si>
    <t>07.870.277/0001-14</t>
  </si>
  <si>
    <t>Hirto Melegari, 370, -</t>
  </si>
  <si>
    <t>Sagrado coração de Jesus</t>
  </si>
  <si>
    <t>Lages</t>
  </si>
  <si>
    <t>gessolargesso@gmail.com</t>
  </si>
  <si>
    <t>00.843.906/0001-78</t>
  </si>
  <si>
    <t>AV EXPEDICIONARIO WEBER, 875</t>
  </si>
  <si>
    <t>Santa Rosa</t>
  </si>
  <si>
    <t>Marcelo@rbf.com.br</t>
  </si>
  <si>
    <t>faturar em dezembro NFE 873</t>
  </si>
  <si>
    <t>Em aberto</t>
  </si>
  <si>
    <t>PRFL.00.0016</t>
  </si>
  <si>
    <t>05.216.691/0001-89</t>
  </si>
  <si>
    <t>RUA PEDRO THEISEN JÚNIOR, 306, GALPÃO LOTE 12 QUADRA 04</t>
  </si>
  <si>
    <t>ARIRIÚ</t>
  </si>
  <si>
    <t>Marina.colombelli@gmail.com</t>
  </si>
  <si>
    <t>faturar em dezembro - NFE 872</t>
  </si>
  <si>
    <t>NFE 849</t>
  </si>
  <si>
    <t>44.196.728/0001-06</t>
  </si>
  <si>
    <t>RUA BLUMENAU, 101, GALPAO02</t>
  </si>
  <si>
    <t>MUNICIPIOS</t>
  </si>
  <si>
    <t>decor_adm@hotmail.com</t>
  </si>
  <si>
    <t>NF PARCIAL 832 BOLETO 16/12/2021</t>
  </si>
  <si>
    <t>116.252.809-55</t>
  </si>
  <si>
    <t>Daniel@Daniel.com</t>
  </si>
  <si>
    <t>01.958.936/0001-92</t>
  </si>
  <si>
    <t>R. BEIJA FLOR, 378, -</t>
  </si>
  <si>
    <t>Serraria</t>
  </si>
  <si>
    <t>São José</t>
  </si>
  <si>
    <t>atendimento@luizcontabilidade.com.br</t>
  </si>
  <si>
    <t>NFE 833 - ENTREGA EM JANEIRO.</t>
  </si>
  <si>
    <t>PRFL.00.0034</t>
  </si>
  <si>
    <t xml:space="preserve">NFE 834
</t>
  </si>
  <si>
    <t xml:space="preserve">NFE 850
</t>
  </si>
  <si>
    <t>NFE 851</t>
  </si>
  <si>
    <t>009.566.559-55</t>
  </si>
  <si>
    <t xml:space="preserve"> </t>
  </si>
  <si>
    <t>36.296.276/0001-06</t>
  </si>
  <si>
    <t>R MATUTINA, 341, N/A</t>
  </si>
  <si>
    <t>Guatupe</t>
  </si>
  <si>
    <t>83060-710</t>
  </si>
  <si>
    <t>NFE 852</t>
  </si>
  <si>
    <t>NFE 859</t>
  </si>
  <si>
    <t>34.397.241/0001-38</t>
  </si>
  <si>
    <t>ROD BR-158 KM 324,230 AO KM 325,468 PAR, 10500, PAVILHAO</t>
  </si>
  <si>
    <t>Santa Maria</t>
  </si>
  <si>
    <t>CONTATO@INTRAGESSO.COM.BR</t>
  </si>
  <si>
    <t>GILLARD CAMPOS</t>
  </si>
  <si>
    <t>18.620.520/0001-62</t>
  </si>
  <si>
    <t>Rua Maringá, 10</t>
  </si>
  <si>
    <t>Jardim São Félix</t>
  </si>
  <si>
    <t>marcelodepaula.tb@hotmail.com</t>
  </si>
  <si>
    <t>MODELO 2 ,CARREGAMENTO E ENTREGA DIA 28/12/2021</t>
  </si>
  <si>
    <t>NFE 870</t>
  </si>
  <si>
    <t>29.266.231/0001-23</t>
  </si>
  <si>
    <t>Antônio Setim, 390, -</t>
  </si>
  <si>
    <t>Águas bellas</t>
  </si>
  <si>
    <t>pr</t>
  </si>
  <si>
    <t>gesso.belloart@gmail.com</t>
  </si>
  <si>
    <t>38.264.667/0001-74</t>
  </si>
  <si>
    <t>RUA WALDEMAR FRANCISCO, 355, Nao Informado</t>
  </si>
  <si>
    <t>SAO CRISTOVAO</t>
  </si>
  <si>
    <t>American@gesso.com.br</t>
  </si>
  <si>
    <t>36.709.695/0001-22</t>
  </si>
  <si>
    <t>R JULIO AFONSO VIEIRA LOPES, 28, N/A</t>
  </si>
  <si>
    <t>VILA FASSINI</t>
  </si>
  <si>
    <t>Rebouças</t>
  </si>
  <si>
    <t>84550-000</t>
  </si>
  <si>
    <t>44.425.368/0001-77</t>
  </si>
  <si>
    <t>R PROFESSORA CECILIA IRITANI, 199</t>
  </si>
  <si>
    <t>São Miguel</t>
  </si>
  <si>
    <t>amandahubbe@hotmail.com</t>
  </si>
  <si>
    <t>13.774.105/0001-40</t>
  </si>
  <si>
    <t>Baltazar Buschler, 810, -</t>
  </si>
  <si>
    <t>Comassa</t>
  </si>
  <si>
    <t>vendas@dryoficce.com.br</t>
  </si>
  <si>
    <t>43.813.667/0001-16</t>
  </si>
  <si>
    <t>RUA JOAO ALBERTO DOS SANTOS, 257, CASA</t>
  </si>
  <si>
    <t>Giovana@Giovana.com</t>
  </si>
  <si>
    <t>TABELA DE PESOS POR PEÇA</t>
  </si>
  <si>
    <t xml:space="preserve">PRODUTO </t>
  </si>
  <si>
    <t>PESO</t>
  </si>
  <si>
    <t>F530</t>
  </si>
  <si>
    <t>CANTONEIRA 25 X 30</t>
  </si>
  <si>
    <t>GUIA 48</t>
  </si>
  <si>
    <t>GUIA 70</t>
  </si>
  <si>
    <t>GUIA 90</t>
  </si>
  <si>
    <t>MONTANTE 48</t>
  </si>
  <si>
    <t>MONTANTE 70</t>
  </si>
  <si>
    <t>MONTANTE 90</t>
  </si>
  <si>
    <t xml:space="preserve">TABICA BRANCA </t>
  </si>
  <si>
    <t xml:space="preserve">TABICA GALVANIZADA </t>
  </si>
  <si>
    <t>CANTONEIRA 15 X 20</t>
  </si>
  <si>
    <t>CANTONEIRA 23 X 23 PERF</t>
  </si>
  <si>
    <t>MONTANTE 48 C/ 2,7 M</t>
  </si>
  <si>
    <t>Peso</t>
  </si>
  <si>
    <t>Rótulos de Linha</t>
  </si>
  <si>
    <t>Total Geral</t>
  </si>
  <si>
    <t>Descrição Resumida</t>
  </si>
  <si>
    <t>Prod. Resum</t>
  </si>
  <si>
    <t>Soma de Peso</t>
  </si>
  <si>
    <t>Soma de Preço Total</t>
  </si>
  <si>
    <t>Soma Preço</t>
  </si>
  <si>
    <t>Soma Peso</t>
  </si>
  <si>
    <t>Posição</t>
  </si>
  <si>
    <t>Nome</t>
  </si>
  <si>
    <t>Vlr</t>
  </si>
  <si>
    <t>N° do pedido</t>
  </si>
  <si>
    <t>Desconto</t>
  </si>
  <si>
    <t>Código</t>
  </si>
  <si>
    <t>Código no fornecedor</t>
  </si>
  <si>
    <t>Un</t>
  </si>
  <si>
    <t>Frete do item</t>
  </si>
  <si>
    <t>Ordem de compra</t>
  </si>
  <si>
    <t>PC</t>
  </si>
  <si>
    <t>ICHP.00.0001</t>
  </si>
  <si>
    <t>KG</t>
  </si>
  <si>
    <t>ICHP.00.0006</t>
  </si>
  <si>
    <t>MTUC.00.0003</t>
  </si>
  <si>
    <t>RL</t>
  </si>
  <si>
    <t>SRV0.00.0012</t>
  </si>
  <si>
    <t>INDS.00.0001</t>
  </si>
  <si>
    <t>TO</t>
  </si>
  <si>
    <t>3983/4041/4132</t>
  </si>
  <si>
    <t>4235/4287/4348</t>
  </si>
  <si>
    <t>4541/4563/4579/4600/4617/4626</t>
  </si>
  <si>
    <t>4706/4723/4745/4763/4770/4836/</t>
  </si>
  <si>
    <t>4954/4957/4966/5009/5060/5062</t>
  </si>
  <si>
    <t>4568/4674/4737/4820/4212</t>
  </si>
  <si>
    <t>INDS.00.0003</t>
  </si>
  <si>
    <t>4538/4833</t>
  </si>
  <si>
    <t>Pç por Kg</t>
  </si>
  <si>
    <t>Vlr Total</t>
  </si>
  <si>
    <t>Soma de Vlr Total</t>
  </si>
  <si>
    <t>Valor comprado</t>
  </si>
  <si>
    <t>Peso Total</t>
  </si>
  <si>
    <t>Soma de Peso Total</t>
  </si>
  <si>
    <t>Peso total</t>
  </si>
  <si>
    <t>Imposto</t>
  </si>
  <si>
    <t>FORNECEDOR</t>
  </si>
  <si>
    <t>VENCIMENTOS</t>
  </si>
  <si>
    <t>VALOR</t>
  </si>
  <si>
    <t>SEMANA</t>
  </si>
  <si>
    <t>SOMA DA SEMANA</t>
  </si>
  <si>
    <t>Rótulos de Coluna</t>
  </si>
  <si>
    <t>Soma de VALOR</t>
  </si>
  <si>
    <t>Valor a pagar</t>
  </si>
  <si>
    <t xml:space="preserve">Cliente </t>
  </si>
  <si>
    <t>Sit</t>
  </si>
  <si>
    <t xml:space="preserve">Valor </t>
  </si>
  <si>
    <t>pago</t>
  </si>
  <si>
    <t>aberto</t>
  </si>
  <si>
    <t>atrasada</t>
  </si>
  <si>
    <t>parcial</t>
  </si>
  <si>
    <t xml:space="preserve">Soma de Valor </t>
  </si>
  <si>
    <t>Dias Faltantes</t>
  </si>
  <si>
    <t>A receber</t>
  </si>
  <si>
    <t>Atrasado</t>
  </si>
  <si>
    <t>mês</t>
  </si>
  <si>
    <t>Ano</t>
  </si>
  <si>
    <t>Mês</t>
  </si>
  <si>
    <t>Sit 2</t>
  </si>
  <si>
    <t>(Vários itens)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</si>
  <si>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</si>
  <si>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</si>
  <si>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</si>
  <si>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</si>
  <si>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</si>
  <si>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</si>
  <si>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</si>
  <si>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</si>
  <si>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</si>
  <si>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</si>
  <si>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</si>
  <si>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</si>
  <si>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</si>
  <si>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Vlr total pago</t>
  </si>
  <si>
    <t>Vlr atrasado</t>
  </si>
  <si>
    <t>Vlr total em aberto</t>
  </si>
  <si>
    <t>Vlr A RECEBER</t>
  </si>
  <si>
    <t>willian@walls.com.br</t>
  </si>
  <si>
    <t>R JOAO ALBERTO DOS SANTOS, QUADRA:A04</t>
  </si>
  <si>
    <t>São Cristovão</t>
  </si>
  <si>
    <t>Rodovia do papel,Pr,160, 550, N/A</t>
  </si>
  <si>
    <t>Jornalista Rui Ademar Rodrigues, 1615, Galpão 1</t>
  </si>
  <si>
    <t>São Domingos</t>
  </si>
  <si>
    <t>PRFL.00.0050</t>
  </si>
  <si>
    <t>NFE 880</t>
  </si>
  <si>
    <t>PRFL.00.0051</t>
  </si>
  <si>
    <t>NFE 879</t>
  </si>
  <si>
    <t>07.418.345/0001-09</t>
  </si>
  <si>
    <t>Rua - B, -</t>
  </si>
  <si>
    <t>Rio Grande</t>
  </si>
  <si>
    <t>amplaster@terra.com.br</t>
  </si>
  <si>
    <t>40.289.673/0001-28</t>
  </si>
  <si>
    <t>Rua João Batista Cordeiro, 388, -</t>
  </si>
  <si>
    <t>São Defende</t>
  </si>
  <si>
    <t>Crisciúma</t>
  </si>
  <si>
    <t>ilumigesso@gmail.com</t>
  </si>
  <si>
    <t>NFE 898</t>
  </si>
  <si>
    <t>83.310.441/0066-62</t>
  </si>
  <si>
    <t>RUA ANDRÃ? LUNARDI, 948</t>
  </si>
  <si>
    <t>Xaxim</t>
  </si>
  <si>
    <t>fiscal@auroraalimentos.com.br</t>
  </si>
  <si>
    <t>NFE 896</t>
  </si>
  <si>
    <t>jul</t>
  </si>
  <si>
    <t>ago</t>
  </si>
  <si>
    <t>set</t>
  </si>
  <si>
    <t>out</t>
  </si>
  <si>
    <t>nov</t>
  </si>
  <si>
    <t>dez</t>
  </si>
  <si>
    <t>SRV0.00.0001</t>
  </si>
  <si>
    <t xml:space="preserve">005157 / 005192 </t>
  </si>
  <si>
    <t>PMV0.00.0010</t>
  </si>
  <si>
    <t>UN</t>
  </si>
  <si>
    <t>ICHP.00.0005</t>
  </si>
  <si>
    <t>15D</t>
  </si>
  <si>
    <t>30D</t>
  </si>
  <si>
    <t>Aux. DBO Receber</t>
  </si>
  <si>
    <t>Vlr Min</t>
  </si>
  <si>
    <t>Vlr Max</t>
  </si>
  <si>
    <t>Data min</t>
  </si>
  <si>
    <t>Data max</t>
  </si>
  <si>
    <t>Aberto</t>
  </si>
  <si>
    <t>Pago</t>
  </si>
  <si>
    <t>Parcial</t>
  </si>
  <si>
    <t>Cliente A</t>
  </si>
  <si>
    <t>Cliente B</t>
  </si>
  <si>
    <t>Cliente C</t>
  </si>
  <si>
    <t>Cliente D</t>
  </si>
  <si>
    <t>Cliente E</t>
  </si>
  <si>
    <t>Cliente F</t>
  </si>
  <si>
    <t>Cliente G</t>
  </si>
  <si>
    <t>Cliente H</t>
  </si>
  <si>
    <t>Cliente I</t>
  </si>
  <si>
    <t>Cliente J</t>
  </si>
  <si>
    <t>ATRASADOS POR DIA</t>
  </si>
  <si>
    <t>NO PRAZO (A RECEBER)</t>
  </si>
  <si>
    <t>N/A</t>
  </si>
  <si>
    <t>45D+</t>
  </si>
  <si>
    <t>45D</t>
  </si>
  <si>
    <t>Vlr. Total atraso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</si>
  <si>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</si>
  <si>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</si>
  <si>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</si>
  <si>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</si>
  <si>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</si>
  <si>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</si>
  <si>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</si>
  <si>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</t>
  </si>
  <si>
    <t>Fornecedor</t>
  </si>
  <si>
    <t>Fornecedor 1</t>
  </si>
  <si>
    <t>Fornecedor 2</t>
  </si>
  <si>
    <t>Fornecedor 3</t>
  </si>
  <si>
    <t>Fornecedor 4</t>
  </si>
  <si>
    <t>Fornecedor 5</t>
  </si>
  <si>
    <t>Comprador 10</t>
  </si>
  <si>
    <t>Comprador 12</t>
  </si>
  <si>
    <t>Comprador 13</t>
  </si>
  <si>
    <t>Comprador 14</t>
  </si>
  <si>
    <t>Comprador 16</t>
  </si>
  <si>
    <t>Comprador 20</t>
  </si>
  <si>
    <t>Produto 01</t>
  </si>
  <si>
    <t>Produto 02</t>
  </si>
  <si>
    <t>Produto 03</t>
  </si>
  <si>
    <t>Produto 04</t>
  </si>
  <si>
    <t>Produto 05</t>
  </si>
  <si>
    <t>Produto 06</t>
  </si>
  <si>
    <t>Produto 07</t>
  </si>
  <si>
    <t>Produto 08</t>
  </si>
  <si>
    <t>Produto 09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</si>
  <si>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</si>
  <si>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</si>
  <si>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</si>
  <si>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</si>
  <si>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</si>
  <si>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</si>
  <si>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</si>
  <si>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</si>
  <si>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</si>
  <si>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</si>
  <si>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</si>
  <si>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</si>
  <si>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</si>
  <si>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</si>
  <si>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</si>
  <si>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</si>
  <si>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Comprador 08</t>
  </si>
  <si>
    <t>Comprador 06</t>
  </si>
  <si>
    <t>Comprador 07</t>
  </si>
  <si>
    <t>Comprador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</si>
</sst>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&quot;R$&quot;#,##0.00;[Red]\-&quot;R$&quot;#,##0.00"/>
    <numFmt numFmtId="166" formatCode="_-* #,##0_-;\-* #,##0_-;_-* &quot;-&quot;??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name val=" Arial Bord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0E2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14" fontId="0" fillId="0" borderId="0" xfId="0" applyNumberFormat="1"/>
    <xf numFmtId="22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0" fillId="0" borderId="10" xfId="0" applyBorder="1"/>
    <xf numFmtId="0" fontId="18" fillId="33" borderId="0" xfId="0" applyFont="1" applyFill="1"/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9" fillId="34" borderId="0" xfId="0" applyFont="1" applyFill="1"/>
    <xf numFmtId="0" fontId="20" fillId="34" borderId="0" xfId="0" applyFont="1" applyFill="1"/>
    <xf numFmtId="14" fontId="0" fillId="0" borderId="0" xfId="0" applyNumberFormat="1" applyAlignment="1">
      <alignment horizontal="left"/>
    </xf>
    <xf numFmtId="10" fontId="0" fillId="0" borderId="0" xfId="43" applyNumberFormat="1" applyFont="1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0" borderId="0" xfId="42" applyNumberFormat="1" applyFont="1"/>
    <xf numFmtId="9" fontId="0" fillId="0" borderId="0" xfId="43" applyFont="1"/>
    <xf numFmtId="0" fontId="21" fillId="35" borderId="11" xfId="0" applyFont="1" applyFill="1" applyBorder="1" applyAlignment="1">
      <alignment horizontal="center" vertical="center" wrapText="1"/>
    </xf>
    <xf numFmtId="14" fontId="14" fillId="36" borderId="10" xfId="0" applyNumberFormat="1" applyFont="1" applyFill="1" applyBorder="1"/>
    <xf numFmtId="165" fontId="0" fillId="37" borderId="11" xfId="0" applyNumberFormat="1" applyFill="1" applyBorder="1" applyAlignment="1">
      <alignment vertical="center"/>
    </xf>
    <xf numFmtId="165" fontId="0" fillId="37" borderId="13" xfId="0" applyNumberFormat="1" applyFill="1" applyBorder="1" applyAlignment="1">
      <alignment vertical="center"/>
    </xf>
    <xf numFmtId="166" fontId="0" fillId="0" borderId="0" xfId="0" applyNumberFormat="1"/>
    <xf numFmtId="0" fontId="21" fillId="35" borderId="15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top"/>
    </xf>
    <xf numFmtId="0" fontId="24" fillId="0" borderId="16" xfId="0" applyFont="1" applyBorder="1" applyAlignment="1">
      <alignment horizontal="left" vertical="top"/>
    </xf>
    <xf numFmtId="44" fontId="24" fillId="0" borderId="16" xfId="42" applyFont="1" applyBorder="1" applyAlignment="1">
      <alignment horizontal="left" vertical="top"/>
    </xf>
    <xf numFmtId="0" fontId="23" fillId="0" borderId="17" xfId="0" applyFont="1" applyBorder="1" applyAlignment="1">
      <alignment vertical="top"/>
    </xf>
    <xf numFmtId="0" fontId="0" fillId="38" borderId="0" xfId="0" applyFill="1"/>
    <xf numFmtId="1" fontId="0" fillId="38" borderId="0" xfId="0" applyNumberFormat="1" applyFill="1"/>
    <xf numFmtId="9" fontId="0" fillId="38" borderId="0" xfId="43" applyFont="1" applyFill="1"/>
    <xf numFmtId="44" fontId="0" fillId="38" borderId="0" xfId="42" applyFont="1" applyFill="1"/>
    <xf numFmtId="0" fontId="0" fillId="39" borderId="0" xfId="0" applyFill="1"/>
    <xf numFmtId="9" fontId="0" fillId="39" borderId="0" xfId="43" applyFont="1" applyFill="1"/>
    <xf numFmtId="44" fontId="0" fillId="39" borderId="0" xfId="42" applyFont="1" applyFill="1"/>
    <xf numFmtId="165" fontId="0" fillId="37" borderId="12" xfId="0" applyNumberFormat="1" applyFill="1" applyBorder="1" applyAlignment="1">
      <alignment vertical="center"/>
    </xf>
    <xf numFmtId="0" fontId="21" fillId="35" borderId="14" xfId="0" applyFont="1" applyFill="1" applyBorder="1" applyAlignment="1">
      <alignment horizontal="center" vertical="center" wrapText="1"/>
    </xf>
    <xf numFmtId="0" fontId="21" fillId="35" borderId="13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38" borderId="0" xfId="43" applyNumberFormat="1" applyFont="1" applyFill="1"/>
    <xf numFmtId="1" fontId="0" fillId="38" borderId="0" xfId="43" applyNumberFormat="1" applyFont="1" applyFill="1"/>
    <xf numFmtId="0" fontId="24" fillId="38" borderId="0" xfId="0" applyNumberFormat="1" applyFont="1" applyFill="1" applyBorder="1" applyAlignment="1">
      <alignment horizontal="left" vertical="top"/>
    </xf>
    <xf numFmtId="44" fontId="24" fillId="38" borderId="0" xfId="42" applyFont="1" applyFill="1" applyBorder="1" applyAlignment="1">
      <alignment horizontal="left" vertical="top"/>
    </xf>
    <xf numFmtId="0" fontId="24" fillId="38" borderId="0" xfId="0" applyFont="1" applyFill="1" applyBorder="1" applyAlignment="1">
      <alignment horizontal="left" vertical="top"/>
    </xf>
    <xf numFmtId="0" fontId="26" fillId="0" borderId="0" xfId="0" applyFont="1" applyAlignment="1">
      <alignment vertical="top"/>
    </xf>
    <xf numFmtId="14" fontId="26" fillId="0" borderId="0" xfId="0" applyNumberFormat="1" applyFont="1" applyAlignment="1">
      <alignment vertical="top"/>
    </xf>
    <xf numFmtId="44" fontId="26" fillId="0" borderId="0" xfId="42" applyFont="1" applyAlignment="1">
      <alignment vertical="top"/>
    </xf>
    <xf numFmtId="0" fontId="27" fillId="38" borderId="0" xfId="0" applyNumberFormat="1" applyFont="1" applyFill="1" applyBorder="1" applyAlignment="1">
      <alignment horizontal="left" vertical="top"/>
    </xf>
    <xf numFmtId="44" fontId="27" fillId="38" borderId="0" xfId="42" applyNumberFormat="1" applyFont="1" applyFill="1" applyBorder="1" applyAlignment="1">
      <alignment horizontal="left" vertical="top"/>
    </xf>
    <xf numFmtId="0" fontId="0" fillId="0" borderId="19" xfId="0" applyFont="1" applyBorder="1"/>
    <xf numFmtId="0" fontId="22" fillId="36" borderId="10" xfId="0" applyFont="1" applyFill="1" applyBorder="1" applyAlignment="1"/>
    <xf numFmtId="166" fontId="14" fillId="36" borderId="10" xfId="44" applyNumberFormat="1" applyFont="1" applyFill="1" applyBorder="1" applyAlignment="1">
      <alignment vertical="center"/>
    </xf>
    <xf numFmtId="166" fontId="14" fillId="36" borderId="12" xfId="44" applyNumberFormat="1" applyFont="1" applyFill="1" applyBorder="1" applyAlignment="1">
      <alignment vertical="center"/>
    </xf>
    <xf numFmtId="166" fontId="14" fillId="36" borderId="10" xfId="44" applyNumberFormat="1" applyFont="1" applyFill="1" applyBorder="1" applyAlignment="1">
      <alignment horizontal="center" vertical="center"/>
    </xf>
    <xf numFmtId="9" fontId="28" fillId="38" borderId="0" xfId="43" applyFont="1" applyFill="1"/>
    <xf numFmtId="44" fontId="28" fillId="38" borderId="0" xfId="42" applyFont="1" applyFill="1"/>
    <xf numFmtId="0" fontId="28" fillId="38" borderId="0" xfId="43" applyNumberFormat="1" applyFont="1" applyFill="1"/>
    <xf numFmtId="1" fontId="28" fillId="38" borderId="0" xfId="43" applyNumberFormat="1" applyFont="1" applyFill="1"/>
    <xf numFmtId="4" fontId="0" fillId="38" borderId="0" xfId="0" applyNumberFormat="1" applyFill="1"/>
    <xf numFmtId="43" fontId="0" fillId="0" borderId="0" xfId="44" applyFont="1"/>
    <xf numFmtId="43" fontId="28" fillId="0" borderId="0" xfId="44" applyFont="1"/>
    <xf numFmtId="0" fontId="0" fillId="0" borderId="0" xfId="0" applyAlignment="1">
      <alignment horizontal="right"/>
    </xf>
    <xf numFmtId="0" fontId="29" fillId="0" borderId="0" xfId="0" applyNumberFormat="1" applyFont="1"/>
    <xf numFmtId="14" fontId="29" fillId="0" borderId="0" xfId="0" applyNumberFormat="1" applyFont="1"/>
    <xf numFmtId="0" fontId="19" fillId="0" borderId="0" xfId="0" applyFont="1"/>
    <xf numFmtId="2" fontId="19" fillId="0" borderId="0" xfId="0" applyNumberFormat="1" applyFont="1"/>
    <xf numFmtId="14" fontId="19" fillId="0" borderId="0" xfId="0" applyNumberFormat="1" applyFont="1"/>
    <xf numFmtId="44" fontId="19" fillId="0" borderId="0" xfId="0" applyNumberFormat="1" applyFont="1"/>
    <xf numFmtId="44" fontId="29" fillId="0" borderId="0" xfId="42" applyFont="1"/>
    <xf numFmtId="0" fontId="24" fillId="0" borderId="17" xfId="0" applyFont="1" applyBorder="1" applyAlignment="1">
      <alignment horizontal="left" vertical="top"/>
    </xf>
    <xf numFmtId="44" fontId="24" fillId="0" borderId="17" xfId="42" applyFont="1" applyBorder="1" applyAlignment="1">
      <alignment horizontal="left" vertical="top"/>
    </xf>
    <xf numFmtId="0" fontId="29" fillId="0" borderId="20" xfId="0" applyNumberFormat="1" applyFont="1" applyBorder="1"/>
    <xf numFmtId="14" fontId="29" fillId="0" borderId="20" xfId="0" applyNumberFormat="1" applyFont="1" applyBorder="1"/>
    <xf numFmtId="0" fontId="24" fillId="38" borderId="20" xfId="0" applyNumberFormat="1" applyFont="1" applyFill="1" applyBorder="1" applyAlignment="1">
      <alignment horizontal="left" vertical="top"/>
    </xf>
    <xf numFmtId="0" fontId="27" fillId="38" borderId="20" xfId="0" applyNumberFormat="1" applyFont="1" applyFill="1" applyBorder="1" applyAlignment="1">
      <alignment horizontal="left" vertical="top"/>
    </xf>
    <xf numFmtId="44" fontId="27" fillId="38" borderId="20" xfId="42" applyNumberFormat="1" applyFont="1" applyFill="1" applyBorder="1" applyAlignment="1">
      <alignment horizontal="left" vertical="top"/>
    </xf>
    <xf numFmtId="44" fontId="29" fillId="0" borderId="20" xfId="42" applyFont="1" applyBorder="1"/>
    <xf numFmtId="44" fontId="21" fillId="35" borderId="13" xfId="42" applyFont="1" applyFill="1" applyBorder="1" applyAlignment="1">
      <alignment horizontal="center" vertical="center" wrapText="1"/>
    </xf>
    <xf numFmtId="44" fontId="0" fillId="36" borderId="10" xfId="42" applyFont="1" applyFill="1" applyBorder="1"/>
    <xf numFmtId="0" fontId="0" fillId="0" borderId="0" xfId="0" quotePrefix="1" applyAlignment="1">
      <alignment horizontal="right"/>
    </xf>
    <xf numFmtId="0" fontId="19" fillId="0" borderId="0" xfId="0" applyFont="1" applyAlignment="1">
      <alignment horizontal="center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Porcentagem" xfId="43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4" builtinId="3"/>
  </cellStyles>
  <dxfs count="6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 Arial Bord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 Arial Bord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9" formatCode="dd/mm/yyyy"/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 Arial Bord"/>
        <scheme val="none"/>
      </font>
      <numFmt numFmtId="19" formatCode="dd/mm/yyyy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 Arial Bord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9" formatCode="dd/mm/yyyy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66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" formatCode="#,##0"/>
    </dxf>
    <dxf>
      <numFmt numFmtId="164" formatCode="_-&quot;R$&quot;\ * #,##0_-;\-&quot;R$&quot;\ * #,##0_-;_-&quot;R$&quot;\ * &quot;-&quot;??_-;_-@_-"/>
    </dxf>
    <dxf>
      <numFmt numFmtId="3" formatCode="#,##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4" formatCode="#,##0.00"/>
    </dxf>
    <dxf>
      <numFmt numFmtId="19" formatCode="dd/mm/yyyy"/>
    </dxf>
    <dxf>
      <numFmt numFmtId="164" formatCode="_-&quot;R$&quot;\ * #,##0_-;\-&quot;R$&quot;\ * #,##0_-;_-&quot;R$&quot;\ * &quot;-&quot;??_-;_-@_-"/>
    </dxf>
    <dxf>
      <numFmt numFmtId="3" formatCode="#,##0"/>
    </dxf>
    <dxf>
      <numFmt numFmtId="164" formatCode="_-&quot;R$&quot;\ * #,##0_-;\-&quot;R$&quot;\ * #,##0_-;_-&quot;R$&quot;\ * &quot;-&quot;??_-;_-@_-"/>
    </dxf>
    <dxf>
      <numFmt numFmtId="3" formatCode="#,##0"/>
    </dxf>
    <dxf>
      <numFmt numFmtId="164" formatCode="_-&quot;R$&quot;\ * #,##0_-;\-&quot;R$&quot;\ * #,##0_-;_-&quot;R$&quot;\ * &quot;-&quot;??_-;_-@_-"/>
    </dxf>
    <dxf>
      <numFmt numFmtId="3" formatCode="#,##0"/>
    </dxf>
    <dxf>
      <numFmt numFmtId="1" formatCode="0"/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" formatCode="0.00"/>
    </dxf>
    <dxf>
      <numFmt numFmtId="19" formatCode="dd/mm/yyyy"/>
    </dxf>
    <dxf>
      <font>
        <b/>
        <i val="0"/>
        <color theme="0" tint="-0.34998626667073579"/>
      </font>
      <fill>
        <patternFill patternType="solid">
          <fgColor auto="1"/>
          <bgColor rgb="FF003E65"/>
        </patternFill>
      </fill>
    </dxf>
    <dxf>
      <fill>
        <patternFill>
          <bgColor theme="0"/>
        </patternFill>
      </fill>
      <border diagonalUp="0" diagonalDown="0">
        <left style="thin">
          <color rgb="FFD62300"/>
        </left>
        <right style="thin">
          <color rgb="FFD62300"/>
        </right>
        <top style="thin">
          <color rgb="FFD62300"/>
        </top>
        <bottom style="thin">
          <color rgb="FFD62300"/>
        </bottom>
        <vertical/>
        <horizontal/>
      </border>
    </dxf>
  </dxfs>
  <tableStyles count="2" defaultTableStyle="TableStyleMedium2" defaultPivotStyle="PivotStyleLight16">
    <tableStyle name="Estilo de Segmentação de Dados 1" pivot="0" table="0" count="3" xr9:uid="{00000000-0011-0000-FFFF-FFFF00000000}">
      <tableStyleElement type="wholeTable" dxfId="68"/>
    </tableStyle>
    <tableStyle name="Estilo de Segmentação de Dados 2" pivot="0" table="0" count="3" xr9:uid="{00000000-0011-0000-FFFF-FFFF01000000}">
      <tableStyleElement type="wholeTable" dxfId="67"/>
    </tableStyle>
  </tableStyles>
  <colors>
    <mruColors>
      <color rgb="FFF5EBDC"/>
      <color rgb="FFFF8732"/>
      <color rgb="FFD62300"/>
      <color rgb="FFBCBDC2"/>
      <color rgb="FF000E2B"/>
      <color rgb="FF003E65"/>
    </mruColors>
  </colors>
  <extLst>
    <ext xmlns:x14="http://schemas.microsoft.com/office/spreadsheetml/2009/9/main" uri="{46F421CA-312F-682f-3DD2-61675219B42D}">
      <x14:dxfs count="4">
        <dxf>
          <font>
            <color theme="5"/>
          </font>
        </dxf>
        <dxf>
          <font>
            <color theme="0"/>
          </font>
          <fill>
            <patternFill>
              <bgColor rgb="FFBCBDC2"/>
            </patternFill>
          </fill>
        </dxf>
        <dxf>
          <font>
            <color theme="0"/>
          </font>
          <fill>
            <patternFill>
              <fgColor auto="1"/>
              <bgColor rgb="FFD62300"/>
            </patternFill>
          </fill>
        </dxf>
        <dxf>
          <font>
            <b/>
            <i val="0"/>
            <color rgb="FFF5EBDC"/>
          </font>
          <fill>
            <patternFill patternType="solid">
              <fgColor auto="1"/>
              <bgColor rgb="FFD6230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2.xml"/><Relationship Id="rId28" Type="http://schemas.microsoft.com/office/2007/relationships/slicerCache" Target="slicerCaches/slicerCache7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microsoft.com/office/2007/relationships/slicerCache" Target="slicerCaches/slicerCache6.xml"/><Relationship Id="rId30" Type="http://schemas.microsoft.com/office/2007/relationships/slicerCache" Target="slicerCaches/slicerCache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pt-BR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pt-BR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E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pt-BR" sz="1000" b="1" i="0" u="none" strike="noStrike" kern="1200" baseline="0">
                  <a:solidFill>
                    <a:srgbClr val="000E2B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20478890989288E-3"/>
          <c:y val="6.9161839695034408E-2"/>
          <c:w val="0.99747952110901072"/>
          <c:h val="0.7733273924451705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016272"/>
        <c:axId val="880529456"/>
      </c:barChart>
      <c:catAx>
        <c:axId val="89001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0529456"/>
        <c:crosses val="autoZero"/>
        <c:auto val="1"/>
        <c:lblAlgn val="ctr"/>
        <c:lblOffset val="100"/>
        <c:noMultiLvlLbl val="0"/>
      </c:catAx>
      <c:valAx>
        <c:axId val="8805294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9001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pt-BR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Financeiro.XLSX]Ven. Mes!Peso Mês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'Ven. Mes'!$B$4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EB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'Ven. Mes'!$A$5:$A$11</c:f>
              <c:strCache>
                <c:ptCount val="6"/>
                <c:pt idx="0">
                  <c:v>jul</c:v>
                </c:pt>
                <c:pt idx="1">
                  <c:v>ago</c:v>
                </c:pt>
                <c:pt idx="2">
                  <c:v>set</c:v>
                </c:pt>
                <c:pt idx="3">
                  <c:v>out</c:v>
                </c:pt>
                <c:pt idx="4">
                  <c:v>nov</c:v>
                </c:pt>
                <c:pt idx="5">
                  <c:v>dez</c:v>
                </c:pt>
              </c:strCache>
            </c:strRef>
          </c:cat>
          <c:val>
            <c:numRef>
              <c:f>'Ven. Mes'!$B$5:$B$11</c:f>
              <c:numCache>
                <c:formatCode>#,##0</c:formatCode>
                <c:ptCount val="6"/>
                <c:pt idx="0">
                  <c:v>8298.2000000000007</c:v>
                </c:pt>
                <c:pt idx="1">
                  <c:v>21089.100000000002</c:v>
                </c:pt>
                <c:pt idx="2">
                  <c:v>36989.82</c:v>
                </c:pt>
                <c:pt idx="3">
                  <c:v>62819.560000000005</c:v>
                </c:pt>
                <c:pt idx="4">
                  <c:v>93453.200000000026</c:v>
                </c:pt>
                <c:pt idx="5">
                  <c:v>108149.16999999997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5-4AEB-B5C5-6631C463B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144672"/>
        <c:axId val="531847424"/>
      </c:barChart>
      <c:catAx>
        <c:axId val="4671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847424"/>
        <c:crosses val="autoZero"/>
        <c:auto val="1"/>
        <c:lblAlgn val="ctr"/>
        <c:lblOffset val="100"/>
        <c:noMultiLvlLbl val="0"/>
      </c:catAx>
      <c:valAx>
        <c:axId val="53184742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6714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Financeiro.XLSX]Ven. Peso e Valor!Prod. Soma Peso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8926513727644"/>
          <c:y val="3.1609721351202782E-2"/>
          <c:w val="0.79283924178180698"/>
          <c:h val="0.896814004444134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'Ven. Peso e Valor'!$B$5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EB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'Ven. Peso e Valor'!$A$6:$A$23</c:f>
              <c:strCache>
                <c:ptCount val="17"/>
                <c:pt idx="0">
                  <c:v>Produto 17</c:v>
                </c:pt>
                <c:pt idx="1">
                  <c:v>Produto 16</c:v>
                </c:pt>
                <c:pt idx="2">
                  <c:v>Produto 15</c:v>
                </c:pt>
                <c:pt idx="3">
                  <c:v>Produto 14</c:v>
                </c:pt>
                <c:pt idx="4">
                  <c:v>Produto 13</c:v>
                </c:pt>
                <c:pt idx="5">
                  <c:v>Produto 12</c:v>
                </c:pt>
                <c:pt idx="6">
                  <c:v>Produto 11</c:v>
                </c:pt>
                <c:pt idx="7">
                  <c:v>Produto 10</c:v>
                </c:pt>
                <c:pt idx="8">
                  <c:v>Produto 09</c:v>
                </c:pt>
                <c:pt idx="9">
                  <c:v>Produto 08</c:v>
                </c:pt>
                <c:pt idx="10">
                  <c:v>Produto 07</c:v>
                </c:pt>
                <c:pt idx="11">
                  <c:v>Produto 06</c:v>
                </c:pt>
                <c:pt idx="12">
                  <c:v>Produto 05</c:v>
                </c:pt>
                <c:pt idx="13">
                  <c:v>Produto 04</c:v>
                </c:pt>
                <c:pt idx="14">
                  <c:v>Produto 03</c:v>
                </c:pt>
                <c:pt idx="15">
                  <c:v>Produto 02</c:v>
                </c:pt>
                <c:pt idx="16">
                  <c:v>Produto 01</c:v>
                </c:pt>
              </c:strCache>
            </c:strRef>
          </c:cat>
          <c:val>
            <c:numRef>
              <c:f>'Ven. Peso e Valor'!$B$6:$B$23</c:f>
              <c:numCache>
                <c:formatCode>#,##0</c:formatCode>
                <c:ptCount val="17"/>
                <c:pt idx="0">
                  <c:v>23253.920000000002</c:v>
                </c:pt>
                <c:pt idx="1">
                  <c:v>28747.719999999998</c:v>
                </c:pt>
                <c:pt idx="2">
                  <c:v>30765.719999999998</c:v>
                </c:pt>
                <c:pt idx="3">
                  <c:v>32229.4</c:v>
                </c:pt>
                <c:pt idx="4">
                  <c:v>23472.399999999998</c:v>
                </c:pt>
                <c:pt idx="5">
                  <c:v>28851.200000000001</c:v>
                </c:pt>
                <c:pt idx="6">
                  <c:v>22511.5</c:v>
                </c:pt>
                <c:pt idx="7">
                  <c:v>17250.2</c:v>
                </c:pt>
                <c:pt idx="8">
                  <c:v>24271.500000000004</c:v>
                </c:pt>
                <c:pt idx="9">
                  <c:v>20969.3</c:v>
                </c:pt>
                <c:pt idx="10">
                  <c:v>27149.1</c:v>
                </c:pt>
                <c:pt idx="11">
                  <c:v>10166.5</c:v>
                </c:pt>
                <c:pt idx="12">
                  <c:v>12685.2</c:v>
                </c:pt>
                <c:pt idx="13">
                  <c:v>9868.7999999999993</c:v>
                </c:pt>
                <c:pt idx="14">
                  <c:v>7411.2</c:v>
                </c:pt>
                <c:pt idx="15">
                  <c:v>5404.59</c:v>
                </c:pt>
                <c:pt idx="16">
                  <c:v>5790.7999999999993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F-44B6-A0A9-D851A3A99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1071008"/>
        <c:axId val="1046904752"/>
      </c:barChart>
      <c:catAx>
        <c:axId val="105107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6904752"/>
        <c:crosses val="autoZero"/>
        <c:auto val="1"/>
        <c:lblAlgn val="ctr"/>
        <c:lblOffset val="100"/>
        <c:noMultiLvlLbl val="0"/>
      </c:catAx>
      <c:valAx>
        <c:axId val="104690475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noFill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07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Financeiro.XLSX]Ven. Mes!Soma Preço 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'Ven. Mes'!$F$4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EB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'Ven. Mes'!$E$5:$E$11</c:f>
              <c:strCache>
                <c:ptCount val="6"/>
                <c:pt idx="0">
                  <c:v>jul</c:v>
                </c:pt>
                <c:pt idx="1">
                  <c:v>ago</c:v>
                </c:pt>
                <c:pt idx="2">
                  <c:v>set</c:v>
                </c:pt>
                <c:pt idx="3">
                  <c:v>out</c:v>
                </c:pt>
                <c:pt idx="4">
                  <c:v>nov</c:v>
                </c:pt>
                <c:pt idx="5">
                  <c:v>dez</c:v>
                </c:pt>
              </c:strCache>
            </c:strRef>
          </c:cat>
          <c:val>
            <c:numRef>
              <c:f>'Ven. Mes'!$F$5:$F$11</c:f>
              <c:numCache>
                <c:formatCode>_-"R$"\ * #,##0_-;\-"R$"\ * #,##0_-;_-"R$"\ * "-"??_-;_-@_-</c:formatCode>
                <c:ptCount val="6"/>
                <c:pt idx="0">
                  <c:v>78981.399999999994</c:v>
                </c:pt>
                <c:pt idx="1">
                  <c:v>362769.01999999996</c:v>
                </c:pt>
                <c:pt idx="2">
                  <c:v>495508.58100000001</c:v>
                </c:pt>
                <c:pt idx="3">
                  <c:v>813769.098</c:v>
                </c:pt>
                <c:pt idx="4">
                  <c:v>1225974.4918</c:v>
                </c:pt>
                <c:pt idx="5">
                  <c:v>1430758.6700000002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7-4670-8872-759C8B52F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548368"/>
        <c:axId val="1046892688"/>
      </c:barChart>
      <c:catAx>
        <c:axId val="1138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6892688"/>
        <c:crosses val="autoZero"/>
        <c:auto val="1"/>
        <c:lblAlgn val="ctr"/>
        <c:lblOffset val="100"/>
        <c:noMultiLvlLbl val="0"/>
      </c:catAx>
      <c:valAx>
        <c:axId val="1046892688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113854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Financeiro.XLSX]TOP Compradores!Tabela dinâmica24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3075837111270185"/>
          <c:y val="4.4989775051124746E-2"/>
          <c:w val="0.46423924282191997"/>
          <c:h val="0.910020449897750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Compradores'!$F$1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Compradores'!$E$2:$E$12</c:f>
              <c:strCache>
                <c:ptCount val="10"/>
                <c:pt idx="0">
                  <c:v>Comprador 13</c:v>
                </c:pt>
                <c:pt idx="1">
                  <c:v>Comprador 06</c:v>
                </c:pt>
                <c:pt idx="2">
                  <c:v>Comprador 10</c:v>
                </c:pt>
                <c:pt idx="3">
                  <c:v>Comprador 14</c:v>
                </c:pt>
                <c:pt idx="4">
                  <c:v>Comprador 20</c:v>
                </c:pt>
                <c:pt idx="5">
                  <c:v>Comprador 09</c:v>
                </c:pt>
                <c:pt idx="6">
                  <c:v>Comprador 16</c:v>
                </c:pt>
                <c:pt idx="7">
                  <c:v>Comprador 07</c:v>
                </c:pt>
                <c:pt idx="8">
                  <c:v>Comprador 08</c:v>
                </c:pt>
                <c:pt idx="9">
                  <c:v>Comprador 12</c:v>
                </c:pt>
              </c:strCache>
            </c:strRef>
          </c:cat>
          <c:val>
            <c:numRef>
              <c:f>'TOP Compradores'!$F$2:$F$12</c:f>
              <c:numCache>
                <c:formatCode>_-"R$"\ * #,##0_-;\-"R$"\ * #,##0_-;_-"R$"\ * "-"??_-;_-@_-</c:formatCode>
                <c:ptCount val="10"/>
                <c:pt idx="0">
                  <c:v>224562.50000000003</c:v>
                </c:pt>
                <c:pt idx="1">
                  <c:v>228470.7</c:v>
                </c:pt>
                <c:pt idx="2">
                  <c:v>228833.32</c:v>
                </c:pt>
                <c:pt idx="3">
                  <c:v>241304.299</c:v>
                </c:pt>
                <c:pt idx="4">
                  <c:v>286837.3</c:v>
                </c:pt>
                <c:pt idx="5">
                  <c:v>320063.80000000005</c:v>
                </c:pt>
                <c:pt idx="6">
                  <c:v>321532.82</c:v>
                </c:pt>
                <c:pt idx="7">
                  <c:v>349287.48</c:v>
                </c:pt>
                <c:pt idx="8">
                  <c:v>416624.348</c:v>
                </c:pt>
                <c:pt idx="9">
                  <c:v>450368.05000000005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9-49EC-AA1F-75575F435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8550768"/>
        <c:axId val="1046922640"/>
      </c:barChart>
      <c:catAx>
        <c:axId val="113855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6922640"/>
        <c:crosses val="autoZero"/>
        <c:auto val="1"/>
        <c:lblAlgn val="ctr"/>
        <c:lblOffset val="100"/>
        <c:noMultiLvlLbl val="0"/>
      </c:catAx>
      <c:valAx>
        <c:axId val="1046922640"/>
        <c:scaling>
          <c:orientation val="minMax"/>
        </c:scaling>
        <c:delete val="1"/>
        <c:axPos val="b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113855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Financeiro.XLSX]A pagar Semanal!Tabela dinâmica24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</c:pivotFmt>
      <c:pivotFmt>
        <c:idx val="24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 pagar Semanal'!$H$3:$H$4</c:f>
              <c:strCache>
                <c:ptCount val="1"/>
                <c:pt idx="0">
                  <c:v> 1 </c:v>
                </c:pt>
              </c:strCache>
            </c:strRef>
          </c:tx>
          <c:spPr>
            <a:solidFill>
              <a:srgbClr val="F5EB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 pagar Semanal'!$G$5:$G$7</c:f>
              <c:strCache>
                <c:ptCount val="2"/>
                <c:pt idx="0">
                  <c:v>Fornecedor 4</c:v>
                </c:pt>
                <c:pt idx="1">
                  <c:v>Fornecedor 2</c:v>
                </c:pt>
              </c:strCache>
            </c:strRef>
          </c:cat>
          <c:val>
            <c:numRef>
              <c:f>'A pagar Semanal'!$H$5:$H$7</c:f>
              <c:numCache>
                <c:formatCode>_-"R$"\ * #,##0_-;\-"R$"\ * #,##0_-;_-"R$"\ * "-"??_-;_-@_-</c:formatCode>
                <c:ptCount val="2"/>
                <c:pt idx="0">
                  <c:v>1972</c:v>
                </c:pt>
                <c:pt idx="1">
                  <c:v>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2-4A3D-9553-F94E10D621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153759920"/>
        <c:axId val="171415264"/>
      </c:barChart>
      <c:catAx>
        <c:axId val="115375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15264"/>
        <c:crosses val="autoZero"/>
        <c:auto val="1"/>
        <c:lblAlgn val="ctr"/>
        <c:lblOffset val="100"/>
        <c:noMultiLvlLbl val="0"/>
      </c:catAx>
      <c:valAx>
        <c:axId val="171415264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out"/>
        <c:minorTickMark val="none"/>
        <c:tickLblPos val="nextTo"/>
        <c:crossAx val="115375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Financeiro.XLSX]Com. Mes!Vlr. COmpra mensal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'Com. Mes'!$B$3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EB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'Com. Mes'!$A$4:$A$7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'Com. Mes'!$B$4:$B$7</c:f>
              <c:numCache>
                <c:formatCode>_-"R$"\ * #,##0_-;\-"R$"\ * #,##0_-;_-"R$"\ * "-"??_-;_-@_-</c:formatCode>
                <c:ptCount val="3"/>
                <c:pt idx="0">
                  <c:v>254602.22</c:v>
                </c:pt>
                <c:pt idx="1">
                  <c:v>133308</c:v>
                </c:pt>
                <c:pt idx="2">
                  <c:v>39515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8-467F-BC54-FA15D32B0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11424"/>
        <c:axId val="1133786448"/>
      </c:barChart>
      <c:catAx>
        <c:axId val="17201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3786448"/>
        <c:crosses val="autoZero"/>
        <c:auto val="1"/>
        <c:lblAlgn val="ctr"/>
        <c:lblOffset val="100"/>
        <c:noMultiLvlLbl val="0"/>
      </c:catAx>
      <c:valAx>
        <c:axId val="1133786448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17201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Financeiro.XLSX]Com. Vlr!Peso total de compra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55571462658077"/>
          <c:y val="1.0745585356817938E-2"/>
          <c:w val="0.78401256661099183"/>
          <c:h val="0.90778817890439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'Com. Vlr'!$F$4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EB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'Com. Vlr'!$E$5:$E$6</c:f>
              <c:strCache>
                <c:ptCount val="1"/>
                <c:pt idx="0">
                  <c:v>Produto 04</c:v>
                </c:pt>
              </c:strCache>
            </c:strRef>
          </c:cat>
          <c:val>
            <c:numRef>
              <c:f>'Com. Vlr'!$F$5:$F$6</c:f>
              <c:numCache>
                <c:formatCode>#,##0</c:formatCode>
                <c:ptCount val="1"/>
                <c:pt idx="0">
                  <c:v>33788.700000000004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B-40E3-8B2A-265878FC5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7642768"/>
        <c:axId val="1140198480"/>
      </c:barChart>
      <c:catAx>
        <c:axId val="22764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198480"/>
        <c:crosses val="autoZero"/>
        <c:auto val="1"/>
        <c:lblAlgn val="ctr"/>
        <c:lblOffset val="100"/>
        <c:noMultiLvlLbl val="0"/>
      </c:catAx>
      <c:valAx>
        <c:axId val="114019848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noFill/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76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Financeiro.XLSX]Com. Mes!Peso compra mensal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EB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'Com. Mes'!$E$3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EB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'Com. Mes'!$D$4:$D$7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'Com. Mes'!$E$4:$E$7</c:f>
              <c:numCache>
                <c:formatCode>#,##0</c:formatCode>
                <c:ptCount val="3"/>
                <c:pt idx="0">
                  <c:v>21203.600000000002</c:v>
                </c:pt>
                <c:pt idx="1">
                  <c:v>6375.6</c:v>
                </c:pt>
                <c:pt idx="2">
                  <c:v>6209.5000000000009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B-4611-B2A1-7685D5E95F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4175935"/>
        <c:axId val="1233661567"/>
      </c:barChart>
      <c:catAx>
        <c:axId val="123417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661567"/>
        <c:crosses val="autoZero"/>
        <c:auto val="1"/>
        <c:lblAlgn val="ctr"/>
        <c:lblOffset val="100"/>
        <c:noMultiLvlLbl val="0"/>
      </c:catAx>
      <c:valAx>
        <c:axId val="123366156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3417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Financeiro.XLSX]Prazo!Clientes devendo (aberto)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4279021370997649"/>
          <c:y val="2.4806198246803739E-2"/>
          <c:w val="0.42943200298894518"/>
          <c:h val="0.950387603506392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Prazo!$B$16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Prazo!$A$17:$A$24</c:f>
              <c:strCache>
                <c:ptCount val="7"/>
                <c:pt idx="0">
                  <c:v>Cliente J</c:v>
                </c:pt>
                <c:pt idx="1">
                  <c:v>Cliente H</c:v>
                </c:pt>
                <c:pt idx="2">
                  <c:v>Cliente G</c:v>
                </c:pt>
                <c:pt idx="3">
                  <c:v>Cliente F</c:v>
                </c:pt>
                <c:pt idx="4">
                  <c:v>Cliente E</c:v>
                </c:pt>
                <c:pt idx="5">
                  <c:v>Cliente C</c:v>
                </c:pt>
                <c:pt idx="6">
                  <c:v>Cliente B</c:v>
                </c:pt>
              </c:strCache>
            </c:strRef>
          </c:cat>
          <c:val>
            <c:numRef>
              <c:f>Prazo!$B$17:$B$24</c:f>
              <c:numCache>
                <c:formatCode>_("R$"* #,##0.00_);_("R$"* \(#,##0.00\);_("R$"* "-"??_);_(@_)</c:formatCode>
                <c:ptCount val="7"/>
                <c:pt idx="0">
                  <c:v>1610</c:v>
                </c:pt>
                <c:pt idx="1">
                  <c:v>952</c:v>
                </c:pt>
                <c:pt idx="2">
                  <c:v>3958</c:v>
                </c:pt>
                <c:pt idx="3">
                  <c:v>2268</c:v>
                </c:pt>
                <c:pt idx="4">
                  <c:v>3331</c:v>
                </c:pt>
                <c:pt idx="5">
                  <c:v>967</c:v>
                </c:pt>
                <c:pt idx="6">
                  <c:v>3251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E-442C-9659-71114E832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695503"/>
        <c:axId val="1246195551"/>
      </c:barChart>
      <c:catAx>
        <c:axId val="124769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6195551"/>
        <c:crosses val="autoZero"/>
        <c:auto val="1"/>
        <c:lblAlgn val="ctr"/>
        <c:lblOffset val="100"/>
        <c:noMultiLvlLbl val="0"/>
      </c:catAx>
      <c:valAx>
        <c:axId val="12461955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4769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Financeiro.XLSX]Prazo!Tabela dinâmica1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 algn="l">
                <a:defRPr lang="en-US" sz="1000" b="1" i="0" u="none" strike="noStrike" kern="1200" baseline="0">
                  <a:solidFill>
                    <a:srgbClr val="F5EBD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876541000556751"/>
          <c:y val="2.4691358024691357E-2"/>
          <c:w val="0.47345681221665475"/>
          <c:h val="0.950617283950617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Prazo!$H$17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 algn="l">
                  <a:defRPr lang="en-US" sz="1000" b="1" i="0" u="none" strike="noStrike" kern="1200" baseline="0">
                    <a:solidFill>
                      <a:srgbClr val="F5EBD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Prazo!$G$18:$G$28</c:f>
              <c:strCache>
                <c:ptCount val="10"/>
                <c:pt idx="0">
                  <c:v>Cliente J</c:v>
                </c:pt>
                <c:pt idx="1">
                  <c:v>Cliente I</c:v>
                </c:pt>
                <c:pt idx="2">
                  <c:v>Cliente H</c:v>
                </c:pt>
                <c:pt idx="3">
                  <c:v>Cliente G</c:v>
                </c:pt>
                <c:pt idx="4">
                  <c:v>Cliente F</c:v>
                </c:pt>
                <c:pt idx="5">
                  <c:v>Cliente E</c:v>
                </c:pt>
                <c:pt idx="6">
                  <c:v>Cliente D</c:v>
                </c:pt>
                <c:pt idx="7">
                  <c:v>Cliente C</c:v>
                </c:pt>
                <c:pt idx="8">
                  <c:v>Cliente B</c:v>
                </c:pt>
                <c:pt idx="9">
                  <c:v>Cliente A</c:v>
                </c:pt>
              </c:strCache>
            </c:strRef>
          </c:cat>
          <c:val>
            <c:numRef>
              <c:f>Prazo!$H$18:$H$28</c:f>
              <c:numCache>
                <c:formatCode>_("R$"* #,##0.00_);_("R$"* \(#,##0.00\);_("R$"* "-"??_);_(@_)</c:formatCode>
                <c:ptCount val="10"/>
                <c:pt idx="0">
                  <c:v>11120</c:v>
                </c:pt>
                <c:pt idx="1">
                  <c:v>13803</c:v>
                </c:pt>
                <c:pt idx="2">
                  <c:v>18652</c:v>
                </c:pt>
                <c:pt idx="3">
                  <c:v>18465</c:v>
                </c:pt>
                <c:pt idx="4">
                  <c:v>25157</c:v>
                </c:pt>
                <c:pt idx="5">
                  <c:v>10204</c:v>
                </c:pt>
                <c:pt idx="6">
                  <c:v>11602</c:v>
                </c:pt>
                <c:pt idx="7">
                  <c:v>31085</c:v>
                </c:pt>
                <c:pt idx="8">
                  <c:v>13406</c:v>
                </c:pt>
                <c:pt idx="9">
                  <c:v>19524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9-436A-8050-E22FB21D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2413536"/>
        <c:axId val="812412552"/>
      </c:barChart>
      <c:catAx>
        <c:axId val="81241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F5EBDC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412552"/>
        <c:crosses val="autoZero"/>
        <c:auto val="1"/>
        <c:lblAlgn val="ctr"/>
        <c:lblOffset val="100"/>
        <c:noMultiLvlLbl val="0"/>
      </c:catAx>
      <c:valAx>
        <c:axId val="8124125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1241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1.png"/><Relationship Id="rId7" Type="http://schemas.openxmlformats.org/officeDocument/2006/relationships/chart" Target="../charts/chart4.xml"/><Relationship Id="rId12" Type="http://schemas.openxmlformats.org/officeDocument/2006/relationships/image" Target="../media/image4.png"/><Relationship Id="rId2" Type="http://schemas.openxmlformats.org/officeDocument/2006/relationships/hyperlink" Target="#'DashBoard Compras'!A1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11" Type="http://schemas.openxmlformats.org/officeDocument/2006/relationships/image" Target="../media/image3.svg"/><Relationship Id="rId5" Type="http://schemas.openxmlformats.org/officeDocument/2006/relationships/chart" Target="../charts/chart2.xml"/><Relationship Id="rId10" Type="http://schemas.openxmlformats.org/officeDocument/2006/relationships/image" Target="../media/image2.png"/><Relationship Id="rId4" Type="http://schemas.microsoft.com/office/2007/relationships/hdphoto" Target="../media/hdphoto1.wdp"/><Relationship Id="rId9" Type="http://schemas.openxmlformats.org/officeDocument/2006/relationships/hyperlink" Target="#'DashBoard Receber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Receber'!A1"/><Relationship Id="rId3" Type="http://schemas.microsoft.com/office/2007/relationships/hdphoto" Target="../media/hdphoto2.wdp"/><Relationship Id="rId7" Type="http://schemas.openxmlformats.org/officeDocument/2006/relationships/chart" Target="../charts/chart9.xml"/><Relationship Id="rId2" Type="http://schemas.openxmlformats.org/officeDocument/2006/relationships/image" Target="../media/image5.png"/><Relationship Id="rId1" Type="http://schemas.openxmlformats.org/officeDocument/2006/relationships/hyperlink" Target="#'DashBoard Vendas'!A1"/><Relationship Id="rId6" Type="http://schemas.openxmlformats.org/officeDocument/2006/relationships/chart" Target="../charts/chart8.xml"/><Relationship Id="rId11" Type="http://schemas.openxmlformats.org/officeDocument/2006/relationships/image" Target="../media/image4.png"/><Relationship Id="rId5" Type="http://schemas.openxmlformats.org/officeDocument/2006/relationships/chart" Target="../charts/chart7.xml"/><Relationship Id="rId10" Type="http://schemas.openxmlformats.org/officeDocument/2006/relationships/image" Target="../media/image3.svg"/><Relationship Id="rId4" Type="http://schemas.openxmlformats.org/officeDocument/2006/relationships/chart" Target="../charts/chart6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microsoft.com/office/2007/relationships/hdphoto" Target="../media/hdphoto2.wdp"/><Relationship Id="rId7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'DashBoard Vendas'!A1"/><Relationship Id="rId6" Type="http://schemas.openxmlformats.org/officeDocument/2006/relationships/image" Target="../media/image1.png"/><Relationship Id="rId5" Type="http://schemas.openxmlformats.org/officeDocument/2006/relationships/hyperlink" Target="#'DashBoard Compras'!A1"/><Relationship Id="rId4" Type="http://schemas.openxmlformats.org/officeDocument/2006/relationships/chart" Target="../charts/chart10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9525</xdr:rowOff>
    </xdr:from>
    <xdr:to>
      <xdr:col>21</xdr:col>
      <xdr:colOff>0</xdr:colOff>
      <xdr:row>38</xdr:row>
      <xdr:rowOff>9525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D70CBAEA-97BC-4063-9D60-4E976D66A46A}"/>
            </a:ext>
          </a:extLst>
        </xdr:cNvPr>
        <xdr:cNvSpPr/>
      </xdr:nvSpPr>
      <xdr:spPr>
        <a:xfrm>
          <a:off x="9526" y="9525"/>
          <a:ext cx="12801600" cy="7239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481499</xdr:colOff>
      <xdr:row>1</xdr:row>
      <xdr:rowOff>826</xdr:rowOff>
    </xdr:from>
    <xdr:to>
      <xdr:col>9</xdr:col>
      <xdr:colOff>509099</xdr:colOff>
      <xdr:row>5</xdr:row>
      <xdr:rowOff>57338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B4125F59-6D26-4587-AC06-9CE3DE93183D}"/>
            </a:ext>
          </a:extLst>
        </xdr:cNvPr>
        <xdr:cNvSpPr/>
      </xdr:nvSpPr>
      <xdr:spPr>
        <a:xfrm>
          <a:off x="3529499" y="96076"/>
          <a:ext cx="2466000" cy="818512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Peso Total Vendido</a:t>
          </a:r>
        </a:p>
      </xdr:txBody>
    </xdr:sp>
    <xdr:clientData/>
  </xdr:twoCellAnchor>
  <xdr:twoCellAnchor>
    <xdr:from>
      <xdr:col>5</xdr:col>
      <xdr:colOff>481499</xdr:colOff>
      <xdr:row>2</xdr:row>
      <xdr:rowOff>152476</xdr:rowOff>
    </xdr:from>
    <xdr:to>
      <xdr:col>9</xdr:col>
      <xdr:colOff>509099</xdr:colOff>
      <xdr:row>5</xdr:row>
      <xdr:rowOff>56959</xdr:rowOff>
    </xdr:to>
    <xdr:sp macro="" textlink="'Ven. Peso e Valor'!B2">
      <xdr:nvSpPr>
        <xdr:cNvPr id="6" name="CaixaDeTexto 5">
          <a:extLst>
            <a:ext uri="{FF2B5EF4-FFF2-40B4-BE49-F238E27FC236}">
              <a16:creationId xmlns:a16="http://schemas.microsoft.com/office/drawing/2014/main" id="{87D4280C-F6F6-42D9-9ED5-620DE68959FB}"/>
            </a:ext>
          </a:extLst>
        </xdr:cNvPr>
        <xdr:cNvSpPr txBox="1"/>
      </xdr:nvSpPr>
      <xdr:spPr>
        <a:xfrm>
          <a:off x="3529499" y="438226"/>
          <a:ext cx="2466000" cy="47598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7476FA5F-A7CF-4996-94F6-1FCC07F1C3A1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330.799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129075</xdr:colOff>
      <xdr:row>0</xdr:row>
      <xdr:rowOff>153038</xdr:rowOff>
    </xdr:from>
    <xdr:to>
      <xdr:col>18</xdr:col>
      <xdr:colOff>156675</xdr:colOff>
      <xdr:row>5</xdr:row>
      <xdr:rowOff>57338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68BBBE3-C9DA-4363-BE15-74E119A67CAF}"/>
            </a:ext>
          </a:extLst>
        </xdr:cNvPr>
        <xdr:cNvSpPr/>
      </xdr:nvSpPr>
      <xdr:spPr>
        <a:xfrm>
          <a:off x="8663475" y="153038"/>
          <a:ext cx="2466000" cy="856800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Valor Total Vendido</a:t>
          </a:r>
        </a:p>
      </xdr:txBody>
    </xdr:sp>
    <xdr:clientData/>
  </xdr:twoCellAnchor>
  <xdr:twoCellAnchor>
    <xdr:from>
      <xdr:col>14</xdr:col>
      <xdr:colOff>129075</xdr:colOff>
      <xdr:row>2</xdr:row>
      <xdr:rowOff>141670</xdr:rowOff>
    </xdr:from>
    <xdr:to>
      <xdr:col>18</xdr:col>
      <xdr:colOff>156675</xdr:colOff>
      <xdr:row>5</xdr:row>
      <xdr:rowOff>56152</xdr:rowOff>
    </xdr:to>
    <xdr:sp macro="" textlink="'Ven. Peso e Valor'!B1">
      <xdr:nvSpPr>
        <xdr:cNvPr id="8" name="CaixaDeTexto 7">
          <a:extLst>
            <a:ext uri="{FF2B5EF4-FFF2-40B4-BE49-F238E27FC236}">
              <a16:creationId xmlns:a16="http://schemas.microsoft.com/office/drawing/2014/main" id="{EC773FD2-15B8-4515-9B46-7FEED17F1815}"/>
            </a:ext>
          </a:extLst>
        </xdr:cNvPr>
        <xdr:cNvSpPr txBox="1"/>
      </xdr:nvSpPr>
      <xdr:spPr>
        <a:xfrm>
          <a:off x="8663475" y="522670"/>
          <a:ext cx="2466000" cy="4859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2019EA01-2D05-4DDF-B228-AF87C7B0EB6B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 R$ 378.309,00 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400050</xdr:colOff>
      <xdr:row>8</xdr:row>
      <xdr:rowOff>35120</xdr:rowOff>
    </xdr:from>
    <xdr:to>
      <xdr:col>11</xdr:col>
      <xdr:colOff>561975</xdr:colOff>
      <xdr:row>18</xdr:row>
      <xdr:rowOff>150020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F6A5D55-3C0C-4EC5-934D-3FCE83D2C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42863</xdr:colOff>
      <xdr:row>19</xdr:row>
      <xdr:rowOff>66675</xdr:rowOff>
    </xdr:from>
    <xdr:to>
      <xdr:col>20</xdr:col>
      <xdr:colOff>200026</xdr:colOff>
      <xdr:row>37</xdr:row>
      <xdr:rowOff>31750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558F4DA9-9F01-4294-8D10-477C08575C25}"/>
            </a:ext>
          </a:extLst>
        </xdr:cNvPr>
        <xdr:cNvSpPr/>
      </xdr:nvSpPr>
      <xdr:spPr>
        <a:xfrm>
          <a:off x="7408863" y="3590925"/>
          <a:ext cx="5067830" cy="3394075"/>
        </a:xfrm>
        <a:prstGeom prst="roundRect">
          <a:avLst>
            <a:gd name="adj" fmla="val 2973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Top 10 Compradores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487</xdr:colOff>
      <xdr:row>0</xdr:row>
      <xdr:rowOff>153038</xdr:rowOff>
    </xdr:from>
    <xdr:to>
      <xdr:col>14</xdr:col>
      <xdr:colOff>28087</xdr:colOff>
      <xdr:row>5</xdr:row>
      <xdr:rowOff>57338</xdr:rowOff>
    </xdr:to>
    <xdr:sp macro="" textlink="">
      <xdr:nvSpPr>
        <xdr:cNvPr id="73" name="Retângulo: Cantos Arredondados 72">
          <a:extLst>
            <a:ext uri="{FF2B5EF4-FFF2-40B4-BE49-F238E27FC236}">
              <a16:creationId xmlns:a16="http://schemas.microsoft.com/office/drawing/2014/main" id="{55ACD979-7DF9-44DF-A92C-30B0DADB6937}"/>
            </a:ext>
          </a:extLst>
        </xdr:cNvPr>
        <xdr:cNvSpPr/>
      </xdr:nvSpPr>
      <xdr:spPr>
        <a:xfrm>
          <a:off x="6096487" y="153038"/>
          <a:ext cx="2466000" cy="856800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Valor do Kg</a:t>
          </a:r>
        </a:p>
      </xdr:txBody>
    </xdr:sp>
    <xdr:clientData/>
  </xdr:twoCellAnchor>
  <xdr:twoCellAnchor>
    <xdr:from>
      <xdr:col>10</xdr:col>
      <xdr:colOff>487</xdr:colOff>
      <xdr:row>2</xdr:row>
      <xdr:rowOff>141670</xdr:rowOff>
    </xdr:from>
    <xdr:to>
      <xdr:col>14</xdr:col>
      <xdr:colOff>28087</xdr:colOff>
      <xdr:row>5</xdr:row>
      <xdr:rowOff>56152</xdr:rowOff>
    </xdr:to>
    <xdr:sp macro="" textlink="'Ven. Peso e Valor'!B3">
      <xdr:nvSpPr>
        <xdr:cNvPr id="74" name="CaixaDeTexto 73">
          <a:extLst>
            <a:ext uri="{FF2B5EF4-FFF2-40B4-BE49-F238E27FC236}">
              <a16:creationId xmlns:a16="http://schemas.microsoft.com/office/drawing/2014/main" id="{6BC2B038-6333-4923-9ABF-939FAB870AB3}"/>
            </a:ext>
          </a:extLst>
        </xdr:cNvPr>
        <xdr:cNvSpPr txBox="1"/>
      </xdr:nvSpPr>
      <xdr:spPr>
        <a:xfrm>
          <a:off x="6096487" y="522670"/>
          <a:ext cx="2466000" cy="4859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1D96E69C-40FC-42AC-9E53-19F1FD4DE8B8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 R$ 1,14 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104774</xdr:colOff>
      <xdr:row>1</xdr:row>
      <xdr:rowOff>638</xdr:rowOff>
    </xdr:from>
    <xdr:to>
      <xdr:col>3</xdr:col>
      <xdr:colOff>323849</xdr:colOff>
      <xdr:row>37</xdr:row>
      <xdr:rowOff>43838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FD1175A1-74B2-47F7-8DA9-9429A8840D37}"/>
            </a:ext>
          </a:extLst>
        </xdr:cNvPr>
        <xdr:cNvSpPr/>
      </xdr:nvSpPr>
      <xdr:spPr>
        <a:xfrm>
          <a:off x="104774" y="95888"/>
          <a:ext cx="2047875" cy="6901200"/>
        </a:xfrm>
        <a:prstGeom prst="roundRect">
          <a:avLst>
            <a:gd name="adj" fmla="val 503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200024</xdr:colOff>
      <xdr:row>6</xdr:row>
      <xdr:rowOff>146305</xdr:rowOff>
    </xdr:from>
    <xdr:to>
      <xdr:col>1</xdr:col>
      <xdr:colOff>162888</xdr:colOff>
      <xdr:row>8</xdr:row>
      <xdr:rowOff>139446</xdr:rowOff>
    </xdr:to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68E0153D-EF15-40CC-9D0D-581C8CE1C04C}"/>
            </a:ext>
          </a:extLst>
        </xdr:cNvPr>
        <xdr:cNvSpPr txBox="1"/>
      </xdr:nvSpPr>
      <xdr:spPr>
        <a:xfrm>
          <a:off x="200024" y="1194055"/>
          <a:ext cx="57246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Ano</a:t>
          </a:r>
        </a:p>
      </xdr:txBody>
    </xdr:sp>
    <xdr:clientData/>
  </xdr:twoCellAnchor>
  <xdr:twoCellAnchor>
    <xdr:from>
      <xdr:col>0</xdr:col>
      <xdr:colOff>200024</xdr:colOff>
      <xdr:row>11</xdr:row>
      <xdr:rowOff>155830</xdr:rowOff>
    </xdr:from>
    <xdr:to>
      <xdr:col>1</xdr:col>
      <xdr:colOff>555945</xdr:colOff>
      <xdr:row>13</xdr:row>
      <xdr:rowOff>148971</xdr:rowOff>
    </xdr:to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376E681D-E643-4EB1-8600-69120A88EB48}"/>
            </a:ext>
          </a:extLst>
        </xdr:cNvPr>
        <xdr:cNvSpPr txBox="1"/>
      </xdr:nvSpPr>
      <xdr:spPr>
        <a:xfrm>
          <a:off x="200024" y="2156080"/>
          <a:ext cx="9655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Produto</a:t>
          </a:r>
        </a:p>
      </xdr:txBody>
    </xdr:sp>
    <xdr:clientData/>
  </xdr:twoCellAnchor>
  <xdr:twoCellAnchor>
    <xdr:from>
      <xdr:col>3</xdr:col>
      <xdr:colOff>414337</xdr:colOff>
      <xdr:row>19</xdr:row>
      <xdr:rowOff>66676</xdr:rowOff>
    </xdr:from>
    <xdr:to>
      <xdr:col>11</xdr:col>
      <xdr:colOff>576262</xdr:colOff>
      <xdr:row>37</xdr:row>
      <xdr:rowOff>31750</xdr:rowOff>
    </xdr:to>
    <xdr:sp macro="" textlink="">
      <xdr:nvSpPr>
        <xdr:cNvPr id="68" name="Retângulo: Cantos Arredondados 67">
          <a:extLst>
            <a:ext uri="{FF2B5EF4-FFF2-40B4-BE49-F238E27FC236}">
              <a16:creationId xmlns:a16="http://schemas.microsoft.com/office/drawing/2014/main" id="{A0D3364D-BC23-437B-9E0A-00D202E212F0}"/>
            </a:ext>
          </a:extLst>
        </xdr:cNvPr>
        <xdr:cNvSpPr/>
      </xdr:nvSpPr>
      <xdr:spPr>
        <a:xfrm>
          <a:off x="2255837" y="3590926"/>
          <a:ext cx="5072592" cy="3394074"/>
        </a:xfrm>
        <a:prstGeom prst="roundRect">
          <a:avLst>
            <a:gd name="adj" fmla="val 2715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Itens x Vendas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161220</xdr:colOff>
      <xdr:row>33</xdr:row>
      <xdr:rowOff>10646</xdr:rowOff>
    </xdr:from>
    <xdr:to>
      <xdr:col>1</xdr:col>
      <xdr:colOff>505620</xdr:colOff>
      <xdr:row>36</xdr:row>
      <xdr:rowOff>180746</xdr:rowOff>
    </xdr:to>
    <xdr:grpSp>
      <xdr:nvGrpSpPr>
        <xdr:cNvPr id="31" name="Agrupar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317D4B-3736-4513-8DFF-9A11FB07907E}"/>
            </a:ext>
          </a:extLst>
        </xdr:cNvPr>
        <xdr:cNvGrpSpPr/>
      </xdr:nvGrpSpPr>
      <xdr:grpSpPr>
        <a:xfrm>
          <a:off x="161220" y="6201896"/>
          <a:ext cx="958233" cy="741600"/>
          <a:chOff x="1151820" y="6382871"/>
          <a:chExt cx="954000" cy="741600"/>
        </a:xfrm>
        <a:solidFill>
          <a:schemeClr val="tx1"/>
        </a:solidFill>
      </xdr:grpSpPr>
      <xdr:sp macro="" textlink="">
        <xdr:nvSpPr>
          <xdr:cNvPr id="60" name="Retângulo: Cantos Arredondados 59">
            <a:extLst>
              <a:ext uri="{FF2B5EF4-FFF2-40B4-BE49-F238E27FC236}">
                <a16:creationId xmlns:a16="http://schemas.microsoft.com/office/drawing/2014/main" id="{E9F094D6-123E-45D6-83B4-6BBD42B52F40}"/>
              </a:ext>
            </a:extLst>
          </xdr:cNvPr>
          <xdr:cNvSpPr/>
        </xdr:nvSpPr>
        <xdr:spPr>
          <a:xfrm>
            <a:off x="1151820" y="6382871"/>
            <a:ext cx="954000" cy="74160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400" b="1">
                <a:solidFill>
                  <a:srgbClr val="BCBDC2"/>
                </a:solidFill>
              </a:rPr>
              <a:t>Compras</a:t>
            </a:r>
          </a:p>
        </xdr:txBody>
      </xdr:sp>
      <xdr:pic>
        <xdr:nvPicPr>
          <xdr:cNvPr id="72" name="Imagem 71">
            <a:extLst>
              <a:ext uri="{FF2B5EF4-FFF2-40B4-BE49-F238E27FC236}">
                <a16:creationId xmlns:a16="http://schemas.microsoft.com/office/drawing/2014/main" id="{3DE5C847-37B0-4636-BFD2-36D7334ABE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2344" b="99219" l="4297" r="93555">
                        <a14:foregroundMark x1="91797" y1="31250" x2="91797" y2="31250"/>
                        <a14:foregroundMark x1="93555" y1="38672" x2="93555" y2="38672"/>
                        <a14:foregroundMark x1="16211" y1="6836" x2="16211" y2="6836"/>
                        <a14:foregroundMark x1="8594" y1="3125" x2="8594" y2="3125"/>
                        <a14:foregroundMark x1="4297" y1="2734" x2="4297" y2="2734"/>
                        <a14:foregroundMark x1="44727" y1="92578" x2="44727" y2="92578"/>
                        <a14:foregroundMark x1="34570" y1="96094" x2="34570" y2="96094"/>
                        <a14:foregroundMark x1="37891" y1="99219" x2="37891" y2="99219"/>
                        <a14:foregroundMark x1="82031" y1="99219" x2="82031" y2="99219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414813" y="6467475"/>
            <a:ext cx="428014" cy="428014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3</xdr:col>
      <xdr:colOff>414337</xdr:colOff>
      <xdr:row>5</xdr:row>
      <xdr:rowOff>140493</xdr:rowOff>
    </xdr:from>
    <xdr:to>
      <xdr:col>11</xdr:col>
      <xdr:colOff>576262</xdr:colOff>
      <xdr:row>18</xdr:row>
      <xdr:rowOff>183993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38A60F36-2624-4EB7-A1FE-E48142DC0A79}"/>
            </a:ext>
          </a:extLst>
        </xdr:cNvPr>
        <xdr:cNvSpPr/>
      </xdr:nvSpPr>
      <xdr:spPr>
        <a:xfrm>
          <a:off x="2243137" y="997743"/>
          <a:ext cx="5038725" cy="2520000"/>
        </a:xfrm>
        <a:prstGeom prst="roundRect">
          <a:avLst>
            <a:gd name="adj" fmla="val 4169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Peso Mensal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409575</xdr:colOff>
      <xdr:row>7</xdr:row>
      <xdr:rowOff>63339</xdr:rowOff>
    </xdr:from>
    <xdr:to>
      <xdr:col>11</xdr:col>
      <xdr:colOff>561975</xdr:colOff>
      <xdr:row>19</xdr:row>
      <xdr:rowOff>0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15ED42F8-6396-4696-961D-D4F8FDEED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533398</xdr:colOff>
      <xdr:row>20</xdr:row>
      <xdr:rowOff>104775</xdr:rowOff>
    </xdr:from>
    <xdr:to>
      <xdr:col>11</xdr:col>
      <xdr:colOff>533400</xdr:colOff>
      <xdr:row>39</xdr:row>
      <xdr:rowOff>19050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F16CB299-05E1-4EFC-B97C-FE3447DBD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200024</xdr:colOff>
      <xdr:row>8</xdr:row>
      <xdr:rowOff>95250</xdr:rowOff>
    </xdr:from>
    <xdr:to>
      <xdr:col>3</xdr:col>
      <xdr:colOff>200024</xdr:colOff>
      <xdr:row>12</xdr:row>
      <xdr:rowOff>9526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7" name="Anos 1">
              <a:extLst>
                <a:ext uri="{FF2B5EF4-FFF2-40B4-BE49-F238E27FC236}">
                  <a16:creationId xmlns:a16="http://schemas.microsoft.com/office/drawing/2014/main" id="{B90DD32E-1E35-4DCE-BA6D-D47F2DD347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1524000"/>
              <a:ext cx="1824404" cy="676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12</xdr:col>
      <xdr:colOff>42863</xdr:colOff>
      <xdr:row>5</xdr:row>
      <xdr:rowOff>140493</xdr:rowOff>
    </xdr:from>
    <xdr:to>
      <xdr:col>20</xdr:col>
      <xdr:colOff>204788</xdr:colOff>
      <xdr:row>18</xdr:row>
      <xdr:rowOff>183993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8EEE24EC-403E-458B-9ED3-2CC612A1A7AF}"/>
            </a:ext>
          </a:extLst>
        </xdr:cNvPr>
        <xdr:cNvSpPr/>
      </xdr:nvSpPr>
      <xdr:spPr>
        <a:xfrm>
          <a:off x="7358063" y="997743"/>
          <a:ext cx="5038725" cy="2520000"/>
        </a:xfrm>
        <a:prstGeom prst="roundRect">
          <a:avLst>
            <a:gd name="adj" fmla="val 3413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Vendas Mensal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47625</xdr:colOff>
      <xdr:row>7</xdr:row>
      <xdr:rowOff>47623</xdr:rowOff>
    </xdr:from>
    <xdr:to>
      <xdr:col>20</xdr:col>
      <xdr:colOff>200025</xdr:colOff>
      <xdr:row>18</xdr:row>
      <xdr:rowOff>173323</xdr:rowOff>
    </xdr:to>
    <xdr:graphicFrame macro="">
      <xdr:nvGraphicFramePr>
        <xdr:cNvPr id="71" name="Gráfico 70">
          <a:extLst>
            <a:ext uri="{FF2B5EF4-FFF2-40B4-BE49-F238E27FC236}">
              <a16:creationId xmlns:a16="http://schemas.microsoft.com/office/drawing/2014/main" id="{38748C87-E016-41CE-8F31-A52406ECC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200024</xdr:colOff>
      <xdr:row>13</xdr:row>
      <xdr:rowOff>95250</xdr:rowOff>
    </xdr:from>
    <xdr:to>
      <xdr:col>3</xdr:col>
      <xdr:colOff>200024</xdr:colOff>
      <xdr:row>32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9" name="Descrição Resumida">
              <a:extLst>
                <a:ext uri="{FF2B5EF4-FFF2-40B4-BE49-F238E27FC236}">
                  <a16:creationId xmlns:a16="http://schemas.microsoft.com/office/drawing/2014/main" id="{EFDC1B12-A39E-46F3-B6C4-A74C1407D0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ão Resumi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2476500"/>
              <a:ext cx="1824404" cy="3609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12</xdr:col>
      <xdr:colOff>47625</xdr:colOff>
      <xdr:row>21</xdr:row>
      <xdr:rowOff>38099</xdr:rowOff>
    </xdr:from>
    <xdr:to>
      <xdr:col>20</xdr:col>
      <xdr:colOff>200025</xdr:colOff>
      <xdr:row>37</xdr:row>
      <xdr:rowOff>85724</xdr:rowOff>
    </xdr:to>
    <xdr:graphicFrame macro="">
      <xdr:nvGraphicFramePr>
        <xdr:cNvPr id="80" name="Gráfico 79">
          <a:extLst>
            <a:ext uri="{FF2B5EF4-FFF2-40B4-BE49-F238E27FC236}">
              <a16:creationId xmlns:a16="http://schemas.microsoft.com/office/drawing/2014/main" id="{5212B535-04CA-4425-9961-37F46C542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542925</xdr:colOff>
      <xdr:row>33</xdr:row>
      <xdr:rowOff>9525</xdr:rowOff>
    </xdr:from>
    <xdr:to>
      <xdr:col>3</xdr:col>
      <xdr:colOff>279457</xdr:colOff>
      <xdr:row>36</xdr:row>
      <xdr:rowOff>183299</xdr:rowOff>
    </xdr:to>
    <xdr:grpSp>
      <xdr:nvGrpSpPr>
        <xdr:cNvPr id="2" name="Agrupar 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48BC579-CF3D-46E7-965C-8175291E9331}"/>
            </a:ext>
          </a:extLst>
        </xdr:cNvPr>
        <xdr:cNvGrpSpPr/>
      </xdr:nvGrpSpPr>
      <xdr:grpSpPr>
        <a:xfrm>
          <a:off x="1156758" y="6200775"/>
          <a:ext cx="964199" cy="745274"/>
          <a:chOff x="1152525" y="6200775"/>
          <a:chExt cx="955732" cy="745274"/>
        </a:xfrm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752298BA-9757-4474-A4AC-670390FA66CC}"/>
              </a:ext>
            </a:extLst>
          </xdr:cNvPr>
          <xdr:cNvSpPr/>
        </xdr:nvSpPr>
        <xdr:spPr>
          <a:xfrm>
            <a:off x="1152525" y="6204449"/>
            <a:ext cx="955732" cy="741600"/>
          </a:xfrm>
          <a:prstGeom prst="roundRect">
            <a:avLst/>
          </a:prstGeom>
          <a:solidFill>
            <a:schemeClr val="tx1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600" b="1">
                <a:solidFill>
                  <a:srgbClr val="BCBDC2"/>
                </a:solidFill>
              </a:rPr>
              <a:t>Receber</a:t>
            </a:r>
          </a:p>
        </xdr:txBody>
      </xdr:sp>
      <xdr:pic>
        <xdr:nvPicPr>
          <xdr:cNvPr id="35" name="Gráfico 34" descr="Dinheiro">
            <a:extLst>
              <a:ext uri="{FF2B5EF4-FFF2-40B4-BE49-F238E27FC236}">
                <a16:creationId xmlns:a16="http://schemas.microsoft.com/office/drawing/2014/main" id="{DA62D153-1174-483F-8E35-7EA6D1BACE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372802" y="6200775"/>
            <a:ext cx="502227" cy="515216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476249</xdr:colOff>
      <xdr:row>1</xdr:row>
      <xdr:rowOff>67313</xdr:rowOff>
    </xdr:from>
    <xdr:to>
      <xdr:col>2</xdr:col>
      <xdr:colOff>503159</xdr:colOff>
      <xdr:row>6</xdr:row>
      <xdr:rowOff>162563</xdr:rowOff>
    </xdr:to>
    <xdr:pic>
      <xdr:nvPicPr>
        <xdr:cNvPr id="38" name="Picture 2" descr="logo-retina – JC Depósito | Boracéia">
          <a:extLst>
            <a:ext uri="{FF2B5EF4-FFF2-40B4-BE49-F238E27FC236}">
              <a16:creationId xmlns:a16="http://schemas.microsoft.com/office/drawing/2014/main" id="{88DEE4B1-1508-42A9-B52F-725C975E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162563"/>
          <a:ext cx="124611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21</xdr:col>
      <xdr:colOff>0</xdr:colOff>
      <xdr:row>38</xdr:row>
      <xdr:rowOff>9525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1C2BF4F-BA12-4ED0-9D86-8EF85481BF37}"/>
            </a:ext>
          </a:extLst>
        </xdr:cNvPr>
        <xdr:cNvSpPr/>
      </xdr:nvSpPr>
      <xdr:spPr>
        <a:xfrm>
          <a:off x="9525" y="9525"/>
          <a:ext cx="12792075" cy="7239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104774</xdr:colOff>
      <xdr:row>0</xdr:row>
      <xdr:rowOff>161925</xdr:rowOff>
    </xdr:from>
    <xdr:to>
      <xdr:col>3</xdr:col>
      <xdr:colOff>323849</xdr:colOff>
      <xdr:row>37</xdr:row>
      <xdr:rowOff>41672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B305533-1A69-40F1-A84B-D59E6D75C27D}"/>
            </a:ext>
          </a:extLst>
        </xdr:cNvPr>
        <xdr:cNvSpPr/>
      </xdr:nvSpPr>
      <xdr:spPr>
        <a:xfrm>
          <a:off x="104774" y="161925"/>
          <a:ext cx="2040731" cy="6928247"/>
        </a:xfrm>
        <a:prstGeom prst="roundRect">
          <a:avLst>
            <a:gd name="adj" fmla="val 503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419100</xdr:colOff>
      <xdr:row>0</xdr:row>
      <xdr:rowOff>153038</xdr:rowOff>
    </xdr:from>
    <xdr:to>
      <xdr:col>7</xdr:col>
      <xdr:colOff>446700</xdr:colOff>
      <xdr:row>5</xdr:row>
      <xdr:rowOff>57150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65CD9FA0-6063-4687-A875-315AA5A6242E}"/>
            </a:ext>
          </a:extLst>
        </xdr:cNvPr>
        <xdr:cNvSpPr/>
      </xdr:nvSpPr>
      <xdr:spPr>
        <a:xfrm>
          <a:off x="2247900" y="153038"/>
          <a:ext cx="2466000" cy="856612"/>
        </a:xfrm>
        <a:prstGeom prst="roundRect">
          <a:avLst>
            <a:gd name="adj" fmla="val 12219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Peso Total Comprado</a:t>
          </a:r>
        </a:p>
      </xdr:txBody>
    </xdr:sp>
    <xdr:clientData/>
  </xdr:twoCellAnchor>
  <xdr:twoCellAnchor>
    <xdr:from>
      <xdr:col>3</xdr:col>
      <xdr:colOff>419100</xdr:colOff>
      <xdr:row>2</xdr:row>
      <xdr:rowOff>130115</xdr:rowOff>
    </xdr:from>
    <xdr:to>
      <xdr:col>7</xdr:col>
      <xdr:colOff>446700</xdr:colOff>
      <xdr:row>5</xdr:row>
      <xdr:rowOff>56754</xdr:rowOff>
    </xdr:to>
    <xdr:sp macro="" textlink="'Com. Vlr'!F1">
      <xdr:nvSpPr>
        <xdr:cNvPr id="7" name="CaixaDeTexto 6">
          <a:extLst>
            <a:ext uri="{FF2B5EF4-FFF2-40B4-BE49-F238E27FC236}">
              <a16:creationId xmlns:a16="http://schemas.microsoft.com/office/drawing/2014/main" id="{025F95C9-73A2-4B1C-BDBD-F92A4B7783FE}"/>
            </a:ext>
          </a:extLst>
        </xdr:cNvPr>
        <xdr:cNvSpPr txBox="1"/>
      </xdr:nvSpPr>
      <xdr:spPr>
        <a:xfrm>
          <a:off x="2247900" y="511115"/>
          <a:ext cx="2466000" cy="4981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E2FBF59D-98E5-454A-A4D0-656B8A4ADEAA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33.789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166473</xdr:colOff>
      <xdr:row>0</xdr:row>
      <xdr:rowOff>153038</xdr:rowOff>
    </xdr:from>
    <xdr:to>
      <xdr:col>20</xdr:col>
      <xdr:colOff>194073</xdr:colOff>
      <xdr:row>5</xdr:row>
      <xdr:rowOff>57338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19E572A4-85F0-4B77-A51D-F816134E56B2}"/>
            </a:ext>
          </a:extLst>
        </xdr:cNvPr>
        <xdr:cNvSpPr/>
      </xdr:nvSpPr>
      <xdr:spPr>
        <a:xfrm>
          <a:off x="9920073" y="153038"/>
          <a:ext cx="2466000" cy="856800"/>
        </a:xfrm>
        <a:prstGeom prst="roundRect">
          <a:avLst>
            <a:gd name="adj" fmla="val 9997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Total Compras</a:t>
          </a:r>
        </a:p>
      </xdr:txBody>
    </xdr:sp>
    <xdr:clientData/>
  </xdr:twoCellAnchor>
  <xdr:twoCellAnchor>
    <xdr:from>
      <xdr:col>16</xdr:col>
      <xdr:colOff>166473</xdr:colOff>
      <xdr:row>2</xdr:row>
      <xdr:rowOff>141670</xdr:rowOff>
    </xdr:from>
    <xdr:to>
      <xdr:col>20</xdr:col>
      <xdr:colOff>194073</xdr:colOff>
      <xdr:row>5</xdr:row>
      <xdr:rowOff>56152</xdr:rowOff>
    </xdr:to>
    <xdr:sp macro="" textlink="'Com. Vlr'!B1">
      <xdr:nvSpPr>
        <xdr:cNvPr id="10" name="CaixaDeTexto 9">
          <a:extLst>
            <a:ext uri="{FF2B5EF4-FFF2-40B4-BE49-F238E27FC236}">
              <a16:creationId xmlns:a16="http://schemas.microsoft.com/office/drawing/2014/main" id="{C489F7FF-FECF-41E7-BD25-847E8E5DE01D}"/>
            </a:ext>
          </a:extLst>
        </xdr:cNvPr>
        <xdr:cNvSpPr txBox="1"/>
      </xdr:nvSpPr>
      <xdr:spPr>
        <a:xfrm>
          <a:off x="9920073" y="522670"/>
          <a:ext cx="2466000" cy="4859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3080115-55D0-42E4-83E6-71CF9B63D31E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 R$ 427.425 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538091</xdr:colOff>
      <xdr:row>0</xdr:row>
      <xdr:rowOff>153038</xdr:rowOff>
    </xdr:from>
    <xdr:to>
      <xdr:col>11</xdr:col>
      <xdr:colOff>565691</xdr:colOff>
      <xdr:row>5</xdr:row>
      <xdr:rowOff>57338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65227A8D-B648-4F1B-89F1-F888FA406E2F}"/>
            </a:ext>
          </a:extLst>
        </xdr:cNvPr>
        <xdr:cNvSpPr/>
      </xdr:nvSpPr>
      <xdr:spPr>
        <a:xfrm>
          <a:off x="4805291" y="153038"/>
          <a:ext cx="2466000" cy="856800"/>
        </a:xfrm>
        <a:prstGeom prst="roundRect">
          <a:avLst>
            <a:gd name="adj" fmla="val 1099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Frete sobre compras</a:t>
          </a:r>
        </a:p>
      </xdr:txBody>
    </xdr:sp>
    <xdr:clientData/>
  </xdr:twoCellAnchor>
  <xdr:twoCellAnchor>
    <xdr:from>
      <xdr:col>7</xdr:col>
      <xdr:colOff>538091</xdr:colOff>
      <xdr:row>2</xdr:row>
      <xdr:rowOff>141670</xdr:rowOff>
    </xdr:from>
    <xdr:to>
      <xdr:col>11</xdr:col>
      <xdr:colOff>565691</xdr:colOff>
      <xdr:row>5</xdr:row>
      <xdr:rowOff>56152</xdr:rowOff>
    </xdr:to>
    <xdr:sp macro="" textlink="'Com. Vlr'!J6">
      <xdr:nvSpPr>
        <xdr:cNvPr id="29" name="CaixaDeTexto 28">
          <a:extLst>
            <a:ext uri="{FF2B5EF4-FFF2-40B4-BE49-F238E27FC236}">
              <a16:creationId xmlns:a16="http://schemas.microsoft.com/office/drawing/2014/main" id="{48A1336C-80AF-4400-AB68-EF27F1BF5FA1}"/>
            </a:ext>
          </a:extLst>
        </xdr:cNvPr>
        <xdr:cNvSpPr txBox="1"/>
      </xdr:nvSpPr>
      <xdr:spPr>
        <a:xfrm>
          <a:off x="4805291" y="522670"/>
          <a:ext cx="2466000" cy="4859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1C787BF8-A4DB-4DDF-8186-F6E5A66CFCAD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 R$ 59.649 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190500</xdr:colOff>
      <xdr:row>6</xdr:row>
      <xdr:rowOff>95250</xdr:rowOff>
    </xdr:from>
    <xdr:to>
      <xdr:col>1</xdr:col>
      <xdr:colOff>153364</xdr:colOff>
      <xdr:row>8</xdr:row>
      <xdr:rowOff>88391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970659A3-7F6A-4774-9253-EE05779A2E3C}"/>
            </a:ext>
          </a:extLst>
        </xdr:cNvPr>
        <xdr:cNvSpPr txBox="1"/>
      </xdr:nvSpPr>
      <xdr:spPr>
        <a:xfrm>
          <a:off x="190500" y="1238250"/>
          <a:ext cx="57246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Ano</a:t>
          </a:r>
        </a:p>
      </xdr:txBody>
    </xdr:sp>
    <xdr:clientData/>
  </xdr:twoCellAnchor>
  <xdr:twoCellAnchor>
    <xdr:from>
      <xdr:col>0</xdr:col>
      <xdr:colOff>190500</xdr:colOff>
      <xdr:row>11</xdr:row>
      <xdr:rowOff>123825</xdr:rowOff>
    </xdr:from>
    <xdr:to>
      <xdr:col>1</xdr:col>
      <xdr:colOff>546421</xdr:colOff>
      <xdr:row>13</xdr:row>
      <xdr:rowOff>116966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DF1B676E-D16B-428A-96B9-D818DF8165C9}"/>
            </a:ext>
          </a:extLst>
        </xdr:cNvPr>
        <xdr:cNvSpPr txBox="1"/>
      </xdr:nvSpPr>
      <xdr:spPr>
        <a:xfrm>
          <a:off x="190500" y="2219325"/>
          <a:ext cx="9655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Produto</a:t>
          </a:r>
        </a:p>
      </xdr:txBody>
    </xdr:sp>
    <xdr:clientData/>
  </xdr:twoCellAnchor>
  <xdr:twoCellAnchor>
    <xdr:from>
      <xdr:col>0</xdr:col>
      <xdr:colOff>142374</xdr:colOff>
      <xdr:row>33</xdr:row>
      <xdr:rowOff>15542</xdr:rowOff>
    </xdr:from>
    <xdr:to>
      <xdr:col>1</xdr:col>
      <xdr:colOff>485277</xdr:colOff>
      <xdr:row>36</xdr:row>
      <xdr:rowOff>186763</xdr:rowOff>
    </xdr:to>
    <xdr:grpSp>
      <xdr:nvGrpSpPr>
        <xdr:cNvPr id="4" name="Agrupar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4CEE13-AF86-472F-8642-A05DE88368F4}"/>
            </a:ext>
          </a:extLst>
        </xdr:cNvPr>
        <xdr:cNvGrpSpPr/>
      </xdr:nvGrpSpPr>
      <xdr:grpSpPr>
        <a:xfrm>
          <a:off x="142374" y="6206792"/>
          <a:ext cx="956736" cy="742721"/>
          <a:chOff x="142374" y="6302042"/>
          <a:chExt cx="953369" cy="742721"/>
        </a:xfrm>
        <a:solidFill>
          <a:schemeClr val="tx1"/>
        </a:solidFill>
      </xdr:grpSpPr>
      <xdr:sp macro="" textlink="">
        <xdr:nvSpPr>
          <xdr:cNvPr id="64" name="Retângulo: Cantos Arredondados 63">
            <a:extLst>
              <a:ext uri="{FF2B5EF4-FFF2-40B4-BE49-F238E27FC236}">
                <a16:creationId xmlns:a16="http://schemas.microsoft.com/office/drawing/2014/main" id="{EA0BDBEC-9151-4F3D-BA50-0073D9AAADC1}"/>
              </a:ext>
            </a:extLst>
          </xdr:cNvPr>
          <xdr:cNvSpPr/>
        </xdr:nvSpPr>
        <xdr:spPr>
          <a:xfrm>
            <a:off x="142374" y="6302042"/>
            <a:ext cx="953369" cy="742721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400" b="1">
                <a:solidFill>
                  <a:srgbClr val="BCBDC2"/>
                </a:solidFill>
              </a:rPr>
              <a:t>Vendas</a:t>
            </a:r>
            <a:endParaRPr lang="pt-BR" sz="1100" b="1">
              <a:solidFill>
                <a:srgbClr val="BCBDC2"/>
              </a:solidFill>
            </a:endParaRPr>
          </a:p>
        </xdr:txBody>
      </xdr:sp>
      <xdr:pic>
        <xdr:nvPicPr>
          <xdr:cNvPr id="76" name="Imagem 75">
            <a:extLst>
              <a:ext uri="{FF2B5EF4-FFF2-40B4-BE49-F238E27FC236}">
                <a16:creationId xmlns:a16="http://schemas.microsoft.com/office/drawing/2014/main" id="{BE529DCD-BB8B-4A20-8370-6381A19BA4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3529" b="98301" l="3268" r="97255">
                        <a14:foregroundMark x1="92941" y1="46144" x2="92941" y2="46144"/>
                        <a14:foregroundMark x1="91634" y1="18170" x2="91634" y2="18170"/>
                        <a14:foregroundMark x1="95163" y1="27843" x2="83529" y2="14771"/>
                        <a14:foregroundMark x1="97255" y1="30458" x2="97255" y2="26667"/>
                        <a14:foregroundMark x1="75425" y1="77124" x2="75033" y2="62092"/>
                        <a14:foregroundMark x1="60131" y1="87843" x2="58954" y2="75556"/>
                        <a14:foregroundMark x1="40523" y1="87320" x2="40523" y2="75294"/>
                        <a14:foregroundMark x1="26667" y1="81830" x2="24183" y2="68758"/>
                        <a14:foregroundMark x1="6275" y1="86405" x2="6797" y2="76340"/>
                        <a14:foregroundMark x1="5752" y1="67190" x2="12941" y2="57647"/>
                        <a14:foregroundMark x1="5229" y1="93725" x2="3268" y2="83399"/>
                        <a14:foregroundMark x1="4967" y1="66275" x2="3660" y2="65882"/>
                        <a14:foregroundMark x1="7451" y1="65359" x2="3399" y2="65621"/>
                        <a14:foregroundMark x1="20915" y1="98562" x2="22614" y2="98301"/>
                        <a14:foregroundMark x1="49281" y1="35294" x2="52549" y2="30588"/>
                        <a14:foregroundMark x1="46405" y1="6797" x2="50458" y2="8105"/>
                        <a14:foregroundMark x1="47059" y1="6013" x2="47059" y2="3529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408642" y="6336723"/>
            <a:ext cx="429283" cy="428400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3</xdr:col>
      <xdr:colOff>419100</xdr:colOff>
      <xdr:row>5</xdr:row>
      <xdr:rowOff>140493</xdr:rowOff>
    </xdr:from>
    <xdr:to>
      <xdr:col>11</xdr:col>
      <xdr:colOff>571500</xdr:colOff>
      <xdr:row>21</xdr:row>
      <xdr:rowOff>28575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839A7490-B2D1-44F0-A17E-DE23C59E0BF3}"/>
            </a:ext>
          </a:extLst>
        </xdr:cNvPr>
        <xdr:cNvSpPr/>
      </xdr:nvSpPr>
      <xdr:spPr>
        <a:xfrm>
          <a:off x="2247900" y="1092993"/>
          <a:ext cx="5029200" cy="2936082"/>
        </a:xfrm>
        <a:prstGeom prst="roundRect">
          <a:avLst>
            <a:gd name="adj" fmla="val 3791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A pagar semanal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419100</xdr:colOff>
      <xdr:row>7</xdr:row>
      <xdr:rowOff>104775</xdr:rowOff>
    </xdr:from>
    <xdr:to>
      <xdr:col>11</xdr:col>
      <xdr:colOff>571500</xdr:colOff>
      <xdr:row>21</xdr:row>
      <xdr:rowOff>123824</xdr:rowOff>
    </xdr:to>
    <xdr:graphicFrame macro="">
      <xdr:nvGraphicFramePr>
        <xdr:cNvPr id="79" name="Gráfico 78">
          <a:extLst>
            <a:ext uri="{FF2B5EF4-FFF2-40B4-BE49-F238E27FC236}">
              <a16:creationId xmlns:a16="http://schemas.microsoft.com/office/drawing/2014/main" id="{93A867FF-E955-4E3C-9CD4-01E7BCE4E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47482</xdr:colOff>
      <xdr:row>0</xdr:row>
      <xdr:rowOff>153038</xdr:rowOff>
    </xdr:from>
    <xdr:to>
      <xdr:col>16</xdr:col>
      <xdr:colOff>75082</xdr:colOff>
      <xdr:row>5</xdr:row>
      <xdr:rowOff>57150</xdr:rowOff>
    </xdr:to>
    <xdr:sp macro="" textlink="">
      <xdr:nvSpPr>
        <xdr:cNvPr id="83" name="Retângulo: Cantos Arredondados 82">
          <a:extLst>
            <a:ext uri="{FF2B5EF4-FFF2-40B4-BE49-F238E27FC236}">
              <a16:creationId xmlns:a16="http://schemas.microsoft.com/office/drawing/2014/main" id="{A763D3FA-F16D-492D-909C-3B50F3E3648A}"/>
            </a:ext>
          </a:extLst>
        </xdr:cNvPr>
        <xdr:cNvSpPr/>
      </xdr:nvSpPr>
      <xdr:spPr>
        <a:xfrm>
          <a:off x="7362682" y="153038"/>
          <a:ext cx="2466000" cy="856612"/>
        </a:xfrm>
        <a:prstGeom prst="roundRect">
          <a:avLst>
            <a:gd name="adj" fmla="val 10043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Valor a pagar</a:t>
          </a:r>
        </a:p>
      </xdr:txBody>
    </xdr:sp>
    <xdr:clientData/>
  </xdr:twoCellAnchor>
  <xdr:twoCellAnchor>
    <xdr:from>
      <xdr:col>12</xdr:col>
      <xdr:colOff>47482</xdr:colOff>
      <xdr:row>2</xdr:row>
      <xdr:rowOff>130115</xdr:rowOff>
    </xdr:from>
    <xdr:to>
      <xdr:col>16</xdr:col>
      <xdr:colOff>75082</xdr:colOff>
      <xdr:row>5</xdr:row>
      <xdr:rowOff>56754</xdr:rowOff>
    </xdr:to>
    <xdr:sp macro="" textlink="'A pagar Semanal'!H1">
      <xdr:nvSpPr>
        <xdr:cNvPr id="84" name="CaixaDeTexto 83">
          <a:extLst>
            <a:ext uri="{FF2B5EF4-FFF2-40B4-BE49-F238E27FC236}">
              <a16:creationId xmlns:a16="http://schemas.microsoft.com/office/drawing/2014/main" id="{04D067E6-36FE-486B-9D9B-32525BFB83A3}"/>
            </a:ext>
          </a:extLst>
        </xdr:cNvPr>
        <xdr:cNvSpPr txBox="1"/>
      </xdr:nvSpPr>
      <xdr:spPr>
        <a:xfrm>
          <a:off x="7362682" y="511115"/>
          <a:ext cx="2466000" cy="4981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67F17528-56BD-47A2-BB0B-B60D3F3495B7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 R$ 9.075 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190500</xdr:colOff>
      <xdr:row>20</xdr:row>
      <xdr:rowOff>133350</xdr:rowOff>
    </xdr:from>
    <xdr:to>
      <xdr:col>3</xdr:col>
      <xdr:colOff>200025</xdr:colOff>
      <xdr:row>22</xdr:row>
      <xdr:rowOff>126491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2B681C27-D307-4D2A-857A-CBAF6F819C82}"/>
            </a:ext>
          </a:extLst>
        </xdr:cNvPr>
        <xdr:cNvSpPr txBox="1"/>
      </xdr:nvSpPr>
      <xdr:spPr>
        <a:xfrm>
          <a:off x="190500" y="3943350"/>
          <a:ext cx="183832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Fornecedores</a:t>
          </a:r>
        </a:p>
      </xdr:txBody>
    </xdr:sp>
    <xdr:clientData/>
  </xdr:twoCellAnchor>
  <xdr:twoCellAnchor>
    <xdr:from>
      <xdr:col>12</xdr:col>
      <xdr:colOff>32148</xdr:colOff>
      <xdr:row>21</xdr:row>
      <xdr:rowOff>95250</xdr:rowOff>
    </xdr:from>
    <xdr:to>
      <xdr:col>20</xdr:col>
      <xdr:colOff>194073</xdr:colOff>
      <xdr:row>37</xdr:row>
      <xdr:rowOff>35288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190FC966-2F90-4AA7-B420-740B8BBB62A0}"/>
            </a:ext>
          </a:extLst>
        </xdr:cNvPr>
        <xdr:cNvSpPr/>
      </xdr:nvSpPr>
      <xdr:spPr>
        <a:xfrm>
          <a:off x="7347348" y="4095750"/>
          <a:ext cx="5038725" cy="2988038"/>
        </a:xfrm>
        <a:prstGeom prst="roundRect">
          <a:avLst>
            <a:gd name="adj" fmla="val 374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Compras R$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19050</xdr:colOff>
      <xdr:row>23</xdr:row>
      <xdr:rowOff>111939</xdr:rowOff>
    </xdr:from>
    <xdr:to>
      <xdr:col>20</xdr:col>
      <xdr:colOff>182250</xdr:colOff>
      <xdr:row>37</xdr:row>
      <xdr:rowOff>35288</xdr:rowOff>
    </xdr:to>
    <xdr:graphicFrame macro="">
      <xdr:nvGraphicFramePr>
        <xdr:cNvPr id="69" name="Gráfico 68">
          <a:extLst>
            <a:ext uri="{FF2B5EF4-FFF2-40B4-BE49-F238E27FC236}">
              <a16:creationId xmlns:a16="http://schemas.microsoft.com/office/drawing/2014/main" id="{1D55B15D-8024-479C-8A09-9647E8661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32148</xdr:colOff>
      <xdr:row>5</xdr:row>
      <xdr:rowOff>140493</xdr:rowOff>
    </xdr:from>
    <xdr:to>
      <xdr:col>20</xdr:col>
      <xdr:colOff>194073</xdr:colOff>
      <xdr:row>21</xdr:row>
      <xdr:rowOff>20337</xdr:rowOff>
    </xdr:to>
    <xdr:sp macro="" textlink="">
      <xdr:nvSpPr>
        <xdr:cNvPr id="63" name="Retângulo: Cantos Arredondados 62">
          <a:extLst>
            <a:ext uri="{FF2B5EF4-FFF2-40B4-BE49-F238E27FC236}">
              <a16:creationId xmlns:a16="http://schemas.microsoft.com/office/drawing/2014/main" id="{5FD233F3-D594-4EC9-96A8-D83BAA5D7896}"/>
            </a:ext>
          </a:extLst>
        </xdr:cNvPr>
        <xdr:cNvSpPr/>
      </xdr:nvSpPr>
      <xdr:spPr>
        <a:xfrm>
          <a:off x="7347348" y="1092993"/>
          <a:ext cx="5038725" cy="2927844"/>
        </a:xfrm>
        <a:prstGeom prst="roundRect">
          <a:avLst>
            <a:gd name="adj" fmla="val 2715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Compras KG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32148</xdr:colOff>
      <xdr:row>7</xdr:row>
      <xdr:rowOff>87196</xdr:rowOff>
    </xdr:from>
    <xdr:to>
      <xdr:col>20</xdr:col>
      <xdr:colOff>184548</xdr:colOff>
      <xdr:row>22</xdr:row>
      <xdr:rowOff>66675</xdr:rowOff>
    </xdr:to>
    <xdr:graphicFrame macro="">
      <xdr:nvGraphicFramePr>
        <xdr:cNvPr id="71" name="Gráfico 70">
          <a:extLst>
            <a:ext uri="{FF2B5EF4-FFF2-40B4-BE49-F238E27FC236}">
              <a16:creationId xmlns:a16="http://schemas.microsoft.com/office/drawing/2014/main" id="{FE4637C8-0D9D-459B-8FF2-AFE03F95F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190500</xdr:colOff>
      <xdr:row>13</xdr:row>
      <xdr:rowOff>66677</xdr:rowOff>
    </xdr:from>
    <xdr:to>
      <xdr:col>3</xdr:col>
      <xdr:colOff>190500</xdr:colOff>
      <xdr:row>21</xdr:row>
      <xdr:rowOff>19051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7" name="Descrição Resumida 1">
              <a:extLst>
                <a:ext uri="{FF2B5EF4-FFF2-40B4-BE49-F238E27FC236}">
                  <a16:creationId xmlns:a16="http://schemas.microsoft.com/office/drawing/2014/main" id="{44997F5C-BBBC-4811-A984-A1D50D9A63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ão Resumi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2447927"/>
              <a:ext cx="1824404" cy="1476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8</xdr:row>
      <xdr:rowOff>47625</xdr:rowOff>
    </xdr:from>
    <xdr:to>
      <xdr:col>3</xdr:col>
      <xdr:colOff>190500</xdr:colOff>
      <xdr:row>12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8" name="ano 1">
              <a:extLst>
                <a:ext uri="{FF2B5EF4-FFF2-40B4-BE49-F238E27FC236}">
                  <a16:creationId xmlns:a16="http://schemas.microsoft.com/office/drawing/2014/main" id="{2AD2502C-A101-4628-8245-B1AA7A5BA9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1476375"/>
              <a:ext cx="1824404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27</xdr:row>
      <xdr:rowOff>104775</xdr:rowOff>
    </xdr:from>
    <xdr:to>
      <xdr:col>3</xdr:col>
      <xdr:colOff>190500</xdr:colOff>
      <xdr:row>32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0" name="SEMANA">
              <a:extLst>
                <a:ext uri="{FF2B5EF4-FFF2-40B4-BE49-F238E27FC236}">
                  <a16:creationId xmlns:a16="http://schemas.microsoft.com/office/drawing/2014/main" id="{E53C354F-9CD7-4A81-932B-09B89C2BAC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5153025"/>
              <a:ext cx="1824404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22</xdr:row>
      <xdr:rowOff>76200</xdr:rowOff>
    </xdr:from>
    <xdr:to>
      <xdr:col>3</xdr:col>
      <xdr:colOff>190500</xdr:colOff>
      <xdr:row>26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1" name="FORNECEDOR">
              <a:extLst>
                <a:ext uri="{FF2B5EF4-FFF2-40B4-BE49-F238E27FC236}">
                  <a16:creationId xmlns:a16="http://schemas.microsoft.com/office/drawing/2014/main" id="{E68C4032-295B-4E66-AD9E-3B27CC37AD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4171950"/>
              <a:ext cx="1824404" cy="704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238125</xdr:colOff>
      <xdr:row>25</xdr:row>
      <xdr:rowOff>152400</xdr:rowOff>
    </xdr:from>
    <xdr:to>
      <xdr:col>3</xdr:col>
      <xdr:colOff>247650</xdr:colOff>
      <xdr:row>27</xdr:row>
      <xdr:rowOff>145541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AF3A9AF8-59AD-49D7-9F7D-CF4E8FA89F2D}"/>
            </a:ext>
          </a:extLst>
        </xdr:cNvPr>
        <xdr:cNvSpPr txBox="1"/>
      </xdr:nvSpPr>
      <xdr:spPr>
        <a:xfrm>
          <a:off x="238125" y="4914900"/>
          <a:ext cx="183832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A pagar Semanal</a:t>
          </a:r>
        </a:p>
      </xdr:txBody>
    </xdr:sp>
    <xdr:clientData/>
  </xdr:twoCellAnchor>
  <xdr:twoCellAnchor>
    <xdr:from>
      <xdr:col>3</xdr:col>
      <xdr:colOff>432198</xdr:colOff>
      <xdr:row>21</xdr:row>
      <xdr:rowOff>95250</xdr:rowOff>
    </xdr:from>
    <xdr:to>
      <xdr:col>11</xdr:col>
      <xdr:colOff>594123</xdr:colOff>
      <xdr:row>37</xdr:row>
      <xdr:rowOff>35288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3EB58EC9-7EF1-4916-A3C1-F82D63753A0E}"/>
            </a:ext>
          </a:extLst>
        </xdr:cNvPr>
        <xdr:cNvSpPr/>
      </xdr:nvSpPr>
      <xdr:spPr>
        <a:xfrm>
          <a:off x="2260998" y="4095750"/>
          <a:ext cx="5038725" cy="2988038"/>
        </a:xfrm>
        <a:prstGeom prst="roundRect">
          <a:avLst>
            <a:gd name="adj" fmla="val 374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Compras KG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419100</xdr:colOff>
      <xdr:row>23</xdr:row>
      <xdr:rowOff>47625</xdr:rowOff>
    </xdr:from>
    <xdr:to>
      <xdr:col>11</xdr:col>
      <xdr:colOff>581025</xdr:colOff>
      <xdr:row>37</xdr:row>
      <xdr:rowOff>28575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5385C5BA-04FA-47D6-ACA0-D36C3C7BD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541723</xdr:colOff>
      <xdr:row>33</xdr:row>
      <xdr:rowOff>12989</xdr:rowOff>
    </xdr:from>
    <xdr:to>
      <xdr:col>3</xdr:col>
      <xdr:colOff>276523</xdr:colOff>
      <xdr:row>36</xdr:row>
      <xdr:rowOff>186763</xdr:rowOff>
    </xdr:to>
    <xdr:grpSp>
      <xdr:nvGrpSpPr>
        <xdr:cNvPr id="19" name="Agrupar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5DFCFE-4E18-4763-921E-F84A1974D56D}"/>
            </a:ext>
          </a:extLst>
        </xdr:cNvPr>
        <xdr:cNvGrpSpPr/>
      </xdr:nvGrpSpPr>
      <xdr:grpSpPr>
        <a:xfrm>
          <a:off x="1155556" y="6204239"/>
          <a:ext cx="962467" cy="745274"/>
          <a:chOff x="1151323" y="6299489"/>
          <a:chExt cx="954000" cy="745274"/>
        </a:xfrm>
      </xdr:grpSpPr>
      <xdr:sp macro="" textlink="">
        <xdr:nvSpPr>
          <xdr:cNvPr id="59" name="Retângulo: Cantos Arredondados 58">
            <a:extLst>
              <a:ext uri="{FF2B5EF4-FFF2-40B4-BE49-F238E27FC236}">
                <a16:creationId xmlns:a16="http://schemas.microsoft.com/office/drawing/2014/main" id="{996BBC5D-D9DB-4C7F-A03F-2A4A4B30B03B}"/>
              </a:ext>
            </a:extLst>
          </xdr:cNvPr>
          <xdr:cNvSpPr/>
        </xdr:nvSpPr>
        <xdr:spPr>
          <a:xfrm>
            <a:off x="1151323" y="6303163"/>
            <a:ext cx="954000" cy="741600"/>
          </a:xfrm>
          <a:prstGeom prst="roundRect">
            <a:avLst/>
          </a:prstGeom>
          <a:solidFill>
            <a:schemeClr val="tx1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600" b="1">
                <a:solidFill>
                  <a:srgbClr val="BCBDC2"/>
                </a:solidFill>
              </a:rPr>
              <a:t>Receber</a:t>
            </a:r>
          </a:p>
        </xdr:txBody>
      </xdr:sp>
      <xdr:pic>
        <xdr:nvPicPr>
          <xdr:cNvPr id="20" name="Gráfico 19" descr="Dinheiro">
            <a:extLst>
              <a:ext uri="{FF2B5EF4-FFF2-40B4-BE49-F238E27FC236}">
                <a16:creationId xmlns:a16="http://schemas.microsoft.com/office/drawing/2014/main" id="{681CEEC7-4F84-42B4-BCAA-0924CAA771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371201" y="6299489"/>
            <a:ext cx="501317" cy="515216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523874</xdr:colOff>
      <xdr:row>1</xdr:row>
      <xdr:rowOff>47625</xdr:rowOff>
    </xdr:from>
    <xdr:to>
      <xdr:col>2</xdr:col>
      <xdr:colOff>550784</xdr:colOff>
      <xdr:row>6</xdr:row>
      <xdr:rowOff>142875</xdr:rowOff>
    </xdr:to>
    <xdr:pic>
      <xdr:nvPicPr>
        <xdr:cNvPr id="42" name="Picture 2" descr="logo-retina – JC Depósito | Boracéia">
          <a:extLst>
            <a:ext uri="{FF2B5EF4-FFF2-40B4-BE49-F238E27FC236}">
              <a16:creationId xmlns:a16="http://schemas.microsoft.com/office/drawing/2014/main" id="{D51CE873-7F71-4FCD-BA41-BA61F803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4" y="238125"/>
          <a:ext cx="124611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21</xdr:col>
      <xdr:colOff>0</xdr:colOff>
      <xdr:row>38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DD6E239-FF87-4A98-B3D1-7E67F784D2FB}"/>
            </a:ext>
          </a:extLst>
        </xdr:cNvPr>
        <xdr:cNvSpPr/>
      </xdr:nvSpPr>
      <xdr:spPr>
        <a:xfrm>
          <a:off x="9525" y="9525"/>
          <a:ext cx="12792075" cy="72294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104774</xdr:colOff>
      <xdr:row>0</xdr:row>
      <xdr:rowOff>161925</xdr:rowOff>
    </xdr:from>
    <xdr:to>
      <xdr:col>3</xdr:col>
      <xdr:colOff>323849</xdr:colOff>
      <xdr:row>37</xdr:row>
      <xdr:rowOff>41672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67ADB7B-B7F6-4DE2-9CAB-3AF347B719C5}"/>
            </a:ext>
          </a:extLst>
        </xdr:cNvPr>
        <xdr:cNvSpPr/>
      </xdr:nvSpPr>
      <xdr:spPr>
        <a:xfrm>
          <a:off x="104774" y="161925"/>
          <a:ext cx="2047875" cy="6928247"/>
        </a:xfrm>
        <a:prstGeom prst="roundRect">
          <a:avLst>
            <a:gd name="adj" fmla="val 503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419100</xdr:colOff>
      <xdr:row>0</xdr:row>
      <xdr:rowOff>153038</xdr:rowOff>
    </xdr:from>
    <xdr:to>
      <xdr:col>7</xdr:col>
      <xdr:colOff>446700</xdr:colOff>
      <xdr:row>5</xdr:row>
      <xdr:rowOff>57150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1EF02826-F70C-44E3-92C1-B71FAE0AE1EF}"/>
            </a:ext>
          </a:extLst>
        </xdr:cNvPr>
        <xdr:cNvSpPr/>
      </xdr:nvSpPr>
      <xdr:spPr>
        <a:xfrm>
          <a:off x="2247900" y="153038"/>
          <a:ext cx="2466000" cy="856612"/>
        </a:xfrm>
        <a:prstGeom prst="roundRect">
          <a:avLst>
            <a:gd name="adj" fmla="val 12219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Valor total Vendas</a:t>
          </a:r>
        </a:p>
      </xdr:txBody>
    </xdr:sp>
    <xdr:clientData/>
  </xdr:twoCellAnchor>
  <xdr:twoCellAnchor>
    <xdr:from>
      <xdr:col>3</xdr:col>
      <xdr:colOff>419100</xdr:colOff>
      <xdr:row>2</xdr:row>
      <xdr:rowOff>130115</xdr:rowOff>
    </xdr:from>
    <xdr:to>
      <xdr:col>7</xdr:col>
      <xdr:colOff>446700</xdr:colOff>
      <xdr:row>5</xdr:row>
      <xdr:rowOff>56754</xdr:rowOff>
    </xdr:to>
    <xdr:sp macro="" textlink="'Ven. Peso e Valor'!B1">
      <xdr:nvSpPr>
        <xdr:cNvPr id="6" name="CaixaDeTexto 5">
          <a:extLst>
            <a:ext uri="{FF2B5EF4-FFF2-40B4-BE49-F238E27FC236}">
              <a16:creationId xmlns:a16="http://schemas.microsoft.com/office/drawing/2014/main" id="{18E5C5FF-84AD-4E08-96A8-241F11F32522}"/>
            </a:ext>
          </a:extLst>
        </xdr:cNvPr>
        <xdr:cNvSpPr txBox="1"/>
      </xdr:nvSpPr>
      <xdr:spPr>
        <a:xfrm>
          <a:off x="2247900" y="511115"/>
          <a:ext cx="2466000" cy="4981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A2021AF1-5255-4F7E-AD11-153148EAE98E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 R$ 378.309,00 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166473</xdr:colOff>
      <xdr:row>0</xdr:row>
      <xdr:rowOff>153038</xdr:rowOff>
    </xdr:from>
    <xdr:to>
      <xdr:col>20</xdr:col>
      <xdr:colOff>194073</xdr:colOff>
      <xdr:row>5</xdr:row>
      <xdr:rowOff>57338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797ADC8F-D3EF-4DD7-90FA-EFE45B718C76}"/>
            </a:ext>
          </a:extLst>
        </xdr:cNvPr>
        <xdr:cNvSpPr/>
      </xdr:nvSpPr>
      <xdr:spPr>
        <a:xfrm>
          <a:off x="9920073" y="153038"/>
          <a:ext cx="2466000" cy="856800"/>
        </a:xfrm>
        <a:prstGeom prst="roundRect">
          <a:avLst>
            <a:gd name="adj" fmla="val 9997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Valor total em atraso</a:t>
          </a:r>
        </a:p>
      </xdr:txBody>
    </xdr:sp>
    <xdr:clientData/>
  </xdr:twoCellAnchor>
  <xdr:twoCellAnchor>
    <xdr:from>
      <xdr:col>16</xdr:col>
      <xdr:colOff>166473</xdr:colOff>
      <xdr:row>2</xdr:row>
      <xdr:rowOff>141670</xdr:rowOff>
    </xdr:from>
    <xdr:to>
      <xdr:col>20</xdr:col>
      <xdr:colOff>194073</xdr:colOff>
      <xdr:row>5</xdr:row>
      <xdr:rowOff>56152</xdr:rowOff>
    </xdr:to>
    <xdr:sp macro="" textlink="Prazo!O1">
      <xdr:nvSpPr>
        <xdr:cNvPr id="9" name="CaixaDeTexto 8">
          <a:extLst>
            <a:ext uri="{FF2B5EF4-FFF2-40B4-BE49-F238E27FC236}">
              <a16:creationId xmlns:a16="http://schemas.microsoft.com/office/drawing/2014/main" id="{48B8A10C-B01A-4260-A89B-788F36F7004E}"/>
            </a:ext>
          </a:extLst>
        </xdr:cNvPr>
        <xdr:cNvSpPr txBox="1"/>
      </xdr:nvSpPr>
      <xdr:spPr>
        <a:xfrm>
          <a:off x="9920073" y="522670"/>
          <a:ext cx="2466000" cy="4859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70DEF665-9742-4F52-8B37-6EA8C9184C66}" type="TxLink">
            <a:rPr lang="en-US" sz="24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pPr marL="0" indent="0" algn="ctr"/>
            <a:t> R$ 121.085,00 </a:t>
          </a:fld>
          <a:endParaRPr lang="pt-BR" sz="24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538091</xdr:colOff>
      <xdr:row>0</xdr:row>
      <xdr:rowOff>153038</xdr:rowOff>
    </xdr:from>
    <xdr:to>
      <xdr:col>11</xdr:col>
      <xdr:colOff>565691</xdr:colOff>
      <xdr:row>5</xdr:row>
      <xdr:rowOff>57338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2109DEC5-5EAA-4571-A84A-45BBC608DA95}"/>
            </a:ext>
          </a:extLst>
        </xdr:cNvPr>
        <xdr:cNvSpPr/>
      </xdr:nvSpPr>
      <xdr:spPr>
        <a:xfrm>
          <a:off x="4819328" y="153038"/>
          <a:ext cx="2474021" cy="856800"/>
        </a:xfrm>
        <a:prstGeom prst="roundRect">
          <a:avLst>
            <a:gd name="adj" fmla="val 1099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Valor total a receber</a:t>
          </a:r>
        </a:p>
      </xdr:txBody>
    </xdr:sp>
    <xdr:clientData/>
  </xdr:twoCellAnchor>
  <xdr:twoCellAnchor>
    <xdr:from>
      <xdr:col>7</xdr:col>
      <xdr:colOff>538091</xdr:colOff>
      <xdr:row>2</xdr:row>
      <xdr:rowOff>141670</xdr:rowOff>
    </xdr:from>
    <xdr:to>
      <xdr:col>11</xdr:col>
      <xdr:colOff>565691</xdr:colOff>
      <xdr:row>5</xdr:row>
      <xdr:rowOff>56152</xdr:rowOff>
    </xdr:to>
    <xdr:sp macro="" textlink="'Auxiliar a Receber'!E4">
      <xdr:nvSpPr>
        <xdr:cNvPr id="13" name="CaixaDeTexto 12">
          <a:extLst>
            <a:ext uri="{FF2B5EF4-FFF2-40B4-BE49-F238E27FC236}">
              <a16:creationId xmlns:a16="http://schemas.microsoft.com/office/drawing/2014/main" id="{176AF241-6F31-49B3-9C18-4857EAC4ECE8}"/>
            </a:ext>
          </a:extLst>
        </xdr:cNvPr>
        <xdr:cNvSpPr txBox="1"/>
      </xdr:nvSpPr>
      <xdr:spPr>
        <a:xfrm>
          <a:off x="4805291" y="522670"/>
          <a:ext cx="2466000" cy="4859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B6CCF08E-E90B-4CBF-A425-1ADF44CAE6E8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 R$ 270.831,00 </a:t>
          </a:fld>
          <a:endParaRPr lang="pt-BR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152400</xdr:colOff>
      <xdr:row>6</xdr:row>
      <xdr:rowOff>133350</xdr:rowOff>
    </xdr:from>
    <xdr:to>
      <xdr:col>1</xdr:col>
      <xdr:colOff>115264</xdr:colOff>
      <xdr:row>8</xdr:row>
      <xdr:rowOff>126491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BB26E8F3-7B20-4736-AB5F-263DC296ABA5}"/>
            </a:ext>
          </a:extLst>
        </xdr:cNvPr>
        <xdr:cNvSpPr txBox="1"/>
      </xdr:nvSpPr>
      <xdr:spPr>
        <a:xfrm>
          <a:off x="152400" y="1276350"/>
          <a:ext cx="57246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Ano</a:t>
          </a:r>
        </a:p>
      </xdr:txBody>
    </xdr:sp>
    <xdr:clientData/>
  </xdr:twoCellAnchor>
  <xdr:twoCellAnchor>
    <xdr:from>
      <xdr:col>0</xdr:col>
      <xdr:colOff>142374</xdr:colOff>
      <xdr:row>33</xdr:row>
      <xdr:rowOff>15542</xdr:rowOff>
    </xdr:from>
    <xdr:to>
      <xdr:col>1</xdr:col>
      <xdr:colOff>485277</xdr:colOff>
      <xdr:row>36</xdr:row>
      <xdr:rowOff>186763</xdr:rowOff>
    </xdr:to>
    <xdr:grpSp>
      <xdr:nvGrpSpPr>
        <xdr:cNvPr id="17" name="Agrupar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AA3317-9CF3-4D50-A350-66F1730FC545}"/>
            </a:ext>
          </a:extLst>
        </xdr:cNvPr>
        <xdr:cNvGrpSpPr/>
      </xdr:nvGrpSpPr>
      <xdr:grpSpPr>
        <a:xfrm>
          <a:off x="142374" y="6206792"/>
          <a:ext cx="956736" cy="742721"/>
          <a:chOff x="142374" y="6302042"/>
          <a:chExt cx="953369" cy="742721"/>
        </a:xfrm>
        <a:solidFill>
          <a:schemeClr val="tx1"/>
        </a:solidFill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C88E2C51-9509-4251-BD5C-DC6872F59D30}"/>
              </a:ext>
            </a:extLst>
          </xdr:cNvPr>
          <xdr:cNvSpPr/>
        </xdr:nvSpPr>
        <xdr:spPr>
          <a:xfrm>
            <a:off x="142374" y="6302042"/>
            <a:ext cx="953369" cy="742721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400" b="1">
                <a:solidFill>
                  <a:srgbClr val="BCBDC2"/>
                </a:solidFill>
              </a:rPr>
              <a:t>Vendas</a:t>
            </a:r>
            <a:endParaRPr lang="pt-BR" sz="1100" b="1">
              <a:solidFill>
                <a:srgbClr val="BCBDC2"/>
              </a:solidFill>
            </a:endParaRPr>
          </a:p>
        </xdr:txBody>
      </xdr: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98F9B3E2-7D6D-4D29-976E-AE865F2E2B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3529" b="98301" l="3268" r="97255">
                        <a14:foregroundMark x1="92941" y1="46144" x2="92941" y2="46144"/>
                        <a14:foregroundMark x1="91634" y1="18170" x2="91634" y2="18170"/>
                        <a14:foregroundMark x1="95163" y1="27843" x2="83529" y2="14771"/>
                        <a14:foregroundMark x1="97255" y1="30458" x2="97255" y2="26667"/>
                        <a14:foregroundMark x1="75425" y1="77124" x2="75033" y2="62092"/>
                        <a14:foregroundMark x1="60131" y1="87843" x2="58954" y2="75556"/>
                        <a14:foregroundMark x1="40523" y1="87320" x2="40523" y2="75294"/>
                        <a14:foregroundMark x1="26667" y1="81830" x2="24183" y2="68758"/>
                        <a14:foregroundMark x1="6275" y1="86405" x2="6797" y2="76340"/>
                        <a14:foregroundMark x1="5752" y1="67190" x2="12941" y2="57647"/>
                        <a14:foregroundMark x1="5229" y1="93725" x2="3268" y2="83399"/>
                        <a14:foregroundMark x1="4967" y1="66275" x2="3660" y2="65882"/>
                        <a14:foregroundMark x1="7451" y1="65359" x2="3399" y2="65621"/>
                        <a14:foregroundMark x1="20915" y1="98562" x2="22614" y2="98301"/>
                        <a14:foregroundMark x1="49281" y1="35294" x2="52549" y2="30588"/>
                        <a14:foregroundMark x1="46405" y1="6797" x2="50458" y2="8105"/>
                        <a14:foregroundMark x1="47059" y1="6013" x2="47059" y2="3529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408642" y="6336723"/>
            <a:ext cx="429283" cy="428400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3</xdr:col>
      <xdr:colOff>419100</xdr:colOff>
      <xdr:row>5</xdr:row>
      <xdr:rowOff>140493</xdr:rowOff>
    </xdr:from>
    <xdr:to>
      <xdr:col>11</xdr:col>
      <xdr:colOff>571500</xdr:colOff>
      <xdr:row>37</xdr:row>
      <xdr:rowOff>38100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AE2B8B24-E337-4657-A346-34773B2AD93C}"/>
            </a:ext>
          </a:extLst>
        </xdr:cNvPr>
        <xdr:cNvSpPr/>
      </xdr:nvSpPr>
      <xdr:spPr>
        <a:xfrm>
          <a:off x="2247900" y="1092993"/>
          <a:ext cx="5029200" cy="5993607"/>
        </a:xfrm>
        <a:prstGeom prst="roundRect">
          <a:avLst>
            <a:gd name="adj" fmla="val 1896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Prazo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47482</xdr:colOff>
      <xdr:row>0</xdr:row>
      <xdr:rowOff>153038</xdr:rowOff>
    </xdr:from>
    <xdr:to>
      <xdr:col>16</xdr:col>
      <xdr:colOff>75082</xdr:colOff>
      <xdr:row>5</xdr:row>
      <xdr:rowOff>57150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5BA6F5BF-3774-445A-A3C1-FDD81691C848}"/>
            </a:ext>
          </a:extLst>
        </xdr:cNvPr>
        <xdr:cNvSpPr/>
      </xdr:nvSpPr>
      <xdr:spPr>
        <a:xfrm>
          <a:off x="7386745" y="153038"/>
          <a:ext cx="2474021" cy="856612"/>
        </a:xfrm>
        <a:prstGeom prst="roundRect">
          <a:avLst>
            <a:gd name="adj" fmla="val 10628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Valor total recebido</a:t>
          </a:r>
        </a:p>
      </xdr:txBody>
    </xdr:sp>
    <xdr:clientData/>
  </xdr:twoCellAnchor>
  <xdr:twoCellAnchor>
    <xdr:from>
      <xdr:col>12</xdr:col>
      <xdr:colOff>47482</xdr:colOff>
      <xdr:row>2</xdr:row>
      <xdr:rowOff>130115</xdr:rowOff>
    </xdr:from>
    <xdr:to>
      <xdr:col>16</xdr:col>
      <xdr:colOff>75082</xdr:colOff>
      <xdr:row>5</xdr:row>
      <xdr:rowOff>56754</xdr:rowOff>
    </xdr:to>
    <xdr:sp macro="" textlink="'Auxiliar a Receber'!E1">
      <xdr:nvSpPr>
        <xdr:cNvPr id="25" name="CaixaDeTexto 24">
          <a:extLst>
            <a:ext uri="{FF2B5EF4-FFF2-40B4-BE49-F238E27FC236}">
              <a16:creationId xmlns:a16="http://schemas.microsoft.com/office/drawing/2014/main" id="{461E79D2-9333-46C8-A82E-A42CA3128631}"/>
            </a:ext>
          </a:extLst>
        </xdr:cNvPr>
        <xdr:cNvSpPr txBox="1"/>
      </xdr:nvSpPr>
      <xdr:spPr>
        <a:xfrm>
          <a:off x="7362682" y="511115"/>
          <a:ext cx="2466000" cy="4981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F6D956D-2D94-4B80-83F7-367D36CB8466}" type="TxLink">
            <a:rPr lang="en-US" sz="2400" b="1" i="0" u="none" strike="noStrike">
              <a:solidFill>
                <a:srgbClr val="F5EBDC"/>
              </a:solidFill>
              <a:latin typeface="Calibri"/>
              <a:ea typeface="+mn-ea"/>
              <a:cs typeface="Calibri"/>
            </a:rPr>
            <a:pPr marL="0" indent="0" algn="ctr"/>
            <a:t> R$ 107.478,00 </a:t>
          </a:fld>
          <a:endParaRPr lang="en-US" sz="2400" b="1" i="0" u="none" strike="noStrike">
            <a:solidFill>
              <a:srgbClr val="F5EBD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0</xdr:col>
      <xdr:colOff>171450</xdr:colOff>
      <xdr:row>13</xdr:row>
      <xdr:rowOff>180975</xdr:rowOff>
    </xdr:from>
    <xdr:to>
      <xdr:col>3</xdr:col>
      <xdr:colOff>171450</xdr:colOff>
      <xdr:row>20</xdr:row>
      <xdr:rowOff>66674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A receber">
              <a:extLst>
                <a:ext uri="{FF2B5EF4-FFF2-40B4-BE49-F238E27FC236}">
                  <a16:creationId xmlns:a16="http://schemas.microsoft.com/office/drawing/2014/main" id="{06E5064C-DA59-4D6B-8027-1C7419E805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 receb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2562225"/>
              <a:ext cx="1824404" cy="1219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171450</xdr:colOff>
      <xdr:row>8</xdr:row>
      <xdr:rowOff>85726</xdr:rowOff>
    </xdr:from>
    <xdr:to>
      <xdr:col>3</xdr:col>
      <xdr:colOff>171450</xdr:colOff>
      <xdr:row>12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">
              <a:extLst>
                <a:ext uri="{FF2B5EF4-FFF2-40B4-BE49-F238E27FC236}">
                  <a16:creationId xmlns:a16="http://schemas.microsoft.com/office/drawing/2014/main" id="{663721F0-AB10-4597-822F-6C78848C3E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1514476"/>
              <a:ext cx="1824404" cy="72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171450</xdr:colOff>
      <xdr:row>21</xdr:row>
      <xdr:rowOff>180974</xdr:rowOff>
    </xdr:from>
    <xdr:to>
      <xdr:col>3</xdr:col>
      <xdr:colOff>171450</xdr:colOff>
      <xdr:row>28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Atrasado">
              <a:extLst>
                <a:ext uri="{FF2B5EF4-FFF2-40B4-BE49-F238E27FC236}">
                  <a16:creationId xmlns:a16="http://schemas.microsoft.com/office/drawing/2014/main" id="{0B3D5AF4-BD5B-4E4C-95E4-F0E54AE817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ras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4086224"/>
              <a:ext cx="1824404" cy="12001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419100</xdr:colOff>
      <xdr:row>7</xdr:row>
      <xdr:rowOff>130967</xdr:rowOff>
    </xdr:from>
    <xdr:to>
      <xdr:col>11</xdr:col>
      <xdr:colOff>571499</xdr:colOff>
      <xdr:row>37</xdr:row>
      <xdr:rowOff>47624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23F6E719-14FC-44BB-80CE-5125E8108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47482</xdr:colOff>
      <xdr:row>5</xdr:row>
      <xdr:rowOff>140494</xdr:rowOff>
    </xdr:from>
    <xdr:to>
      <xdr:col>20</xdr:col>
      <xdr:colOff>209407</xdr:colOff>
      <xdr:row>37</xdr:row>
      <xdr:rowOff>28576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8168EFB9-B492-4AEA-9B74-88E829FFCA77}"/>
            </a:ext>
          </a:extLst>
        </xdr:cNvPr>
        <xdr:cNvSpPr/>
      </xdr:nvSpPr>
      <xdr:spPr>
        <a:xfrm>
          <a:off x="7386745" y="1092994"/>
          <a:ext cx="5054767" cy="5984082"/>
        </a:xfrm>
        <a:prstGeom prst="roundRect">
          <a:avLst>
            <a:gd name="adj" fmla="val 1751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1">
              <a:solidFill>
                <a:srgbClr val="F5EBDC"/>
              </a:solidFill>
              <a:latin typeface="+mn-lt"/>
              <a:ea typeface="+mn-ea"/>
              <a:cs typeface="+mn-cs"/>
            </a:rPr>
            <a:t>Atrasado</a:t>
          </a:r>
        </a:p>
        <a:p>
          <a:pPr marL="0" indent="0" algn="ctr"/>
          <a:endParaRPr lang="pt-BR" sz="1800" b="1">
            <a:solidFill>
              <a:srgbClr val="F5EBDC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161925</xdr:colOff>
      <xdr:row>12</xdr:row>
      <xdr:rowOff>28575</xdr:rowOff>
    </xdr:from>
    <xdr:to>
      <xdr:col>2</xdr:col>
      <xdr:colOff>523875</xdr:colOff>
      <xdr:row>14</xdr:row>
      <xdr:rowOff>21716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818211FD-5F6F-4440-B060-BCCDA7E1A709}"/>
            </a:ext>
          </a:extLst>
        </xdr:cNvPr>
        <xdr:cNvSpPr txBox="1"/>
      </xdr:nvSpPr>
      <xdr:spPr>
        <a:xfrm>
          <a:off x="161925" y="2314575"/>
          <a:ext cx="158115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A receber em:</a:t>
          </a:r>
        </a:p>
      </xdr:txBody>
    </xdr:sp>
    <xdr:clientData/>
  </xdr:twoCellAnchor>
  <xdr:twoCellAnchor>
    <xdr:from>
      <xdr:col>0</xdr:col>
      <xdr:colOff>161925</xdr:colOff>
      <xdr:row>20</xdr:row>
      <xdr:rowOff>28575</xdr:rowOff>
    </xdr:from>
    <xdr:to>
      <xdr:col>2</xdr:col>
      <xdr:colOff>523875</xdr:colOff>
      <xdr:row>22</xdr:row>
      <xdr:rowOff>21716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3D66E7FB-740C-4341-959F-F257493FB2CD}"/>
            </a:ext>
          </a:extLst>
        </xdr:cNvPr>
        <xdr:cNvSpPr txBox="1"/>
      </xdr:nvSpPr>
      <xdr:spPr>
        <a:xfrm>
          <a:off x="161925" y="3838575"/>
          <a:ext cx="158115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rgbClr val="000E2B"/>
              </a:solidFill>
              <a:latin typeface="+mn-lt"/>
              <a:ea typeface="+mn-ea"/>
              <a:cs typeface="+mn-cs"/>
            </a:rPr>
            <a:t>Atrasado a:</a:t>
          </a:r>
        </a:p>
      </xdr:txBody>
    </xdr:sp>
    <xdr:clientData/>
  </xdr:twoCellAnchor>
  <xdr:twoCellAnchor>
    <xdr:from>
      <xdr:col>1</xdr:col>
      <xdr:colOff>533399</xdr:colOff>
      <xdr:row>33</xdr:row>
      <xdr:rowOff>21376</xdr:rowOff>
    </xdr:from>
    <xdr:to>
      <xdr:col>3</xdr:col>
      <xdr:colOff>268199</xdr:colOff>
      <xdr:row>37</xdr:row>
      <xdr:rowOff>976</xdr:rowOff>
    </xdr:to>
    <xdr:grpSp>
      <xdr:nvGrpSpPr>
        <xdr:cNvPr id="48" name="Agrupar 4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7FE7E1-B19C-405F-BC1C-FBC18519136A}"/>
            </a:ext>
          </a:extLst>
        </xdr:cNvPr>
        <xdr:cNvGrpSpPr/>
      </xdr:nvGrpSpPr>
      <xdr:grpSpPr>
        <a:xfrm>
          <a:off x="1147232" y="6212626"/>
          <a:ext cx="962467" cy="741600"/>
          <a:chOff x="1151820" y="6382871"/>
          <a:chExt cx="954000" cy="741600"/>
        </a:xfrm>
        <a:solidFill>
          <a:schemeClr val="tx1"/>
        </a:solidFill>
      </xdr:grpSpPr>
      <xdr:sp macro="" textlink="">
        <xdr:nvSpPr>
          <xdr:cNvPr id="49" name="Retângulo: Cantos Arredondados 48">
            <a:extLst>
              <a:ext uri="{FF2B5EF4-FFF2-40B4-BE49-F238E27FC236}">
                <a16:creationId xmlns:a16="http://schemas.microsoft.com/office/drawing/2014/main" id="{A4080234-0851-4BF1-996D-705111C53DE1}"/>
              </a:ext>
            </a:extLst>
          </xdr:cNvPr>
          <xdr:cNvSpPr/>
        </xdr:nvSpPr>
        <xdr:spPr>
          <a:xfrm>
            <a:off x="1151820" y="6382871"/>
            <a:ext cx="954000" cy="74160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400" b="1">
                <a:solidFill>
                  <a:srgbClr val="BCBDC2"/>
                </a:solidFill>
              </a:rPr>
              <a:t>Compras</a:t>
            </a:r>
          </a:p>
        </xdr:txBody>
      </xdr: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6B0072E1-EEAC-4507-A08B-A52E548638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ackgroundRemoval t="2344" b="99219" l="4297" r="93555">
                        <a14:foregroundMark x1="91797" y1="31250" x2="91797" y2="31250"/>
                        <a14:foregroundMark x1="93555" y1="38672" x2="93555" y2="38672"/>
                        <a14:foregroundMark x1="16211" y1="6836" x2="16211" y2="6836"/>
                        <a14:foregroundMark x1="8594" y1="3125" x2="8594" y2="3125"/>
                        <a14:foregroundMark x1="4297" y1="2734" x2="4297" y2="2734"/>
                        <a14:foregroundMark x1="44727" y1="92578" x2="44727" y2="92578"/>
                        <a14:foregroundMark x1="34570" y1="96094" x2="34570" y2="96094"/>
                        <a14:foregroundMark x1="37891" y1="99219" x2="37891" y2="99219"/>
                        <a14:foregroundMark x1="82031" y1="99219" x2="82031" y2="99219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414813" y="6467475"/>
            <a:ext cx="428014" cy="428014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35</xdr:col>
      <xdr:colOff>396479</xdr:colOff>
      <xdr:row>0</xdr:row>
      <xdr:rowOff>0</xdr:rowOff>
    </xdr:from>
    <xdr:to>
      <xdr:col>39</xdr:col>
      <xdr:colOff>424079</xdr:colOff>
      <xdr:row>2</xdr:row>
      <xdr:rowOff>104982</xdr:rowOff>
    </xdr:to>
    <xdr:sp macro="" textlink="'Ven. Peso e Valor'!B1">
      <xdr:nvSpPr>
        <xdr:cNvPr id="51" name="CaixaDeTexto 50">
          <a:extLst>
            <a:ext uri="{FF2B5EF4-FFF2-40B4-BE49-F238E27FC236}">
              <a16:creationId xmlns:a16="http://schemas.microsoft.com/office/drawing/2014/main" id="{3213BF40-5B90-4688-B467-590919DD155F}"/>
            </a:ext>
          </a:extLst>
        </xdr:cNvPr>
        <xdr:cNvSpPr txBox="1"/>
      </xdr:nvSpPr>
      <xdr:spPr>
        <a:xfrm>
          <a:off x="21732479" y="0"/>
          <a:ext cx="2466000" cy="4859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2019EA01-2D05-4DDF-B228-AF87C7B0EB6B}" type="TxLink">
            <a:rPr lang="en-US" sz="2400" b="1" i="0" u="none" strike="noStrike">
              <a:solidFill>
                <a:srgbClr val="000E2B"/>
              </a:solidFill>
              <a:latin typeface="Calibri"/>
              <a:ea typeface="+mn-ea"/>
              <a:cs typeface="Calibri"/>
            </a:rPr>
            <a:pPr marL="0" indent="0" algn="ctr"/>
            <a:t> R$ 378.309,00 </a:t>
          </a:fld>
          <a:endParaRPr lang="pt-BR" sz="2400" b="1" i="0" u="none" strike="noStrike">
            <a:solidFill>
              <a:srgbClr val="000E2B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0</xdr:col>
      <xdr:colOff>504826</xdr:colOff>
      <xdr:row>1</xdr:row>
      <xdr:rowOff>66675</xdr:rowOff>
    </xdr:from>
    <xdr:to>
      <xdr:col>2</xdr:col>
      <xdr:colOff>531736</xdr:colOff>
      <xdr:row>6</xdr:row>
      <xdr:rowOff>161925</xdr:rowOff>
    </xdr:to>
    <xdr:pic>
      <xdr:nvPicPr>
        <xdr:cNvPr id="39" name="Picture 2" descr="logo-retina – JC Depósito | Boracéia">
          <a:extLst>
            <a:ext uri="{FF2B5EF4-FFF2-40B4-BE49-F238E27FC236}">
              <a16:creationId xmlns:a16="http://schemas.microsoft.com/office/drawing/2014/main" id="{B28C1291-6DF2-481E-8445-04A194554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6" y="257175"/>
          <a:ext cx="124611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47625</xdr:colOff>
      <xdr:row>7</xdr:row>
      <xdr:rowOff>95250</xdr:rowOff>
    </xdr:from>
    <xdr:to>
      <xdr:col>20</xdr:col>
      <xdr:colOff>200025</xdr:colOff>
      <xdr:row>37</xdr:row>
      <xdr:rowOff>38100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B95923F2-C23D-4678-B90B-C204ABEAF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122</xdr:row>
      <xdr:rowOff>0</xdr:rowOff>
    </xdr:from>
    <xdr:ext cx="2385914" cy="9726"/>
    <xdr:grpSp>
      <xdr:nvGrpSpPr>
        <xdr:cNvPr id="2" name="Group 2">
          <a:extLst>
            <a:ext uri="{FF2B5EF4-FFF2-40B4-BE49-F238E27FC236}">
              <a16:creationId xmlns:a16="http://schemas.microsoft.com/office/drawing/2014/main" id="{C975131C-CB0A-4CFB-847D-16DCB493692D}"/>
            </a:ext>
          </a:extLst>
        </xdr:cNvPr>
        <xdr:cNvGrpSpPr/>
      </xdr:nvGrpSpPr>
      <xdr:grpSpPr>
        <a:xfrm>
          <a:off x="3762375" y="23241000"/>
          <a:ext cx="2385914" cy="9726"/>
          <a:chOff x="0" y="255329"/>
          <a:chExt cx="2385914" cy="9726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F8206606-4DAE-434A-8030-F02E3BBE662F}"/>
              </a:ext>
            </a:extLst>
          </xdr:cNvPr>
          <xdr:cNvSpPr/>
        </xdr:nvSpPr>
        <xdr:spPr>
          <a:xfrm>
            <a:off x="1848312" y="260193"/>
            <a:ext cx="532739" cy="0"/>
          </a:xfrm>
          <a:custGeom>
            <a:avLst/>
            <a:gdLst/>
            <a:ahLst/>
            <a:cxnLst/>
            <a:rect l="0" t="0" r="0" b="0"/>
            <a:pathLst>
              <a:path w="532739">
                <a:moveTo>
                  <a:pt x="0" y="0"/>
                </a:moveTo>
                <a:lnTo>
                  <a:pt x="532739" y="0"/>
                </a:lnTo>
              </a:path>
            </a:pathLst>
          </a:custGeom>
          <a:ln w="9726">
            <a:solidFill>
              <a:srgbClr val="CCCCCC"/>
            </a:solidFill>
            <a:prstDash val="solid"/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B79694B-4DD3-4DB7-8FD0-5D73576605BB}"/>
              </a:ext>
            </a:extLst>
          </xdr:cNvPr>
          <xdr:cNvSpPr/>
        </xdr:nvSpPr>
        <xdr:spPr>
          <a:xfrm>
            <a:off x="1357853" y="260193"/>
            <a:ext cx="490458" cy="0"/>
          </a:xfrm>
          <a:custGeom>
            <a:avLst/>
            <a:gdLst/>
            <a:ahLst/>
            <a:cxnLst/>
            <a:rect l="0" t="0" r="0" b="0"/>
            <a:pathLst>
              <a:path w="490458">
                <a:moveTo>
                  <a:pt x="0" y="0"/>
                </a:moveTo>
                <a:lnTo>
                  <a:pt x="490458" y="0"/>
                </a:lnTo>
              </a:path>
            </a:pathLst>
          </a:custGeom>
          <a:ln w="9726">
            <a:solidFill>
              <a:srgbClr val="CCCCCC"/>
            </a:solidFill>
            <a:prstDash val="solid"/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8DD3CE50-DE39-4194-8C04-C28F413F3E4C}"/>
              </a:ext>
            </a:extLst>
          </xdr:cNvPr>
          <xdr:cNvSpPr/>
        </xdr:nvSpPr>
        <xdr:spPr>
          <a:xfrm>
            <a:off x="723639" y="260193"/>
            <a:ext cx="634214" cy="0"/>
          </a:xfrm>
          <a:custGeom>
            <a:avLst/>
            <a:gdLst/>
            <a:ahLst/>
            <a:cxnLst/>
            <a:rect l="0" t="0" r="0" b="0"/>
            <a:pathLst>
              <a:path w="634214">
                <a:moveTo>
                  <a:pt x="0" y="0"/>
                </a:moveTo>
                <a:lnTo>
                  <a:pt x="634214" y="0"/>
                </a:lnTo>
              </a:path>
            </a:pathLst>
          </a:custGeom>
          <a:ln w="9726">
            <a:solidFill>
              <a:srgbClr val="CCCCCC"/>
            </a:solidFill>
            <a:prstDash val="solid"/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28E57E3B-C2D1-46BD-8E41-EF98C1EEE8DA}"/>
              </a:ext>
            </a:extLst>
          </xdr:cNvPr>
          <xdr:cNvSpPr/>
        </xdr:nvSpPr>
        <xdr:spPr>
          <a:xfrm>
            <a:off x="4863" y="260193"/>
            <a:ext cx="718775" cy="0"/>
          </a:xfrm>
          <a:custGeom>
            <a:avLst/>
            <a:gdLst/>
            <a:ahLst/>
            <a:cxnLst/>
            <a:rect l="0" t="0" r="0" b="0"/>
            <a:pathLst>
              <a:path w="718775">
                <a:moveTo>
                  <a:pt x="0" y="0"/>
                </a:moveTo>
                <a:lnTo>
                  <a:pt x="718775" y="0"/>
                </a:lnTo>
              </a:path>
            </a:pathLst>
          </a:custGeom>
          <a:ln w="9726">
            <a:solidFill>
              <a:srgbClr val="CCCCCC"/>
            </a:solidFill>
            <a:prstDash val="solid"/>
          </a:ln>
        </xdr:spPr>
      </xdr:sp>
    </xdr:grp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OS Matheus" refreshedDate="44650.668509722222" createdVersion="6" refreshedVersion="7" minRefreshableVersion="3" recordCount="938" xr:uid="{00000000-000A-0000-FFFF-FFFF4A000000}">
  <cacheSource type="worksheet">
    <worksheetSource name="Tabela3"/>
  </cacheSource>
  <cacheFields count="40">
    <cacheField name="ID" numFmtId="0">
      <sharedItems containsSemiMixedTypes="0" containsString="0" containsNumber="1" containsInteger="1" minValue="15020046998" maxValue="15781956191"/>
    </cacheField>
    <cacheField name="N° do Pedido" numFmtId="0">
      <sharedItems containsSemiMixedTypes="0" containsString="0" containsNumber="1" containsInteger="1" minValue="1" maxValue="287"/>
    </cacheField>
    <cacheField name="N° do Pedido na Loja Virtual" numFmtId="0">
      <sharedItems containsNonDate="0" containsString="0" containsBlank="1"/>
    </cacheField>
    <cacheField name="Data" numFmtId="14">
      <sharedItems containsSemiMixedTypes="0" containsNonDate="0" containsDate="1" containsString="0" minDate="2021-07-28T00:00:00" maxDate="2022-01-10T00:00:00" count="59">
        <d v="2021-07-28T00:00:00"/>
        <d v="2021-07-30T00:00:00"/>
        <d v="2021-07-31T00:00:00"/>
        <d v="2021-08-25T00:00:00"/>
        <d v="2021-08-30T00:00:00"/>
        <d v="2021-09-03T00:00:00"/>
        <d v="2021-09-27T00:00:00"/>
        <d v="2021-09-29T00:00:00"/>
        <d v="2021-09-30T00:00:00"/>
        <d v="2021-10-29T00:00:00"/>
        <d v="2021-10-30T00:00:00"/>
        <d v="2021-10-3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2-01-01T00:00:00"/>
        <d v="2022-01-03T00:00:00"/>
        <d v="2022-01-04T00:00:00"/>
        <d v="2022-01-05T00:00:00"/>
        <d v="2022-01-06T00:00:00"/>
        <d v="2022-01-07T00:00:00"/>
        <d v="2022-01-09T00:00:00"/>
      </sharedItems>
      <fieldGroup par="39" base="3">
        <rangePr groupBy="months" startDate="2021-07-28T00:00:00" endDate="2022-01-10T00:00:00"/>
        <groupItems count="14">
          <s v="&lt;28/07/202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0/01/2022"/>
        </groupItems>
      </fieldGroup>
    </cacheField>
    <cacheField name="ID contato" numFmtId="0">
      <sharedItems containsSemiMixedTypes="0" containsString="0" containsNumber="1" containsInteger="1" minValue="15020006032" maxValue="15615810470"/>
    </cacheField>
    <cacheField name="Nome do contato" numFmtId="0">
      <sharedItems count="99">
        <s v="Comprador 06"/>
        <s v="Comprador 20"/>
        <s v="Comprador 12"/>
        <s v="Comprador 13"/>
        <s v="Comprador 18"/>
        <s v="Comprador 14"/>
        <s v="Comprador 05"/>
        <s v="Comprador 19"/>
        <s v="Comprador 15"/>
        <s v="Comprador 08"/>
        <s v="Comprador 16"/>
        <s v="Comprador 10"/>
        <s v="Comprador 01"/>
        <s v="Comprador 09"/>
        <s v="Comprador 11"/>
        <s v="Comprador 03"/>
        <s v="Comprador 04"/>
        <s v="Comprador 07"/>
        <s v="Comprador 02"/>
        <s v="Comprador 17"/>
        <s v="CIDADE CONSTRUTORA E INCORPORADORA LTDA" u="1"/>
        <s v="PALLADIUM UMUARAMA ADM. DE SHOPPING CENTER LTDA" u="1"/>
        <s v="-" u="1"/>
        <s v="MARCOS DOS SANTOS CARDOSO" u="1"/>
        <s v="LINCK GESSO ACARTONADO LTDA" u="1"/>
        <s v="IMPERIO GESSO LTDA" u="1"/>
        <s v="UNNISUL COMERCIO DE GESSO LTDA" u="1"/>
        <s v="CONCEITO SISTEMAS CONSTRUTIVOS LTDA" u="1"/>
        <s v="MARIA ALICE R A SILVA DRYWALL ERELI -ME" u="1"/>
        <s v="MGS E FILHOS CONSTRUCOES LTDA" u="1"/>
        <s v="DA COSTA GESSO E DRYWALL EIRELI" u="1"/>
        <s v="GESSOLAR COMÉRCIO DE GESSO LTDA" u="1"/>
        <s v="WALL SHOP - COMERCIO DE GESSO ACARTONADO LTDA" u="1"/>
        <s v="G D S - MONTAGEM DE GESSOS E DRYWALL LTDA ME" u="1"/>
        <s v="DANIEL" u="1"/>
        <s v="L S PIAIA GESSO ACARTONADO LTDA" u="1"/>
        <s v="BALNEÁRIO CAMBORIÚ COMÉRCIO DE GESSO LTDA" u="1"/>
        <s v="JONAS DE OLIVEIRA SILVA ARTEFATOS DE GESSO" u="1"/>
        <s v="FRH SISTEMAS CONSTRUTIVOS LTDA" u="1"/>
        <s v="RALT PRESTADORA DE SERVICOS LTDA" u="1"/>
        <s v="GESSO TESSARO LTDA" u="1"/>
        <s v="GESSO VILA VELHA LTDA" u="1"/>
        <s v="VRC COM E MANUTENCAO DE DIVISORIAS LTDA" u="1"/>
        <s v="EMANUELLY FERNANDA DA SILVA OLIVEIRA LTDA" u="1"/>
        <s v="MATHEUS" u="1"/>
        <s v="HANDEL CONSTRUCOES LTDA" u="1"/>
        <s v="COOP CENTRAL AURORA ALIMENTOS" u="1"/>
        <s v="DECORART GESSO LTDA" u="1"/>
        <s v="MARCELO DE PAULA 05299162901" u="1"/>
        <s v="BORGER SISTEMAS CONSTRUTIVOS LTDA - ME" u="1"/>
        <s v="IMPERIO RN REVESTIMENTOS" u="1"/>
        <s v="JOELSON DO ROCIO PRESTES" u="1"/>
        <s v="CIAA CASA IJUIENSE DE ABERTURAS E ACAB LTDA" u="1"/>
        <s v="DRY- OBRAS" u="1"/>
        <s v="SANDRO CASA GRANDE GOMES - EIRELI - ME" u="1"/>
        <s v="JOAO PEDRO SANTOS DE CARVALHO DELLA VEDOVA" u="1"/>
        <s v="GIOVANA CORREIA 85205230991" u="1"/>
        <s v="DRY OFICCE FORROS E DIVISORIAS" u="1"/>
        <s v="INTRAGESSO - DISTRIBUIDORA DE GESSO EIRELI" u="1"/>
        <s v="ROTTAS 2 CONST. E INCORP. DE EMPREEND. IMOB. SA" u="1"/>
        <s v="ROBERTO FRIZZO HEPP" u="1"/>
        <s v="BRUNO MENDES DO NASCIMENTO 01194997970" u="1"/>
        <s v="ILUMIGESSO" u="1"/>
        <s v="NEGOSEKI GESSOS EIRELI ME" u="1"/>
        <s v="AMPLASTER GESSO" u="1"/>
        <s v="JOABISON DELFINO DA ROSA" u="1"/>
        <s v="SIPLAC FORROS E DIVISORIAS LTDA" u="1"/>
        <s v="JOAO BATISTA JUNIOR 02868153976" u="1"/>
        <s v="ROCHA MONT REVENDA DE PRODUTOS PARA CONSTRUCAO A SECO EIRELI" u="1"/>
        <s v="ALDINO FISCHER ME" u="1"/>
        <s v="CONDOMINIO EDIFICIO LE PARC" u="1"/>
        <s v="UNIGESSO" u="1"/>
        <s v="GENIO GESSO COMERCIO LTDA" u="1"/>
        <s v="IMPERIO RN REVESTIMENTOS LTDA" u="1"/>
        <s v="METALGFOX METALÚRGICA EIRELI ME" u="1"/>
        <s v="ELIMAR GRAF EIRELI" u="1"/>
        <s v="A F DOMBROWSKI E CIA LTDA" u="1"/>
        <s v="R B F ACABAMENTOS LTDA" u="1"/>
        <s v="FRANCIELLI DE JESUS MARTINS" u="1"/>
        <s v="SHOPPING DAS DIVISORIAS LTDA ME" u="1"/>
        <s v="CONDOMINIO PALLADIUM SHOPPING CENTER CURITIBA LTDA" u="1"/>
        <s v="MC COMERCIO E SOLUCOES EM GESSO LTDA" u="1"/>
        <s v="RENATO SCHOFFEN" u="1"/>
        <s v="ULISSES RODRIGUES" u="1"/>
        <s v="TAINARA PADILHA BARROS" u="1"/>
        <s v="FC GESSO EIRELI" u="1"/>
        <s v="COMERCIO DE GESSO JSX LTDA" u="1"/>
        <s v="ER-CONSTRUCOES LTDA" u="1"/>
        <s v="VALDEMAR CHUPERNATE ME" u="1"/>
        <s v="MATERCONS MATERIAIS DE CONSTRUCAO LTDA ME" u="1"/>
        <s v="MADESHOPPING INVESTIMENTOS E PARTICIPACOES" u="1"/>
        <s v="SANTO EXPEDITO" u="1"/>
        <s v="DIVIFORROS EIRELI" u="1"/>
        <s v="SCHOEMBERGER CONTABILIDADE LTDA" u="1"/>
        <s v="POLISANDRO BARBOSA DOS SANTOS" u="1"/>
        <s v="DIVI &amp; ARTE DIVISORIAS E FORROS LTDA" u="1"/>
        <s v="MRE COMERCIO DE GESSO LTDA" u="1"/>
        <s v="DECORGESSO COMERCIO DE GESSO LTDA" u="1"/>
        <s v="DRY-OBRAS COMERCIO DE MATERIAIS DE CONSTRUÇÃO LTDA" u="1"/>
      </sharedItems>
    </cacheField>
    <cacheField name="Cpf/Cnpj" numFmtId="0">
      <sharedItems/>
    </cacheField>
    <cacheField name="Endereco" numFmtId="0">
      <sharedItems containsBlank="1"/>
    </cacheField>
    <cacheField name="Bairro" numFmtId="0">
      <sharedItems containsBlank="1"/>
    </cacheField>
    <cacheField name="Município" numFmtId="0">
      <sharedItems containsBlank="1"/>
    </cacheField>
    <cacheField name="Cep" numFmtId="0">
      <sharedItems containsBlank="1" containsMixedTypes="1" containsNumber="1" containsInteger="1" minValue="0" maxValue="98900000"/>
    </cacheField>
    <cacheField name="Estado" numFmtId="0">
      <sharedItems containsBlank="1"/>
    </cacheField>
    <cacheField name="E-mail" numFmtId="0">
      <sharedItems containsBlank="1"/>
    </cacheField>
    <cacheField name="Telefone" numFmtId="0">
      <sharedItems containsString="0" containsBlank="1" containsNumber="1" containsInteger="1" minValue="4184727286" maxValue="55984237563"/>
    </cacheField>
    <cacheField name="Desconto pedido" numFmtId="0">
      <sharedItems containsSemiMixedTypes="0" containsString="0" containsNumber="1" containsInteger="1" minValue="0" maxValue="0"/>
    </cacheField>
    <cacheField name="Frete" numFmtId="0">
      <sharedItems containsSemiMixedTypes="0" containsString="0" containsNumber="1" containsInteger="1" minValue="0" maxValue="1500"/>
    </cacheField>
    <cacheField name="Observações" numFmtId="0">
      <sharedItems containsBlank="1"/>
    </cacheField>
    <cacheField name="Situação" numFmtId="0">
      <sharedItems/>
    </cacheField>
    <cacheField name="ID produto" numFmtId="0">
      <sharedItems containsSemiMixedTypes="0" containsString="0" containsNumber="1" containsInteger="1" minValue="15015085610" maxValue="15740168582"/>
    </cacheField>
    <cacheField name="Descrição" numFmtId="0">
      <sharedItems/>
    </cacheField>
    <cacheField name="Quantidade" numFmtId="0">
      <sharedItems containsSemiMixedTypes="0" containsString="0" containsNumber="1" containsInteger="1" minValue="1" maxValue="12040"/>
    </cacheField>
    <cacheField name="Valor unitário" numFmtId="0">
      <sharedItems containsSemiMixedTypes="0" containsString="0" containsNumber="1" minValue="3.9" maxValue="32.57"/>
    </cacheField>
    <cacheField name="Desconto item" numFmtId="0">
      <sharedItems containsSemiMixedTypes="0" containsString="0" containsNumber="1" minValue="0" maxValue="71.64"/>
    </cacheField>
    <cacheField name="Preço de Custo" numFmtId="0">
      <sharedItems containsSemiMixedTypes="0" containsString="0" containsNumber="1" minValue="0" maxValue="16.804400000000001"/>
    </cacheField>
    <cacheField name="Preço Total" numFmtId="0">
      <sharedItems containsSemiMixedTypes="0" containsString="0" containsNumber="1" minValue="8.3800000000000008" maxValue="167356"/>
    </cacheField>
    <cacheField name="Código do contato" numFmtId="0">
      <sharedItems containsSemiMixedTypes="0" containsString="0" containsNumber="1" containsInteger="1" minValue="16" maxValue="174"/>
    </cacheField>
    <cacheField name="Código do produto" numFmtId="0">
      <sharedItems/>
    </cacheField>
    <cacheField name="Frete proporcional" numFmtId="0">
      <sharedItems containsSemiMixedTypes="0" containsString="0" containsNumber="1" minValue="0" maxValue="724.74"/>
    </cacheField>
    <cacheField name="Desconto proporcional" numFmtId="0">
      <sharedItems containsSemiMixedTypes="0" containsString="0" containsNumber="1" containsInteger="1" minValue="0" maxValue="0"/>
    </cacheField>
    <cacheField name="Vendedor" numFmtId="0">
      <sharedItems containsBlank="1"/>
    </cacheField>
    <cacheField name="Nº da NFe" numFmtId="0">
      <sharedItems containsNonDate="0" containsString="0" containsBlank="1"/>
    </cacheField>
    <cacheField name="Natureza da NFe" numFmtId="0">
      <sharedItems containsNonDate="0" containsString="0" containsBlank="1"/>
    </cacheField>
    <cacheField name="Situação da NFe" numFmtId="0">
      <sharedItems containsNonDate="0" containsString="0" containsBlank="1"/>
    </cacheField>
    <cacheField name="Última ocorrência" numFmtId="0">
      <sharedItems containsNonDate="0" containsDate="1" containsString="0" containsBlank="1" minDate="2021-07-28T09:15:00" maxDate="2022-01-10T10:32:00"/>
    </cacheField>
    <cacheField name="Outras despesas" numFmtId="0">
      <sharedItems containsSemiMixedTypes="0" containsString="0" containsNumber="1" containsInteger="1" minValue="0" maxValue="0"/>
    </cacheField>
    <cacheField name="Outras despesas proporcional" numFmtId="0">
      <sharedItems containsSemiMixedTypes="0" containsString="0" containsNumber="1" containsInteger="1" minValue="0" maxValue="0"/>
    </cacheField>
    <cacheField name="Descrição Resumida" numFmtId="0">
      <sharedItems count="52">
        <s v="Produto 06"/>
        <s v="Produto 14"/>
        <s v="Produto 13"/>
        <s v="Produto 10"/>
        <s v="Produto 09"/>
        <s v="Produto 05"/>
        <s v="Produto 02"/>
        <s v="Produto 01"/>
        <s v="Produto 17"/>
        <s v="Produto 16"/>
        <s v="Produto 04"/>
        <s v="Produto 11"/>
        <s v="Produto 07"/>
        <s v="Produto 03"/>
        <s v="Produto 08"/>
        <s v="Produto 12"/>
        <s v="Produto 15"/>
        <s v="PERFIL CANTONEIRA (BGL 0,43)" u="1"/>
        <s v="Produto 29" u="1"/>
        <s v="PERFIL MONTANTE 90" u="1"/>
        <s v="Produto 31" u="1"/>
        <s v="TABICA LISA" u="1"/>
        <s v="GUIA 70" u="1"/>
        <s v="Produto 32" u="1"/>
        <s v="F530 DRYWALL" u="1"/>
        <s v="CANTONEIRA 13X30" u="1"/>
        <s v="Produto 18" u="1"/>
        <s v="MONTANTE 70" u="1"/>
        <s v="Produto 20" u="1"/>
        <s v="Produto 19" u="1"/>
        <s v="CANTONEIRA 25 X 30" u="1"/>
        <s v="Produto 21" u="1"/>
        <s v="PERFIL GUIA 90" u="1"/>
        <s v="GUIA 48" u="1"/>
        <s v="Produto 22" u="1"/>
        <s v="Produto 23" u="1"/>
        <s v="TABICA BRANCA" u="1"/>
        <e v="#N/A" u="1"/>
        <s v="Produto 24" u="1"/>
        <s v="Produto 25" u="1"/>
        <s v="Produto 26" u="1"/>
        <s v="MONTANTE 48 (3) C/ 5,0MT" u="1"/>
        <s v="Produto 27" u="1"/>
        <s v="MONTANTE 48 C/ 2,5MT" u="1"/>
        <s v="MONTANTE 70 C/3,6MT" u="1"/>
        <s v="MONTANTE 48" u="1"/>
        <s v="MONTANTE 48 C/ 2,7MT" u="1"/>
        <s v="CANTONEIRA PERFURADA 23 X 23" u="1"/>
        <s v="MONTANTE 48 C/ 2,8MT" u="1"/>
        <s v="Produto 28" u="1"/>
        <s v="Produto 30" u="1"/>
        <s v="CANTONEIRA 15 X 20" u="1"/>
      </sharedItems>
    </cacheField>
    <cacheField name="Peso" numFmtId="1">
      <sharedItems containsSemiMixedTypes="0" containsString="0" containsNumber="1" minValue="0.4" maxValue="9900"/>
    </cacheField>
    <cacheField name="Trimestres" numFmtId="0" databaseField="0">
      <fieldGroup base="3">
        <rangePr groupBy="quarters" startDate="2021-07-28T00:00:00" endDate="2022-01-10T00:00:00"/>
        <groupItems count="6">
          <s v="&lt;28/07/2021"/>
          <s v="Trim1"/>
          <s v="Trim2"/>
          <s v="Trim3"/>
          <s v="Trim4"/>
          <s v="&gt;10/01/2022"/>
        </groupItems>
      </fieldGroup>
    </cacheField>
    <cacheField name="Anos" numFmtId="0" databaseField="0">
      <fieldGroup base="3">
        <rangePr groupBy="years" startDate="2021-07-28T00:00:00" endDate="2022-01-10T00:00:00"/>
        <groupItems count="4">
          <s v="&lt;28/07/2021"/>
          <s v="2021"/>
          <s v="2022"/>
          <s v="&gt;10/01/2022"/>
        </groupItems>
      </fieldGroup>
    </cacheField>
  </cacheFields>
  <extLst>
    <ext xmlns:x14="http://schemas.microsoft.com/office/spreadsheetml/2009/9/main" uri="{725AE2AE-9491-48be-B2B4-4EB974FC3084}">
      <x14:pivotCacheDefinition pivotCacheId="145849625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OS Matheus" refreshedDate="44650.668511689815" createdVersion="6" refreshedVersion="7" minRefreshableVersion="3" recordCount="320" xr:uid="{00000000-000A-0000-FFFF-FFFF52000000}">
  <cacheSource type="worksheet">
    <worksheetSource name="Tabela1"/>
  </cacheSource>
  <cacheFields count="10">
    <cacheField name="Cliente " numFmtId="0">
      <sharedItems count="138">
        <s v="Cliente H"/>
        <s v="Cliente C"/>
        <s v="Cliente J"/>
        <s v="Cliente E"/>
        <s v="Cliente G"/>
        <s v="Cliente B"/>
        <s v="Cliente A"/>
        <s v="Cliente F"/>
        <s v="Cliente I"/>
        <s v="Cliente D"/>
        <s v="CIDADE CONSTRUTORA E INCORPORADORA LTDA" u="1"/>
        <s v="SERGIO INOCENCIO DE MORAIS 03151783961" u="1"/>
        <s v="PALLADIUM UMUARAMA ADM. DE SHOPPING CENTER LTDA" u="1"/>
        <s v="VANIL ROCHA " u="1"/>
        <s v="MARCOS DOS SANTOS CARDOSO" u="1"/>
        <s v="LINCK GESSO ACARTONADO LTDA" u="1"/>
        <s v="IMPERIO GESSO LTDA" u="1"/>
        <s v="VALDEMAR CHUPERNATE ME " u="1"/>
        <s v="UNNISUL COMERCIO DE GESSO LTDA" u="1"/>
        <s v="CONCEITO SISTEMAS CONSTRUTIVOS LTDA" u="1"/>
        <s v="MARIA ALICE R A SILVA DRYWALL ERELI -ME" u="1"/>
        <s v="CIAA CASA IJUIENSE DE ABERTURAS E ACAB LTDA " u="1"/>
        <s v="DRY- OBRAS " u="1"/>
        <s v="GENIO GESSO COMERCIO LTDA " u="1"/>
        <s v="MGS E FILHOS CONSTRUCOES LTDA" u="1"/>
        <s v="GESSOLAR COMÉRCIO DE GESSO LTDA " u="1"/>
        <s v="DA COSTA GESSO E DRYWALL EIRELI" u="1"/>
        <s v="GESSOLAR COMÉRCIO DE GESSO LTDA" u="1"/>
        <s v="COMERCIO DE GESSO JSX LTDA " u="1"/>
        <s v="SANTO EXPEDITO " u="1"/>
        <s v="FC GESSO EIRELI " u="1"/>
        <s v="COOP CENTRAL AURORA ALIMENTOS " u="1"/>
        <s v="WALL SHOP - COMERCIO DE GESSO ACARTONADO LTDA" u="1"/>
        <s v="G D S - MONTAGEM DE GESSOS E DRYWALL LTDA ME" u="1"/>
        <s v="ROCHA MONT REVENDA DE PRODUTOS PARA CONSTRUCAO A SECO EIRELI " u="1"/>
        <s v="G D S - MONTAGEM DE GESSOS E DRYWALL LTDA ME " u="1"/>
        <s v="DANIEL" u="1"/>
        <s v="JOAO BATISTA JUNIOR 02868153977" u="1"/>
        <s v="L S PIAIA GESSO ACARTONADO LTDA" u="1"/>
        <s v="Balneário Camboriú comércio de gesso ltda" u="1"/>
        <s v="IMPERIO RN REVESTIMENTOS " u="1"/>
        <s v="CONDOMINIO PALLADIUM SHOPPING CENTER CURITIBA LTDA " u="1"/>
        <s v="JOABISON DELFINO DA ROSA " u="1"/>
        <s v="JONAS DE OLIVEIRA SILVA ARTEFATOS DE GESSO" u="1"/>
        <s v="FRH SISTEMAS CONSTRUTIVOS LTDA" u="1"/>
        <s v="RALT PRESTADORA DE SERVICOS LTDA" u="1"/>
        <s v="GESSO TESSARO LTDA" u="1"/>
        <s v="GESSO VILA VELHA LTDA" u="1"/>
        <s v="VRC COM E MANUTENCAO DE DIVISORIAS LTDA" u="1"/>
        <s v="DIVIPLAN COMERCIO DE MÓVEIS E DIVISÓRIAS LTDA - ME " u="1"/>
        <s v="EMANUELLY FERNANDA DA SILVA OLIVEIRA LTDA" u="1"/>
        <s v="MATHEUS" u="1"/>
        <s v="VRC COM E MANUTENCAO DE DIVISORIAS LTDA " u="1"/>
        <s v="HANDEL CONSTRUCOES LTDA" u="1"/>
        <s v="COOP CENTRAL AURORA ALIMENTOS" u="1"/>
        <s v="R B F ACABAMENTOS LTDA " u="1"/>
        <s v="MARIA ALICE R A SILVA DRYWALL EIRELI - ME" u="1"/>
        <s v="MATERCONS MATERIAIS DE CONSTRUCAO LTDA ME " u="1"/>
        <s v="DECORART GESSO LTDA" u="1"/>
        <s v="MARCELO DE PAULA 05299162901" u="1"/>
        <s v="BORGER SISTEMAS CONSTRUTIVOS LTDA - ME" u="1"/>
        <s v="JOAO PEDRO SANTOS DE CARVALHO DELLA VEDOVA " u="1"/>
        <s v="IMPERIO RN REVESTIMENTOS" u="1"/>
        <s v="BRUNO MENDES DO NASCIMENTO 01194997972" u="1"/>
        <s v="JOELSON DO ROCIO PRESTES" u="1"/>
        <s v="CIAA CASA IJUIENSE DE ABERTURAS E ACAB LTDA" u="1"/>
        <s v="DRY- OBRAS" u="1"/>
        <s v="SANDRO CASA GRANDE GOMES - EIRELI - ME" u="1"/>
        <s v="RENATO SCHOFFEN " u="1"/>
        <s v="JOAO PEDRO SANTOS DE CARVALHO DELLA VEDOVA" u="1"/>
        <s v="ROTTAS 2 CONST. E INCORP. DE EMPREEND. IMOB. AS" u="1"/>
        <s v="GIOVANA CORREIA 85205230991" u="1"/>
        <s v="MADESHOPPING INVESTIMENTOS E PARTICIPACOES " u="1"/>
        <s v="DRY OFICCE FORROS E DIVISORIAS" u="1"/>
        <s v="INTRAGESSO - DISTRIBUIDORA DE GESSO EIRELI" u="1"/>
        <s v="ROTTAS 2 CONST. E INCORP. DE EMPREEND. IMOB. SA" u="1"/>
        <s v="ROBERTO FRIZZO HEPP" u="1"/>
        <s v="UNNISUL COMERCIO DE GESSO LTDA " u="1"/>
        <s v="BRUNO MENDES DO NASCIMENTO 01194997970" u="1"/>
        <s v="EMANUELLY FERNANDA DA SILVA OLIVEIRA LTDA " u="1"/>
        <s v="ILUMIGESSO" u="1"/>
        <s v="AMERICAN GESSO SOLUCOES CONSTRUTIVAS" u="1"/>
        <s v="NEGOSEKI GESSOS EIRELI ME" u="1"/>
        <s v="AMPLASTER GESSO" u="1"/>
        <s v="JOABISON DELFINO DA ROSA" u="1"/>
        <s v="SIPLAC FORROS E DIVISORIAS LTDA" u="1"/>
        <s v="JOAO BATISTA JUNIOR 02868153976" u="1"/>
        <s v="ROCHA MONT REVENDA DE PRODUTOS PARA CONSTRUCAO A SECO EIRELI" u="1"/>
        <s v="ALDINO FISCHER ME" u="1"/>
        <s v="CONDOMINIO EDIFICIO LE PARC" u="1"/>
        <s v="UNIGESSO" u="1"/>
        <s v="GENIO GESSO COMERCIO LTDA" u="1"/>
        <s v="LEONARDO HENRIQUE FREIRE " u="1"/>
        <s v="MC COMERCIO E SOLUCOES EM GESSO LTDA " u="1"/>
        <s v="METALGFOX METALÚRGICA EIRELI ME" u="1"/>
        <s v="ELIMAR GRAF EIRELI" u="1"/>
        <s v="A F DOMBROWSKI E CIA LTDA" u="1"/>
        <s v="ULISSES RODRIGUES " u="1"/>
        <s v="R B F ACABAMENTOS LTDA" u="1"/>
        <s v="FRANCIELLI DE JESUS MARTINS" u="1"/>
        <s v=" DRY-OBRAS COMERCIO DE MATERIAIS DE CONSTRUÇÃO LTDA" u="1"/>
        <s v="UNIGESSO " u="1"/>
        <s v="GESSO TESSARO LTDA " u="1"/>
        <s v="SHOPPING DAS DIVISORIAS LTDA ME" u="1"/>
        <s v="DA COSTA GESSO E DRYWALL EIRELI " u="1"/>
        <s v="SCHOEMBERGER CONTABILIDADE LTDA " u="1"/>
        <s v="PHR COMERCIO VAREJISTA DE MATERIAIS LTDA " u="1"/>
        <s v="CONDOMINIO PALLADIUM SHOPPING CENTER CURITIBA LTDA" u="1"/>
        <s v="DIVI &amp; ARTE DIVISORIAS E FORROS LTDA " u="1"/>
        <s v="CONDOMINIO PALLADIUM SHOPPING CENTER CURITIBA" u="1"/>
        <s v="FORRO TIM DIVISÓRIAS LTDA" u="1"/>
        <s v="CONCEITO SISTEMAS CONSTRUTIVOS LTDA " u="1"/>
        <s v="MC COMERCIO E SOLUCOES EM GESSO LTDA" u="1"/>
        <s v="RENATO SCHOFFEN" u="1"/>
        <s v="ULISSES RODRIGUES" u="1"/>
        <s v="TAINARA PADILHA BARROS" u="1"/>
        <s v="FC GESSO EIRELI" u="1"/>
        <s v="DIVIFORROS EIRELI " u="1"/>
        <s v="ER-CONSTRUCOES LTDA " u="1"/>
        <s v="COMERCIO DE GESSO JSX LTDA" u="1"/>
        <s v="INTRAGESSO - DISTRIBUIDORA DE GESSO EIRELI " u="1"/>
        <s v="ER-CONSTRUCOES LTDA" u="1"/>
        <s v="VALDEMAR CHUPERNATE ME" u="1"/>
        <s v="BRUNO MENDES DO NASCIMENTO 01194997973" u="1"/>
        <s v="CONSTRUFORRO INDUSTRIA E COMERCIO EIRELI" u="1"/>
        <s v="MATERCONS MATERIAIS DE CONSTRUCAO LTDA ME" u="1"/>
        <s v="MADESHOPPING INVESTIMENTOS E PARTICIPACOES" u="1"/>
        <s v="SANTO EXPEDITO" u="1"/>
        <s v="DIVIFORROS EIRELI" u="1"/>
        <s v="SCHOEMBERGER CONTABILIDADE LTDA" u="1"/>
        <s v="NEGOSEKI GESSOS EIRELI ME " u="1"/>
        <s v="POLISANDRO BARBOSA DOS SANTOS" u="1"/>
        <s v="DIVI &amp; ARTE DIVISORIAS E FORROS LTDA" u="1"/>
        <s v="MRE COMERCIO DE GESSO LTDA" u="1"/>
        <s v="LINCK GESSO ACARTONADO LTDA " u="1"/>
        <s v="DECORGESSO COMERCIO DE GESSO LTDA" u="1"/>
        <s v="BRUNO MENDES DO NASCIMENTO 01194997971" u="1"/>
        <s v="MARIA ALICE R A SILVA DRYWALL ERELI -ME " u="1"/>
      </sharedItems>
    </cacheField>
    <cacheField name="Data" numFmtId="14">
      <sharedItems containsSemiMixedTypes="0" containsNonDate="0" containsDate="1" containsString="0" minDate="2021-12-01T00:00:00" maxDate="2022-05-31T00:00:00"/>
    </cacheField>
    <cacheField name="Sit" numFmtId="0">
      <sharedItems count="5">
        <s v="Parcial"/>
        <s v="Aberto"/>
        <s v="Pago"/>
        <s v="Atrasado"/>
        <s v="atrasada" u="1"/>
      </sharedItems>
    </cacheField>
    <cacheField name="Valor " numFmtId="44">
      <sharedItems containsSemiMixedTypes="0" containsString="0" containsNumber="1" containsInteger="1" minValue="171" maxValue="2690"/>
    </cacheField>
    <cacheField name="Dias Faltantes" numFmtId="0">
      <sharedItems containsSemiMixedTypes="0" containsString="0" containsNumber="1" containsInteger="1" minValue="-119" maxValue="61"/>
    </cacheField>
    <cacheField name="A receber" numFmtId="0">
      <sharedItems count="6">
        <s v="15D"/>
        <s v="45D+"/>
        <s v="N/A"/>
        <s v="30D"/>
        <s v="45D"/>
        <s v="Recebido" u="1"/>
      </sharedItems>
    </cacheField>
    <cacheField name="Atrasado" numFmtId="44">
      <sharedItems count="8">
        <s v="N/A"/>
        <s v="45D+"/>
        <s v="30D"/>
        <s v="15D"/>
        <s v="45D"/>
        <b v="0" u="1"/>
        <s v="N/D" u="1"/>
        <s v="Não Recebido" u="1"/>
      </sharedItems>
    </cacheField>
    <cacheField name="Mês" numFmtId="0">
      <sharedItems/>
    </cacheField>
    <cacheField name="Ano" numFmtId="0">
      <sharedItems containsSemiMixedTypes="0" containsString="0" containsNumber="1" containsInteger="1" minValue="2021" maxValue="2023" count="3">
        <n v="2022"/>
        <n v="2021"/>
        <n v="2023" u="1"/>
      </sharedItems>
    </cacheField>
    <cacheField name="Sit 2" numFmtId="0">
      <sharedItems count="4">
        <s v="parcial"/>
        <s v="aberto"/>
        <s v="pago"/>
        <s v="atrasada"/>
      </sharedItems>
    </cacheField>
  </cacheFields>
  <extLst>
    <ext xmlns:x14="http://schemas.microsoft.com/office/spreadsheetml/2009/9/main" uri="{725AE2AE-9491-48be-B2B4-4EB974FC3084}">
      <x14:pivotCacheDefinition pivotCacheId="108477629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OS Matheus" refreshedDate="44650.668512847224" createdVersion="6" refreshedVersion="7" minRefreshableVersion="3" recordCount="35" xr:uid="{00000000-000A-0000-FFFF-FFFF56000000}">
  <cacheSource type="worksheet">
    <worksheetSource name="Tabela4"/>
  </cacheSource>
  <cacheFields count="4">
    <cacheField name="FORNECEDOR" numFmtId="0">
      <sharedItems count="16">
        <s v="Fornecedor 2"/>
        <s v="Fornecedor 4"/>
        <s v="Fornecedor 1"/>
        <s v="Fornecedor 5"/>
        <s v="Fornecedor 3"/>
        <s v="SAMPAIO DISTRIBUIDORA DE ACO LTDA" u="1"/>
        <s v="Fornecedor 10" u="1"/>
        <s v="BENCO" u="1"/>
        <s v="Fornecedor 13" u="1"/>
        <e v="#REF!" u="1"/>
        <s v="AC COMERCIAL" u="1"/>
        <s v="ARCELORMITTAL BRASIL S.A." u="1"/>
        <s v="ARCELORMITTAL" u="1"/>
        <s v="SAMPAIO" u="1"/>
        <s v="OCEL" u="1"/>
        <s v="OCEL DO BRASIL INDUSTRIA E COMERCIO LTDA" u="1"/>
      </sharedItems>
    </cacheField>
    <cacheField name="VENCIMENTOS" numFmtId="14">
      <sharedItems containsSemiMixedTypes="0" containsNonDate="0" containsDate="1" containsString="0" minDate="2022-01-08T00:00:00" maxDate="2022-03-11T00:00:00"/>
    </cacheField>
    <cacheField name="VALOR" numFmtId="44">
      <sharedItems containsSemiMixedTypes="0" containsString="0" containsNumber="1" containsInteger="1" minValue="1167" maxValue="7789"/>
    </cacheField>
    <cacheField name="SEMANA" numFmtId="166">
      <sharedItems containsSemiMixedTypes="0" containsString="0" containsNumber="1" containsInteger="1" minValue="1" maxValue="10" count="9">
        <n v="1"/>
        <n v="2"/>
        <n v="3"/>
        <n v="4"/>
        <n v="5"/>
        <n v="6"/>
        <n v="7"/>
        <n v="8"/>
        <n v="10"/>
      </sharedItems>
    </cacheField>
  </cacheFields>
  <extLst>
    <ext xmlns:x14="http://schemas.microsoft.com/office/spreadsheetml/2009/9/main" uri="{725AE2AE-9491-48be-B2B4-4EB974FC3084}">
      <x14:pivotCacheDefinition pivotCacheId="174472937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OS Matheus" refreshedDate="44650.668513425924" createdVersion="6" refreshedVersion="7" minRefreshableVersion="3" recordCount="160" xr:uid="{00000000-000A-0000-FFFF-FFFF5B000000}">
  <cacheSource type="worksheet">
    <worksheetSource name="Tabela2"/>
  </cacheSource>
  <cacheFields count="24">
    <cacheField name="ID" numFmtId="0">
      <sharedItems containsString="0" containsBlank="1" containsNumber="1" containsInteger="1" minValue="15455633497" maxValue="15824466620"/>
    </cacheField>
    <cacheField name="N° do pedido" numFmtId="0">
      <sharedItems containsSemiMixedTypes="0" containsString="0" containsNumber="1" containsInteger="1" minValue="1" maxValue="150"/>
    </cacheField>
    <cacheField name="Data" numFmtId="14">
      <sharedItems containsSemiMixedTypes="0" containsNonDate="0" containsDate="1" containsString="0" minDate="2021-12-03T00:00:00" maxDate="2022-05-29T00:00:00"/>
    </cacheField>
    <cacheField name="ID contato" numFmtId="0">
      <sharedItems containsString="0" containsBlank="1" containsNumber="1" containsInteger="1" minValue="14772821922" maxValue="15622257299"/>
    </cacheField>
    <cacheField name="Nome do contato" numFmtId="0">
      <sharedItems/>
    </cacheField>
    <cacheField name="Desconto" numFmtId="0">
      <sharedItems containsString="0" containsBlank="1" containsNumber="1" containsInteger="1" minValue="0" maxValue="0"/>
    </cacheField>
    <cacheField name="Observações" numFmtId="0">
      <sharedItems containsNonDate="0" containsString="0" containsBlank="1"/>
    </cacheField>
    <cacheField name="Situação" numFmtId="0">
      <sharedItems containsBlank="1"/>
    </cacheField>
    <cacheField name="ID produto" numFmtId="0">
      <sharedItems containsString="0" containsBlank="1" containsNumber="1" containsInteger="1" minValue="14979354095" maxValue="15657228743"/>
    </cacheField>
    <cacheField name="Código" numFmtId="0">
      <sharedItems containsBlank="1"/>
    </cacheField>
    <cacheField name="Código no fornecedor" numFmtId="0">
      <sharedItems containsString="0" containsBlank="1" containsNumber="1" containsInteger="1" minValue="1277" maxValue="50790031"/>
    </cacheField>
    <cacheField name="Descrição" numFmtId="0">
      <sharedItems/>
    </cacheField>
    <cacheField name="Quantidade" numFmtId="4">
      <sharedItems containsSemiMixedTypes="0" containsString="0" containsNumber="1" containsInteger="1" minValue="1" maxValue="97789"/>
    </cacheField>
    <cacheField name="Valor unitário" numFmtId="43">
      <sharedItems containsSemiMixedTypes="0" containsString="0" containsNumber="1" minValue="0.18" maxValue="5460"/>
    </cacheField>
    <cacheField name="Un" numFmtId="0">
      <sharedItems containsBlank="1"/>
    </cacheField>
    <cacheField name="Frete do item" numFmtId="0">
      <sharedItems containsString="0" containsBlank="1" containsNumber="1" containsInteger="1" minValue="0" maxValue="0"/>
    </cacheField>
    <cacheField name="Ordem de compra" numFmtId="0">
      <sharedItems containsBlank="1" containsMixedTypes="1" containsNumber="1" containsInteger="1" minValue="3646" maxValue="5225"/>
    </cacheField>
    <cacheField name="Descrição Resumida" numFmtId="0">
      <sharedItems count="39">
        <s v="Produto 16"/>
        <s v="Produto 15"/>
        <s v="Produto 01"/>
        <s v="Produto 11"/>
        <s v="Produto 10"/>
        <s v="Produto 08"/>
        <s v="Produto 12"/>
        <s v="Produto 13"/>
        <s v="Produto 03"/>
        <s v="Produto 04"/>
        <s v="Produto 05"/>
        <s v="Produto 14"/>
        <s v="Produto 07"/>
        <s v="Produto 09"/>
        <s v="Produto 06"/>
        <s v="Produto 02"/>
        <s v="Produto 9" u="1"/>
        <s v="SLITTER" u="1"/>
        <s v="F530 DRYWALL" u="1"/>
        <s v="FITA PHOENIX STP 10X0,65 PRETA C/2200 MTS" u="1"/>
        <s v="CANTONEIRA 13X30" u="1"/>
        <s v="Produto 2" u="1"/>
        <s v="Produto 5" u="1"/>
        <s v="PINTURA TABICA BRANCA" u="1"/>
        <s v="FRETE" u="1"/>
        <s v="Produto 8" u="1"/>
        <s v="PERFIL GUIA 90" u="1"/>
        <s v="Produto 1" u="1"/>
        <s v="TABICA BRANCA" u="1"/>
        <s v="BGL 0,43 x 600 a 1600 ASTM A792 QC" u="1"/>
        <s v="BGL 0,47 x 600 a 1600 ASTM A792 QC" u="1"/>
        <s v="BGL 0,50 x 600 a 1600 ASTM A792 QC" u="1"/>
        <s v="MANT. MAQUINAS" u="1"/>
        <s v="Produto 4" u="1"/>
        <s v="Produto 7" u="1"/>
        <s v="Produto 3" u="1"/>
        <s v="MONTANTE 48" u="1"/>
        <s v="CANTONEIRA PERFURADA 23 X 23" u="1"/>
        <s v="Produto 6" u="1"/>
      </sharedItems>
    </cacheField>
    <cacheField name="Imposto" numFmtId="9">
      <sharedItems containsSemiMixedTypes="0" containsString="0" containsNumber="1" minValue="0" maxValue="0.05"/>
    </cacheField>
    <cacheField name="Peso" numFmtId="0">
      <sharedItems containsSemiMixedTypes="0" containsString="0" containsNumber="1" minValue="0.4" maxValue="1.68"/>
    </cacheField>
    <cacheField name="Peso Total" numFmtId="0">
      <sharedItems containsSemiMixedTypes="0" containsString="0" containsNumber="1" minValue="0.5" maxValue="107567.90000000001"/>
    </cacheField>
    <cacheField name="Vlr Total" numFmtId="44">
      <sharedItems containsSemiMixedTypes="0" containsString="0" containsNumber="1" minValue="360" maxValue="248701.1"/>
    </cacheField>
    <cacheField name="mês" numFmtId="0">
      <sharedItems count="7">
        <s v="Dez"/>
        <s v="Jan"/>
        <s v="Mai"/>
        <s v="Abr"/>
        <s v="Mar"/>
        <s v="Fev"/>
        <s v="Nov" u="1"/>
      </sharedItems>
    </cacheField>
    <cacheField name="ano" numFmtId="1">
      <sharedItems containsSemiMixedTypes="0" containsString="0" containsNumber="1" containsInteger="1" minValue="2021" maxValue="2023" count="3">
        <n v="2021"/>
        <n v="2022"/>
        <n v="2023" u="1"/>
      </sharedItems>
    </cacheField>
  </cacheFields>
  <extLst>
    <ext xmlns:x14="http://schemas.microsoft.com/office/spreadsheetml/2009/9/main" uri="{725AE2AE-9491-48be-B2B4-4EB974FC3084}">
      <x14:pivotCacheDefinition pivotCacheId="12683538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">
  <r>
    <n v="15284244295"/>
    <n v="66"/>
    <m/>
    <x v="0"/>
    <n v="15020006032"/>
    <x v="0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5085610"/>
    <s v="Produto 06"/>
    <n v="10"/>
    <n v="13.9"/>
    <n v="0"/>
    <n v="10.23"/>
    <n v="139"/>
    <n v="16"/>
    <s v="PRFL.00.0001"/>
    <n v="0"/>
    <n v="0"/>
    <m/>
    <m/>
    <m/>
    <m/>
    <d v="2021-07-28T09:15:00"/>
    <n v="0"/>
    <n v="0"/>
    <x v="0"/>
    <n v="5"/>
  </r>
  <r>
    <n v="15020046998"/>
    <n v="1"/>
    <m/>
    <x v="1"/>
    <n v="15020006032"/>
    <x v="0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5353721"/>
    <s v="Produto 14"/>
    <n v="1000"/>
    <n v="8.1999999999999993"/>
    <n v="0"/>
    <n v="5.58"/>
    <n v="8200"/>
    <n v="16"/>
    <s v="PRFL.00.0002"/>
    <n v="0"/>
    <n v="0"/>
    <m/>
    <m/>
    <m/>
    <m/>
    <d v="2021-07-30T14:02:00"/>
    <n v="0"/>
    <n v="0"/>
    <x v="1"/>
    <n v="1400"/>
  </r>
  <r>
    <n v="15269414721"/>
    <n v="23"/>
    <m/>
    <x v="2"/>
    <n v="15058669306"/>
    <x v="1"/>
    <s v="03.387.992/0001-40"/>
    <s v="RUA ANTONIO GRECA, 91"/>
    <s v="AHU"/>
    <s v="Curitiba"/>
    <n v="82200430"/>
    <s v="PR"/>
    <s v="willian@walls.com.br"/>
    <n v="4191036801"/>
    <n v="0"/>
    <n v="0"/>
    <s v="Ref. faturamento NFE saída 614. PAGO VM."/>
    <s v="Atendido"/>
    <n v="15016043939"/>
    <s v="Produto 06"/>
    <n v="1000"/>
    <n v="13.85"/>
    <n v="0"/>
    <n v="10.747"/>
    <n v="13850"/>
    <n v="17"/>
    <s v="PRFL.00.0019"/>
    <n v="0"/>
    <n v="0"/>
    <s v="AMANDA HUBBE"/>
    <m/>
    <m/>
    <m/>
    <d v="2021-07-31T13:44:00"/>
    <n v="0"/>
    <n v="0"/>
    <x v="0"/>
    <n v="500"/>
  </r>
  <r>
    <n v="15269487249"/>
    <n v="24"/>
    <m/>
    <x v="2"/>
    <n v="15020006032"/>
    <x v="2"/>
    <s v="28.561.609/0001-59"/>
    <s v="Rodovia BR-277 Curitiba-Paranaguá, 3641"/>
    <s v="Cajuru"/>
    <s v="Curitiba"/>
    <n v="82960015"/>
    <s v="PR"/>
    <s v="teste@share-inc.com.br"/>
    <n v="41996838559"/>
    <n v="0"/>
    <n v="0"/>
    <s v="Ref. faturamento NFE saída 619. PAGO VM."/>
    <s v="Atendido"/>
    <n v="15015511068"/>
    <s v="Produto 14"/>
    <n v="300"/>
    <n v="16.2"/>
    <n v="0"/>
    <n v="10.23"/>
    <n v="4860"/>
    <n v="16"/>
    <s v="PRFL.00.0005"/>
    <n v="0"/>
    <n v="0"/>
    <m/>
    <m/>
    <m/>
    <m/>
    <d v="2021-07-31T13:45:00"/>
    <n v="0"/>
    <n v="0"/>
    <x v="1"/>
    <n v="420"/>
  </r>
  <r>
    <n v="15269550609"/>
    <n v="25"/>
    <m/>
    <x v="2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085610"/>
    <s v="Produto 13"/>
    <n v="2340"/>
    <n v="13.9"/>
    <n v="0"/>
    <n v="10.23"/>
    <n v="32526"/>
    <n v="41"/>
    <s v="PRFL.00.0001"/>
    <n v="0"/>
    <n v="0"/>
    <s v="HENRIQUE"/>
    <m/>
    <m/>
    <m/>
    <d v="2021-07-31T09:14:00"/>
    <n v="0"/>
    <n v="0"/>
    <x v="2"/>
    <n v="3276"/>
  </r>
  <r>
    <n v="15269550609"/>
    <n v="25"/>
    <m/>
    <x v="2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353721"/>
    <s v="Produto 10"/>
    <n v="1452"/>
    <n v="8.1999999999999993"/>
    <n v="0"/>
    <n v="5.58"/>
    <n v="11906.4"/>
    <n v="41"/>
    <s v="PRFL.00.0002"/>
    <n v="0"/>
    <n v="0"/>
    <s v="HENRIQUE"/>
    <m/>
    <m/>
    <m/>
    <d v="2021-07-31T09:14:00"/>
    <n v="0"/>
    <n v="0"/>
    <x v="3"/>
    <n v="1597.2"/>
  </r>
  <r>
    <n v="15269550609"/>
    <n v="25"/>
    <m/>
    <x v="2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9"/>
    <n v="1000"/>
    <n v="7.5"/>
    <n v="0"/>
    <n v="5.61"/>
    <n v="7500"/>
    <n v="41"/>
    <s v="PRFL.00.0011"/>
    <n v="0"/>
    <n v="0"/>
    <s v="HENRIQUE"/>
    <m/>
    <m/>
    <m/>
    <d v="2021-07-31T09:14:00"/>
    <n v="0"/>
    <n v="0"/>
    <x v="4"/>
    <n v="1100"/>
  </r>
  <r>
    <n v="15280180552"/>
    <n v="64"/>
    <m/>
    <x v="3"/>
    <n v="15179608501"/>
    <x v="1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87271"/>
    <s v="Produto 09"/>
    <n v="200"/>
    <n v="18.2"/>
    <n v="0"/>
    <n v="14.4596"/>
    <n v="3640"/>
    <n v="42"/>
    <s v="PRFL.00.0025"/>
    <n v="0"/>
    <n v="0"/>
    <m/>
    <m/>
    <m/>
    <m/>
    <d v="2021-08-25T11:46:00"/>
    <n v="0"/>
    <n v="0"/>
    <x v="4"/>
    <n v="220.00000000000003"/>
  </r>
  <r>
    <n v="15280180552"/>
    <n v="64"/>
    <m/>
    <x v="3"/>
    <n v="15179608501"/>
    <x v="6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93155"/>
    <s v="Produto 09"/>
    <n v="400"/>
    <n v="16.170000000000002"/>
    <n v="0"/>
    <n v="14.4596"/>
    <n v="6468"/>
    <n v="42"/>
    <s v="PRFL.00.0026"/>
    <n v="0"/>
    <n v="0"/>
    <m/>
    <m/>
    <m/>
    <m/>
    <d v="2021-08-25T11:46:00"/>
    <n v="0"/>
    <n v="0"/>
    <x v="4"/>
    <n v="440.00000000000006"/>
  </r>
  <r>
    <n v="15280180552"/>
    <n v="64"/>
    <m/>
    <x v="3"/>
    <n v="15179608501"/>
    <x v="7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5886084"/>
    <s v="Produto 05"/>
    <n v="200"/>
    <n v="18.13"/>
    <n v="0"/>
    <n v="15.996"/>
    <n v="3626"/>
    <n v="42"/>
    <s v="PRFL.00.0009"/>
    <n v="0"/>
    <n v="0"/>
    <m/>
    <m/>
    <m/>
    <m/>
    <d v="2021-08-25T11:46:00"/>
    <n v="0"/>
    <n v="0"/>
    <x v="5"/>
    <n v="120"/>
  </r>
  <r>
    <n v="15269564434"/>
    <n v="26"/>
    <m/>
    <x v="4"/>
    <n v="15058698393"/>
    <x v="8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43939"/>
    <s v="Produto 02"/>
    <n v="500"/>
    <n v="13.9"/>
    <n v="0"/>
    <n v="10.747"/>
    <n v="6950"/>
    <n v="18"/>
    <s v="PRFL.00.0019"/>
    <n v="0"/>
    <n v="0"/>
    <m/>
    <m/>
    <m/>
    <m/>
    <d v="2021-08-30T13:45:00"/>
    <n v="0"/>
    <n v="0"/>
    <x v="6"/>
    <n v="135"/>
  </r>
  <r>
    <n v="15269655769"/>
    <n v="27"/>
    <m/>
    <x v="4"/>
    <n v="15020006032"/>
    <x v="5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5511068"/>
    <s v="Produto 01"/>
    <n v="500"/>
    <n v="16.2"/>
    <n v="0"/>
    <n v="10.23"/>
    <n v="8100"/>
    <n v="16"/>
    <s v="PRFL.00.0005"/>
    <n v="0"/>
    <n v="0"/>
    <m/>
    <m/>
    <m/>
    <m/>
    <d v="2021-08-30T13:46:00"/>
    <n v="0"/>
    <n v="0"/>
    <x v="7"/>
    <n v="200"/>
  </r>
  <r>
    <n v="15269655769"/>
    <n v="27"/>
    <m/>
    <x v="4"/>
    <n v="15020006032"/>
    <x v="4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43939"/>
    <s v="Produto 09"/>
    <n v="500"/>
    <n v="13.9"/>
    <n v="0"/>
    <n v="10.747"/>
    <n v="6950"/>
    <n v="16"/>
    <s v="PRFL.00.0019"/>
    <n v="0"/>
    <n v="0"/>
    <m/>
    <m/>
    <m/>
    <m/>
    <d v="2021-08-30T13:46:00"/>
    <n v="0"/>
    <n v="0"/>
    <x v="4"/>
    <n v="550"/>
  </r>
  <r>
    <n v="15269655769"/>
    <n v="27"/>
    <m/>
    <x v="4"/>
    <n v="15020006032"/>
    <x v="2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5918644"/>
    <s v="Produto 17"/>
    <n v="2000"/>
    <n v="8.1999999999999993"/>
    <n v="0"/>
    <n v="5.61"/>
    <n v="16400"/>
    <n v="16"/>
    <s v="PRFL.00.0011"/>
    <n v="0"/>
    <n v="0"/>
    <m/>
    <m/>
    <m/>
    <m/>
    <d v="2021-08-30T13:46:00"/>
    <n v="0"/>
    <n v="0"/>
    <x v="8"/>
    <n v="2840"/>
  </r>
  <r>
    <n v="15269738581"/>
    <n v="28"/>
    <m/>
    <x v="4"/>
    <n v="15058719469"/>
    <x v="5"/>
    <s v="30.641.041/0001-28"/>
    <s v="RUA LEONARDO NOVICKI, 1554"/>
    <s v="Cajuru"/>
    <s v="Curitiba"/>
    <n v="82930548"/>
    <s v="PR"/>
    <m/>
    <m/>
    <n v="0"/>
    <n v="0"/>
    <m/>
    <s v="Atendido"/>
    <n v="15016043939"/>
    <s v="Produto 16"/>
    <n v="250"/>
    <n v="13.9"/>
    <n v="0"/>
    <n v="10.747"/>
    <n v="3475"/>
    <n v="19"/>
    <s v="PRFL.00.0019"/>
    <n v="0"/>
    <n v="0"/>
    <m/>
    <m/>
    <m/>
    <m/>
    <d v="2021-08-30T13:46:00"/>
    <n v="0"/>
    <n v="0"/>
    <x v="9"/>
    <n v="317.5"/>
  </r>
  <r>
    <n v="15269738581"/>
    <n v="28"/>
    <m/>
    <x v="4"/>
    <n v="15058719469"/>
    <x v="9"/>
    <s v="30.641.041/0001-28"/>
    <s v="RUA LEONARDO NOVICKI, 1554"/>
    <s v="Cajuru"/>
    <s v="Curitiba"/>
    <n v="82930548"/>
    <s v="PR"/>
    <m/>
    <m/>
    <n v="0"/>
    <n v="0"/>
    <m/>
    <s v="Atendido"/>
    <n v="15015918644"/>
    <s v="Produto 04"/>
    <n v="250"/>
    <n v="8.1999999999999993"/>
    <n v="0"/>
    <n v="5.61"/>
    <n v="2050"/>
    <n v="19"/>
    <s v="PRFL.00.0011"/>
    <n v="0"/>
    <n v="0"/>
    <m/>
    <m/>
    <m/>
    <m/>
    <d v="2021-08-30T13:46:00"/>
    <n v="0"/>
    <n v="0"/>
    <x v="10"/>
    <n v="150"/>
  </r>
  <r>
    <n v="15269778195"/>
    <n v="29"/>
    <m/>
    <x v="4"/>
    <n v="15058741746"/>
    <x v="10"/>
    <s v="26.509.761/0001-67"/>
    <s v="AV JUSCELINO KUBITSCHEK DE OLIVEIRA, 2046, BRCAO A"/>
    <s v="CIDADE INDUSTRIAL"/>
    <s v="Curitiba"/>
    <n v="81290000"/>
    <s v="PR"/>
    <m/>
    <m/>
    <n v="0"/>
    <n v="0"/>
    <m/>
    <s v="Atendido"/>
    <n v="15015911944"/>
    <s v="Produto 16"/>
    <n v="1000"/>
    <n v="13.8"/>
    <n v="0"/>
    <n v="10.285"/>
    <n v="13800"/>
    <n v="20"/>
    <s v="PRFL.00.0010"/>
    <n v="0"/>
    <n v="0"/>
    <m/>
    <m/>
    <m/>
    <m/>
    <d v="2021-08-30T13:46:00"/>
    <n v="0"/>
    <n v="0"/>
    <x v="9"/>
    <n v="1270"/>
  </r>
  <r>
    <n v="15269822282"/>
    <n v="30"/>
    <m/>
    <x v="4"/>
    <n v="15058669306"/>
    <x v="11"/>
    <s v="03.387.992/0001-40"/>
    <s v="RUA ANTONIO GRECA, 91"/>
    <s v="AHU"/>
    <s v="Curitiba"/>
    <n v="82200430"/>
    <s v="PR"/>
    <s v="willian@walls.com.br"/>
    <n v="4191036801"/>
    <n v="0"/>
    <n v="0"/>
    <m/>
    <s v="Atendido"/>
    <n v="15015911944"/>
    <s v="Produto 01"/>
    <n v="300"/>
    <n v="18.2"/>
    <n v="0"/>
    <n v="10.285"/>
    <n v="5460"/>
    <n v="17"/>
    <s v="PRFL.00.0010"/>
    <n v="0"/>
    <n v="0"/>
    <s v="AMANDA HUBBE"/>
    <m/>
    <m/>
    <m/>
    <d v="2021-08-30T13:46:00"/>
    <n v="0"/>
    <n v="0"/>
    <x v="7"/>
    <n v="120"/>
  </r>
  <r>
    <n v="15269822282"/>
    <n v="30"/>
    <m/>
    <x v="4"/>
    <n v="15058669306"/>
    <x v="12"/>
    <s v="03.387.992/0001-40"/>
    <s v="RUA ANTONIO GRECA, 91"/>
    <s v="AHU"/>
    <s v="Curitiba"/>
    <n v="82200430"/>
    <s v="PR"/>
    <s v="willian@walls.com.br"/>
    <n v="4191036801"/>
    <n v="0"/>
    <n v="0"/>
    <m/>
    <s v="Atendido"/>
    <n v="15016099089"/>
    <s v="Produto 11"/>
    <n v="200"/>
    <n v="21.3"/>
    <n v="0"/>
    <n v="16.804400000000001"/>
    <n v="4260"/>
    <n v="17"/>
    <s v="PRFL.00.0027"/>
    <n v="0"/>
    <n v="0"/>
    <s v="AMANDA HUBBE"/>
    <m/>
    <m/>
    <m/>
    <d v="2021-08-30T13:46:00"/>
    <n v="0"/>
    <n v="0"/>
    <x v="11"/>
    <n v="220.00000000000003"/>
  </r>
  <r>
    <n v="15271227781"/>
    <n v="41"/>
    <m/>
    <x v="4"/>
    <n v="15179581888"/>
    <x v="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02"/>
    <n v="12040"/>
    <n v="13.9"/>
    <n v="0"/>
    <n v="10.285"/>
    <n v="167356"/>
    <n v="41"/>
    <s v="PRFL.00.0010"/>
    <n v="0"/>
    <n v="0"/>
    <s v="HENRIQUE"/>
    <m/>
    <m/>
    <m/>
    <d v="2021-08-30T09:11:00"/>
    <n v="0"/>
    <n v="0"/>
    <x v="6"/>
    <n v="3250.8"/>
  </r>
  <r>
    <n v="15271227781"/>
    <n v="41"/>
    <m/>
    <x v="4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9"/>
    <n v="1000"/>
    <n v="14"/>
    <n v="0"/>
    <n v="10.747"/>
    <n v="14000"/>
    <n v="41"/>
    <s v="PRFL.00.0019"/>
    <n v="0"/>
    <n v="0"/>
    <s v="HENRIQUE"/>
    <m/>
    <m/>
    <m/>
    <d v="2021-08-30T09:11:00"/>
    <n v="0"/>
    <n v="0"/>
    <x v="4"/>
    <n v="1100"/>
  </r>
  <r>
    <n v="15271227781"/>
    <n v="41"/>
    <m/>
    <x v="4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085610"/>
    <s v="Produto 04"/>
    <n v="100"/>
    <n v="14.2"/>
    <n v="0"/>
    <n v="10.23"/>
    <n v="1420"/>
    <n v="41"/>
    <s v="PRFL.00.0001"/>
    <n v="0"/>
    <n v="0"/>
    <s v="HENRIQUE"/>
    <m/>
    <m/>
    <m/>
    <d v="2021-08-30T09:11:00"/>
    <n v="0"/>
    <n v="0"/>
    <x v="10"/>
    <n v="60"/>
  </r>
  <r>
    <n v="15271227781"/>
    <n v="41"/>
    <m/>
    <x v="4"/>
    <n v="15179581888"/>
    <x v="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6"/>
    <n v="200"/>
    <n v="14.25"/>
    <n v="0"/>
    <n v="10.747"/>
    <n v="2850"/>
    <n v="41"/>
    <s v="PRFL.00.0019"/>
    <n v="0"/>
    <n v="0"/>
    <s v="HENRIQUE"/>
    <m/>
    <m/>
    <m/>
    <d v="2021-08-30T09:11:00"/>
    <n v="0"/>
    <n v="0"/>
    <x v="0"/>
    <n v="100"/>
  </r>
  <r>
    <n v="15271227781"/>
    <n v="41"/>
    <m/>
    <x v="4"/>
    <n v="15179581888"/>
    <x v="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085610"/>
    <s v="Produto 04"/>
    <n v="20"/>
    <n v="14.7"/>
    <n v="0"/>
    <n v="10.23"/>
    <n v="294"/>
    <n v="41"/>
    <s v="PRFL.00.0001"/>
    <n v="0"/>
    <n v="0"/>
    <s v="HENRIQUE"/>
    <m/>
    <m/>
    <m/>
    <d v="2021-08-30T09:11:00"/>
    <n v="0"/>
    <n v="0"/>
    <x v="10"/>
    <n v="12"/>
  </r>
  <r>
    <n v="15271227781"/>
    <n v="41"/>
    <m/>
    <x v="4"/>
    <n v="15179581888"/>
    <x v="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07"/>
    <n v="140"/>
    <n v="14.9"/>
    <n v="0"/>
    <n v="10.285"/>
    <n v="2086"/>
    <n v="41"/>
    <s v="PRFL.00.0010"/>
    <n v="0"/>
    <n v="0"/>
    <s v="HENRIQUE"/>
    <m/>
    <m/>
    <m/>
    <d v="2021-08-30T09:11:00"/>
    <n v="0"/>
    <n v="0"/>
    <x v="12"/>
    <n v="154"/>
  </r>
  <r>
    <n v="15271227781"/>
    <n v="41"/>
    <m/>
    <x v="4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14"/>
    <n v="425"/>
    <n v="13.9"/>
    <n v="0"/>
    <n v="10.23"/>
    <n v="5907.5"/>
    <n v="41"/>
    <s v="PRFL.00.0005"/>
    <n v="0"/>
    <n v="0"/>
    <s v="HENRIQUE"/>
    <m/>
    <m/>
    <m/>
    <d v="2021-08-30T09:11:00"/>
    <n v="0"/>
    <n v="0"/>
    <x v="1"/>
    <n v="595"/>
  </r>
  <r>
    <n v="15271227781"/>
    <n v="41"/>
    <m/>
    <x v="4"/>
    <n v="15179581888"/>
    <x v="1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01"/>
    <n v="250"/>
    <n v="16.7"/>
    <n v="0"/>
    <n v="10.23"/>
    <n v="4175"/>
    <n v="41"/>
    <s v="PRFL.00.0005"/>
    <n v="0"/>
    <n v="0"/>
    <s v="HENRIQUE"/>
    <m/>
    <m/>
    <m/>
    <d v="2021-08-30T09:11:00"/>
    <n v="0"/>
    <n v="0"/>
    <x v="7"/>
    <n v="100"/>
  </r>
  <r>
    <n v="15271227781"/>
    <n v="41"/>
    <m/>
    <x v="4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03"/>
    <n v="38"/>
    <n v="17.7"/>
    <n v="0"/>
    <n v="10.23"/>
    <n v="672.6"/>
    <n v="41"/>
    <s v="PRFL.00.0005"/>
    <n v="0"/>
    <n v="0"/>
    <s v="HENRIQUE"/>
    <m/>
    <m/>
    <m/>
    <d v="2021-08-30T09:11:00"/>
    <n v="0"/>
    <n v="0"/>
    <x v="13"/>
    <n v="22.8"/>
  </r>
  <r>
    <n v="15271227781"/>
    <n v="41"/>
    <m/>
    <x v="4"/>
    <n v="15179581888"/>
    <x v="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7"/>
    <n v="6059"/>
    <n v="8.1999999999999993"/>
    <n v="0"/>
    <n v="5.61"/>
    <n v="49683.8"/>
    <n v="41"/>
    <s v="PRFL.00.0011"/>
    <n v="0"/>
    <n v="0"/>
    <s v="HENRIQUE"/>
    <m/>
    <m/>
    <m/>
    <d v="2021-08-30T09:11:00"/>
    <n v="0"/>
    <n v="0"/>
    <x v="12"/>
    <n v="6664.9000000000005"/>
  </r>
  <r>
    <n v="15271227781"/>
    <n v="41"/>
    <m/>
    <x v="4"/>
    <n v="15179581888"/>
    <x v="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8"/>
    <n v="110"/>
    <n v="8.3800000000000008"/>
    <n v="0"/>
    <n v="5.61"/>
    <n v="921.8"/>
    <n v="41"/>
    <s v="PRFL.00.0011"/>
    <n v="0"/>
    <n v="0"/>
    <s v="HENRIQUE"/>
    <m/>
    <m/>
    <m/>
    <d v="2021-08-30T09:11:00"/>
    <n v="0"/>
    <n v="0"/>
    <x v="14"/>
    <n v="121.00000000000001"/>
  </r>
  <r>
    <n v="15271227781"/>
    <n v="41"/>
    <m/>
    <x v="4"/>
    <n v="15179581888"/>
    <x v="1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7"/>
    <n v="124"/>
    <n v="8.68"/>
    <n v="0"/>
    <n v="5.61"/>
    <n v="1076.32"/>
    <n v="41"/>
    <s v="PRFL.00.0011"/>
    <n v="0"/>
    <n v="0"/>
    <s v="HENRIQUE"/>
    <m/>
    <m/>
    <m/>
    <d v="2021-08-30T09:11:00"/>
    <n v="0"/>
    <n v="0"/>
    <x v="12"/>
    <n v="136.4"/>
  </r>
  <r>
    <n v="15271227781"/>
    <n v="41"/>
    <m/>
    <x v="4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12"/>
    <n v="111"/>
    <n v="15.2"/>
    <n v="0"/>
    <n v="10.747"/>
    <n v="1687.2"/>
    <n v="41"/>
    <s v="PRFL.00.0024"/>
    <n v="0"/>
    <n v="0"/>
    <s v="HENRIQUE"/>
    <m/>
    <m/>
    <m/>
    <d v="2021-08-30T09:11:00"/>
    <n v="0"/>
    <n v="0"/>
    <x v="15"/>
    <n v="155.39999999999998"/>
  </r>
  <r>
    <n v="15271227781"/>
    <n v="41"/>
    <m/>
    <x v="4"/>
    <n v="15179581888"/>
    <x v="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746121"/>
    <s v="Produto 06"/>
    <n v="110"/>
    <n v="18.2"/>
    <n v="0"/>
    <n v="13.763999999999999"/>
    <n v="2002"/>
    <n v="41"/>
    <s v="PRFL.00.0007"/>
    <n v="0"/>
    <n v="0"/>
    <s v="HENRIQUE"/>
    <m/>
    <m/>
    <m/>
    <d v="2021-08-30T09:11:00"/>
    <n v="0"/>
    <n v="0"/>
    <x v="0"/>
    <n v="55"/>
  </r>
  <r>
    <n v="15271227781"/>
    <n v="41"/>
    <m/>
    <x v="4"/>
    <n v="15179581888"/>
    <x v="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746121"/>
    <s v="Produto 04"/>
    <n v="100"/>
    <n v="17.97"/>
    <n v="0"/>
    <n v="13.763999999999999"/>
    <n v="1797"/>
    <n v="41"/>
    <s v="PRFL.00.0007"/>
    <n v="0"/>
    <n v="0"/>
    <s v="HENRIQUE"/>
    <m/>
    <m/>
    <m/>
    <d v="2021-08-30T09:11:00"/>
    <n v="0"/>
    <n v="0"/>
    <x v="10"/>
    <n v="60"/>
  </r>
  <r>
    <n v="15271227781"/>
    <n v="41"/>
    <m/>
    <x v="4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16"/>
    <n v="210"/>
    <n v="18.2"/>
    <n v="0"/>
    <n v="14.4596"/>
    <n v="3822"/>
    <n v="41"/>
    <s v="PRFL.00.0026"/>
    <n v="0"/>
    <n v="0"/>
    <s v="HENRIQUE"/>
    <m/>
    <m/>
    <m/>
    <d v="2021-08-30T09:11:00"/>
    <n v="0"/>
    <n v="0"/>
    <x v="9"/>
    <n v="266.7"/>
  </r>
  <r>
    <n v="15271227781"/>
    <n v="41"/>
    <m/>
    <x v="4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7"/>
    <n v="100"/>
    <n v="21.3"/>
    <n v="0"/>
    <n v="16.804400000000001"/>
    <n v="2130"/>
    <n v="41"/>
    <s v="PRFL.00.0027"/>
    <n v="0"/>
    <n v="0"/>
    <s v="HENRIQUE"/>
    <m/>
    <m/>
    <m/>
    <d v="2021-08-30T09:11:00"/>
    <n v="0"/>
    <n v="0"/>
    <x v="12"/>
    <n v="110.00000000000001"/>
  </r>
  <r>
    <n v="15271227781"/>
    <n v="41"/>
    <m/>
    <x v="4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25662"/>
    <s v="Produto 09"/>
    <n v="120"/>
    <n v="4.99"/>
    <n v="0"/>
    <n v="3.74"/>
    <n v="598.79999999999995"/>
    <n v="41"/>
    <s v="PRFL.00.0012"/>
    <n v="0"/>
    <n v="0"/>
    <s v="HENRIQUE"/>
    <m/>
    <m/>
    <m/>
    <d v="2021-08-30T09:11:00"/>
    <n v="0"/>
    <n v="0"/>
    <x v="4"/>
    <n v="132"/>
  </r>
  <r>
    <n v="15279376352"/>
    <n v="60"/>
    <m/>
    <x v="4"/>
    <n v="15279322250"/>
    <x v="1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085610"/>
    <s v="Produto 12"/>
    <n v="700"/>
    <n v="13.9"/>
    <n v="0"/>
    <n v="10.23"/>
    <n v="9730"/>
    <n v="68"/>
    <s v="PRFL.00.0001"/>
    <n v="0"/>
    <n v="0"/>
    <m/>
    <m/>
    <m/>
    <m/>
    <d v="2021-08-30T11:16:00"/>
    <n v="0"/>
    <n v="0"/>
    <x v="15"/>
    <n v="979.99999999999989"/>
  </r>
  <r>
    <n v="15279376352"/>
    <n v="60"/>
    <m/>
    <x v="4"/>
    <n v="15279322250"/>
    <x v="6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353721"/>
    <s v="Produto 06"/>
    <n v="700"/>
    <n v="8.1999999999999993"/>
    <n v="0"/>
    <n v="5.58"/>
    <n v="5740"/>
    <n v="68"/>
    <s v="PRFL.00.0002"/>
    <n v="0"/>
    <n v="0"/>
    <m/>
    <m/>
    <m/>
    <m/>
    <d v="2021-08-30T11:16:00"/>
    <n v="0"/>
    <n v="0"/>
    <x v="0"/>
    <n v="350"/>
  </r>
  <r>
    <n v="15279376352"/>
    <n v="60"/>
    <m/>
    <x v="4"/>
    <n v="15279322250"/>
    <x v="11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867005"/>
    <s v="Produto 01"/>
    <n v="194"/>
    <n v="18.2"/>
    <n v="0"/>
    <n v="13.763999999999999"/>
    <n v="3530.8"/>
    <n v="68"/>
    <s v="PRFL.00.0008"/>
    <n v="0"/>
    <n v="0"/>
    <m/>
    <m/>
    <m/>
    <m/>
    <d v="2021-08-30T11:16:00"/>
    <n v="0"/>
    <n v="0"/>
    <x v="7"/>
    <n v="77.600000000000009"/>
  </r>
  <r>
    <n v="15279376352"/>
    <n v="60"/>
    <m/>
    <x v="4"/>
    <n v="15279322250"/>
    <x v="11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06"/>
    <n v="6"/>
    <n v="18.2"/>
    <n v="0"/>
    <n v="14.4596"/>
    <n v="109.2"/>
    <n v="68"/>
    <s v="PRFL.00.0026"/>
    <n v="0"/>
    <n v="0"/>
    <m/>
    <m/>
    <m/>
    <m/>
    <d v="2021-08-30T11:16:00"/>
    <n v="0"/>
    <n v="0"/>
    <x v="0"/>
    <n v="3"/>
  </r>
  <r>
    <n v="15293132741"/>
    <n v="95"/>
    <m/>
    <x v="5"/>
    <n v="15291803674"/>
    <x v="13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43939"/>
    <s v="Produto 16"/>
    <n v="1000"/>
    <n v="13.99"/>
    <n v="0"/>
    <n v="10.747"/>
    <n v="13990"/>
    <n v="73"/>
    <s v="PRFL.00.0019"/>
    <n v="0"/>
    <n v="0"/>
    <m/>
    <m/>
    <m/>
    <m/>
    <d v="2021-09-03T13:52:00"/>
    <n v="0"/>
    <n v="0"/>
    <x v="9"/>
    <n v="1270"/>
  </r>
  <r>
    <n v="15280230788"/>
    <n v="65"/>
    <m/>
    <x v="6"/>
    <n v="15179608501"/>
    <x v="7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99089"/>
    <s v="Produto 06"/>
    <n v="200"/>
    <n v="19.170000000000002"/>
    <n v="0"/>
    <n v="16.804400000000001"/>
    <n v="3834"/>
    <n v="42"/>
    <s v="PRFL.00.0027"/>
    <n v="0"/>
    <n v="0"/>
    <m/>
    <m/>
    <m/>
    <m/>
    <d v="2021-09-27T11:48:00"/>
    <n v="0"/>
    <n v="0"/>
    <x v="0"/>
    <n v="100"/>
  </r>
  <r>
    <n v="15280230788"/>
    <n v="65"/>
    <m/>
    <x v="6"/>
    <n v="15179608501"/>
    <x v="0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99089"/>
    <s v="Produto 01"/>
    <n v="200"/>
    <n v="21.3"/>
    <n v="0"/>
    <n v="16.804400000000001"/>
    <n v="4260"/>
    <n v="42"/>
    <s v="PRFL.00.0027"/>
    <n v="0"/>
    <n v="0"/>
    <m/>
    <m/>
    <m/>
    <m/>
    <d v="2021-09-27T11:48:00"/>
    <n v="0"/>
    <n v="0"/>
    <x v="7"/>
    <n v="80"/>
  </r>
  <r>
    <n v="15294739206"/>
    <n v="102"/>
    <m/>
    <x v="7"/>
    <n v="15179784707"/>
    <x v="14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5511068"/>
    <s v="Produto 17"/>
    <n v="100"/>
    <n v="16.7"/>
    <n v="0"/>
    <n v="10.23"/>
    <n v="1670"/>
    <n v="49"/>
    <s v="PRFL.00.0005"/>
    <n v="0"/>
    <n v="0"/>
    <m/>
    <m/>
    <m/>
    <m/>
    <d v="2021-09-29T08:43:00"/>
    <n v="0"/>
    <n v="0"/>
    <x v="8"/>
    <n v="142"/>
  </r>
  <r>
    <n v="15294739206"/>
    <n v="102"/>
    <m/>
    <x v="7"/>
    <n v="15179784707"/>
    <x v="3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6080333"/>
    <s v="Produto 09"/>
    <n v="100"/>
    <n v="15.5"/>
    <n v="0"/>
    <n v="10.747"/>
    <n v="1550"/>
    <n v="49"/>
    <s v="PRFL.00.0024"/>
    <n v="0"/>
    <n v="0"/>
    <m/>
    <m/>
    <m/>
    <m/>
    <d v="2021-09-29T08:43:00"/>
    <n v="0"/>
    <n v="0"/>
    <x v="4"/>
    <n v="110.00000000000001"/>
  </r>
  <r>
    <n v="15294739206"/>
    <n v="102"/>
    <m/>
    <x v="7"/>
    <n v="15179784707"/>
    <x v="1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6093155"/>
    <s v="Produto 04"/>
    <n v="150"/>
    <n v="18.600000000000001"/>
    <n v="0"/>
    <n v="14.4596"/>
    <n v="2790"/>
    <n v="49"/>
    <s v="PRFL.00.0026"/>
    <n v="0"/>
    <n v="0"/>
    <m/>
    <m/>
    <m/>
    <m/>
    <d v="2021-09-29T08:43:00"/>
    <n v="0"/>
    <n v="0"/>
    <x v="10"/>
    <n v="90"/>
  </r>
  <r>
    <n v="15270293212"/>
    <n v="31"/>
    <m/>
    <x v="8"/>
    <n v="15058764044"/>
    <x v="1"/>
    <s v="36.957.725/0001-10"/>
    <s v="RUA BENJAMIM CONSTANT, 322"/>
    <s v="CENTRO"/>
    <s v="UNIAO DA VITORIA"/>
    <n v="84600290"/>
    <s v="PR"/>
    <m/>
    <m/>
    <n v="0"/>
    <n v="0"/>
    <m/>
    <s v="Atendido"/>
    <n v="15016043939"/>
    <s v="Produto 17"/>
    <n v="200"/>
    <n v="14.25"/>
    <n v="0"/>
    <n v="10.747"/>
    <n v="2850"/>
    <n v="21"/>
    <s v="PRFL.00.0019"/>
    <n v="0"/>
    <n v="0"/>
    <m/>
    <m/>
    <m/>
    <m/>
    <d v="2021-09-30T13:46:00"/>
    <n v="0"/>
    <n v="0"/>
    <x v="8"/>
    <n v="284"/>
  </r>
  <r>
    <n v="15270293212"/>
    <n v="31"/>
    <m/>
    <x v="8"/>
    <n v="15058764044"/>
    <x v="12"/>
    <s v="36.957.725/0001-10"/>
    <s v="RUA BENJAMIM CONSTANT, 322"/>
    <s v="CENTRO"/>
    <s v="UNIAO DA VITORIA"/>
    <n v="84600290"/>
    <s v="PR"/>
    <m/>
    <m/>
    <n v="0"/>
    <n v="0"/>
    <m/>
    <s v="Atendido"/>
    <n v="15015511068"/>
    <s v="Produto 09"/>
    <n v="150"/>
    <n v="16.700099999999999"/>
    <n v="0"/>
    <n v="10.23"/>
    <n v="2505.0149999999999"/>
    <n v="21"/>
    <s v="PRFL.00.0005"/>
    <n v="0"/>
    <n v="0"/>
    <m/>
    <m/>
    <m/>
    <m/>
    <d v="2021-09-30T13:46:00"/>
    <n v="0"/>
    <n v="0"/>
    <x v="4"/>
    <n v="165"/>
  </r>
  <r>
    <n v="15270293212"/>
    <n v="31"/>
    <m/>
    <x v="8"/>
    <n v="15058764044"/>
    <x v="12"/>
    <s v="36.957.725/0001-10"/>
    <s v="RUA BENJAMIM CONSTANT, 322"/>
    <s v="CENTRO"/>
    <s v="UNIAO DA VITORIA"/>
    <n v="84600290"/>
    <s v="PR"/>
    <m/>
    <m/>
    <n v="0"/>
    <n v="0"/>
    <m/>
    <s v="Atendido"/>
    <n v="15015918644"/>
    <s v="Produto 17"/>
    <n v="160"/>
    <n v="8.3801000000000005"/>
    <n v="0"/>
    <n v="5.61"/>
    <n v="1340.816"/>
    <n v="21"/>
    <s v="PRFL.00.0011"/>
    <n v="0"/>
    <n v="0"/>
    <m/>
    <m/>
    <m/>
    <m/>
    <d v="2021-09-30T13:46:00"/>
    <n v="0"/>
    <n v="0"/>
    <x v="8"/>
    <n v="227.2"/>
  </r>
  <r>
    <n v="15270293212"/>
    <n v="31"/>
    <m/>
    <x v="8"/>
    <n v="15058764044"/>
    <x v="5"/>
    <s v="36.957.725/0001-10"/>
    <s v="RUA BENJAMIM CONSTANT, 322"/>
    <s v="CENTRO"/>
    <s v="UNIAO DA VITORIA"/>
    <n v="84600290"/>
    <s v="PR"/>
    <m/>
    <m/>
    <n v="0"/>
    <n v="0"/>
    <m/>
    <s v="Atendido"/>
    <n v="15016087271"/>
    <s v="Produto 14"/>
    <n v="100"/>
    <n v="18.7"/>
    <n v="0"/>
    <n v="14.4596"/>
    <n v="1870"/>
    <n v="21"/>
    <s v="PRFL.00.0025"/>
    <n v="0"/>
    <n v="0"/>
    <m/>
    <m/>
    <m/>
    <m/>
    <d v="2021-09-30T13:46:00"/>
    <n v="0"/>
    <n v="0"/>
    <x v="1"/>
    <n v="140"/>
  </r>
  <r>
    <n v="15270293212"/>
    <n v="31"/>
    <m/>
    <x v="8"/>
    <n v="15058764044"/>
    <x v="9"/>
    <s v="36.957.725/0001-10"/>
    <s v="RUA BENJAMIM CONSTANT, 322"/>
    <s v="CENTRO"/>
    <s v="UNIAO DA VITORIA"/>
    <n v="84600290"/>
    <s v="PR"/>
    <m/>
    <m/>
    <n v="0"/>
    <n v="0"/>
    <m/>
    <s v="Atendido"/>
    <n v="15016099089"/>
    <s v="Produto 01"/>
    <n v="230"/>
    <n v="21.3"/>
    <n v="0"/>
    <n v="16.804400000000001"/>
    <n v="4899"/>
    <n v="21"/>
    <s v="PRFL.00.0027"/>
    <n v="0"/>
    <n v="0"/>
    <m/>
    <m/>
    <m/>
    <m/>
    <d v="2021-09-30T13:46:00"/>
    <n v="0"/>
    <n v="0"/>
    <x v="7"/>
    <n v="92"/>
  </r>
  <r>
    <n v="15270673210"/>
    <n v="32"/>
    <m/>
    <x v="8"/>
    <n v="15058669306"/>
    <x v="11"/>
    <s v="03.387.992/0001-40"/>
    <s v="RUA ANTONIO GRECA, 91"/>
    <s v="AHU"/>
    <s v="Curitiba"/>
    <n v="82200430"/>
    <s v="PR"/>
    <s v="willian@walls.com.br"/>
    <n v="4191036801"/>
    <n v="0"/>
    <n v="0"/>
    <m/>
    <s v="Atendido"/>
    <n v="15015511068"/>
    <s v="Produto 09"/>
    <n v="200"/>
    <n v="16.2"/>
    <n v="0"/>
    <n v="10.23"/>
    <n v="3240"/>
    <n v="17"/>
    <s v="PRFL.00.0005"/>
    <n v="0"/>
    <n v="0"/>
    <m/>
    <m/>
    <m/>
    <m/>
    <d v="2021-09-30T13:47:00"/>
    <n v="0"/>
    <n v="0"/>
    <x v="4"/>
    <n v="220.00000000000003"/>
  </r>
  <r>
    <n v="15270673210"/>
    <n v="32"/>
    <m/>
    <x v="8"/>
    <n v="15058669306"/>
    <x v="5"/>
    <s v="03.387.992/0001-40"/>
    <s v="RUA ANTONIO GRECA, 91"/>
    <s v="AHU"/>
    <s v="Curitiba"/>
    <n v="82200430"/>
    <s v="PR"/>
    <s v="willian@walls.com.br"/>
    <n v="4191036801"/>
    <n v="0"/>
    <n v="0"/>
    <m/>
    <s v="Atendido"/>
    <n v="15016099089"/>
    <s v="Produto 04"/>
    <n v="300"/>
    <n v="21.3"/>
    <n v="0"/>
    <n v="16.804400000000001"/>
    <n v="6390"/>
    <n v="17"/>
    <s v="PRFL.00.0027"/>
    <n v="0"/>
    <n v="0"/>
    <m/>
    <m/>
    <m/>
    <m/>
    <d v="2021-09-30T13:47:00"/>
    <n v="0"/>
    <n v="0"/>
    <x v="10"/>
    <n v="180"/>
  </r>
  <r>
    <n v="15270673210"/>
    <n v="32"/>
    <m/>
    <x v="8"/>
    <n v="15058669306"/>
    <x v="12"/>
    <s v="03.387.992/0001-40"/>
    <s v="RUA ANTONIO GRECA, 91"/>
    <s v="AHU"/>
    <s v="Curitiba"/>
    <n v="82200430"/>
    <s v="PR"/>
    <s v="willian@walls.com.br"/>
    <n v="4191036801"/>
    <n v="0"/>
    <n v="0"/>
    <m/>
    <s v="Atendido"/>
    <n v="15016087271"/>
    <s v="Produto 14"/>
    <n v="200"/>
    <n v="18.2"/>
    <n v="0"/>
    <n v="14.4596"/>
    <n v="3640"/>
    <n v="17"/>
    <s v="PRFL.00.0025"/>
    <n v="0"/>
    <n v="0"/>
    <m/>
    <m/>
    <m/>
    <m/>
    <d v="2021-09-30T13:47:00"/>
    <n v="0"/>
    <n v="0"/>
    <x v="1"/>
    <n v="280"/>
  </r>
  <r>
    <n v="15270738302"/>
    <n v="33"/>
    <m/>
    <x v="8"/>
    <n v="15058814973"/>
    <x v="4"/>
    <s v="03.101.294/0001-36"/>
    <s v="R MARECHAL DEODORO, 869, 19 ANDAR"/>
    <s v="CENTRO"/>
    <s v="Curitiba"/>
    <s v="80060-010"/>
    <s v="PR"/>
    <m/>
    <m/>
    <n v="0"/>
    <n v="0"/>
    <m/>
    <s v="Atendido"/>
    <n v="15015918644"/>
    <s v="Produto 14"/>
    <n v="250"/>
    <n v="8.1999999999999993"/>
    <n v="0"/>
    <n v="5.61"/>
    <n v="2050"/>
    <n v="22"/>
    <s v="PRFL.00.0011"/>
    <n v="0"/>
    <n v="0"/>
    <m/>
    <m/>
    <m/>
    <m/>
    <d v="2021-09-30T13:47:00"/>
    <n v="0"/>
    <n v="0"/>
    <x v="1"/>
    <n v="350"/>
  </r>
  <r>
    <n v="15270798343"/>
    <n v="34"/>
    <m/>
    <x v="8"/>
    <n v="15058861864"/>
    <x v="11"/>
    <s v="24.623.275/0001-40"/>
    <s v="AV PARANA , 8455"/>
    <s v="ZONA I"/>
    <s v="Umuarama"/>
    <s v="87502-000"/>
    <s v="PR"/>
    <m/>
    <m/>
    <n v="0"/>
    <n v="0"/>
    <m/>
    <s v="Atendido"/>
    <n v="15016099089"/>
    <s v="Produto 09"/>
    <n v="122"/>
    <n v="21.3"/>
    <n v="0"/>
    <n v="16.804400000000001"/>
    <n v="2598.6"/>
    <n v="23"/>
    <s v="PRFL.00.0027"/>
    <n v="0"/>
    <n v="0"/>
    <m/>
    <m/>
    <m/>
    <m/>
    <d v="2021-09-30T13:47:00"/>
    <n v="0"/>
    <n v="0"/>
    <x v="4"/>
    <n v="134.20000000000002"/>
  </r>
  <r>
    <n v="15270798343"/>
    <n v="34"/>
    <m/>
    <x v="8"/>
    <n v="15058861864"/>
    <x v="13"/>
    <s v="24.623.275/0001-40"/>
    <s v="AV PARANA , 8455"/>
    <s v="ZONA I"/>
    <s v="Umuarama"/>
    <s v="87502-000"/>
    <s v="PR"/>
    <m/>
    <m/>
    <n v="0"/>
    <n v="0"/>
    <m/>
    <s v="Atendido"/>
    <n v="15016087271"/>
    <s v="Produto 06"/>
    <n v="34"/>
    <n v="18.2"/>
    <n v="0"/>
    <n v="14.4596"/>
    <n v="618.79999999999995"/>
    <n v="23"/>
    <s v="PRFL.00.0025"/>
    <n v="0"/>
    <n v="0"/>
    <m/>
    <m/>
    <m/>
    <m/>
    <d v="2021-09-30T13:47:00"/>
    <n v="0"/>
    <n v="0"/>
    <x v="0"/>
    <n v="17"/>
  </r>
  <r>
    <n v="15270933856"/>
    <n v="36"/>
    <m/>
    <x v="8"/>
    <n v="15058741746"/>
    <x v="0"/>
    <s v="26.509.761/0001-67"/>
    <s v="AV JUSCELINO KUBITSCHEK DE OLIVEIRA, 2046, BRCAO A"/>
    <s v="CIDADE INDUSTRIAL"/>
    <s v="Curitiba"/>
    <n v="81290000"/>
    <s v="PR"/>
    <m/>
    <m/>
    <n v="0"/>
    <n v="0"/>
    <m/>
    <s v="Atendido"/>
    <n v="15016099089"/>
    <s v="Produto 07"/>
    <n v="200"/>
    <n v="21.3"/>
    <n v="0"/>
    <n v="16.804400000000001"/>
    <n v="4260"/>
    <n v="20"/>
    <s v="PRFL.00.0027"/>
    <n v="0"/>
    <n v="0"/>
    <m/>
    <m/>
    <m/>
    <m/>
    <d v="2021-09-30T13:47:00"/>
    <n v="0"/>
    <n v="0"/>
    <x v="12"/>
    <n v="220.00000000000003"/>
  </r>
  <r>
    <n v="15270933856"/>
    <n v="36"/>
    <m/>
    <x v="8"/>
    <n v="15058741746"/>
    <x v="11"/>
    <s v="26.509.761/0001-67"/>
    <s v="AV JUSCELINO KUBITSCHEK DE OLIVEIRA, 2046, BRCAO A"/>
    <s v="CIDADE INDUSTRIAL"/>
    <s v="Curitiba"/>
    <n v="81290000"/>
    <s v="PR"/>
    <m/>
    <m/>
    <n v="0"/>
    <n v="0"/>
    <m/>
    <s v="Atendido"/>
    <n v="15015918644"/>
    <s v="Produto 16"/>
    <n v="500"/>
    <n v="8.1999999999999993"/>
    <n v="0"/>
    <n v="5.61"/>
    <n v="4100"/>
    <n v="20"/>
    <s v="PRFL.00.0011"/>
    <n v="0"/>
    <n v="0"/>
    <m/>
    <m/>
    <m/>
    <m/>
    <d v="2021-09-30T13:47:00"/>
    <n v="0"/>
    <n v="0"/>
    <x v="9"/>
    <n v="635"/>
  </r>
  <r>
    <n v="15271037296"/>
    <n v="37"/>
    <m/>
    <x v="8"/>
    <n v="15058915459"/>
    <x v="1"/>
    <s v="172.265.119-91"/>
    <s v="Rua Arthur Thomas, 235, AP 1702"/>
    <s v="Zona 01"/>
    <s v="Maringá"/>
    <n v="87013250"/>
    <s v="PR"/>
    <m/>
    <m/>
    <n v="0"/>
    <n v="0"/>
    <m/>
    <s v="Atendido"/>
    <n v="15015511068"/>
    <s v="Produto 02"/>
    <n v="78"/>
    <n v="16.7"/>
    <n v="0"/>
    <n v="10.23"/>
    <n v="1302.5999999999999"/>
    <n v="25"/>
    <s v="PRFL.00.0005"/>
    <n v="0"/>
    <n v="0"/>
    <m/>
    <m/>
    <m/>
    <m/>
    <d v="2021-09-30T13:48:00"/>
    <n v="0"/>
    <n v="0"/>
    <x v="6"/>
    <n v="21.060000000000002"/>
  </r>
  <r>
    <n v="15271037296"/>
    <n v="37"/>
    <m/>
    <x v="8"/>
    <n v="15058915459"/>
    <x v="14"/>
    <s v="172.265.119-91"/>
    <s v="Rua Arthur Thomas, 235, AP 1702"/>
    <s v="Zona 01"/>
    <s v="Maringá"/>
    <n v="87013250"/>
    <s v="PR"/>
    <m/>
    <m/>
    <n v="0"/>
    <n v="0"/>
    <m/>
    <s v="Atendido"/>
    <n v="15015911944"/>
    <s v="Produto 02"/>
    <n v="155"/>
    <n v="14.25"/>
    <n v="0"/>
    <n v="10.285"/>
    <n v="2208.75"/>
    <n v="25"/>
    <s v="PRFL.00.0010"/>
    <n v="0"/>
    <n v="0"/>
    <m/>
    <m/>
    <m/>
    <m/>
    <d v="2021-09-30T13:48:00"/>
    <n v="0"/>
    <n v="0"/>
    <x v="6"/>
    <n v="41.85"/>
  </r>
  <r>
    <n v="15271071632"/>
    <n v="38"/>
    <m/>
    <x v="8"/>
    <n v="15058876151"/>
    <x v="17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6099089"/>
    <s v="Produto 01"/>
    <n v="460"/>
    <n v="21.75"/>
    <n v="0"/>
    <n v="16.804400000000001"/>
    <n v="10005"/>
    <n v="24"/>
    <s v="PRFL.00.0027"/>
    <n v="0"/>
    <n v="0"/>
    <m/>
    <m/>
    <m/>
    <m/>
    <d v="2021-09-30T13:48:00"/>
    <n v="0"/>
    <n v="0"/>
    <x v="7"/>
    <n v="184"/>
  </r>
  <r>
    <n v="15271183865"/>
    <n v="39"/>
    <m/>
    <x v="8"/>
    <n v="15058959920"/>
    <x v="14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6043939"/>
    <s v="Produto 14"/>
    <n v="122"/>
    <n v="14.25"/>
    <n v="0"/>
    <n v="10.747"/>
    <n v="1738.5"/>
    <n v="26"/>
    <s v="PRFL.00.0019"/>
    <n v="0"/>
    <n v="0"/>
    <m/>
    <m/>
    <m/>
    <m/>
    <d v="2021-09-30T13:48:00"/>
    <n v="0"/>
    <n v="0"/>
    <x v="1"/>
    <n v="170.79999999999998"/>
  </r>
  <r>
    <n v="15271183865"/>
    <n v="39"/>
    <m/>
    <x v="8"/>
    <n v="15058959920"/>
    <x v="12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5511068"/>
    <s v="Produto 15"/>
    <n v="78"/>
    <n v="14.7"/>
    <n v="0"/>
    <n v="10.23"/>
    <n v="1146.5999999999999"/>
    <n v="26"/>
    <s v="PRFL.00.0005"/>
    <n v="0"/>
    <n v="0"/>
    <m/>
    <m/>
    <m/>
    <m/>
    <d v="2021-09-30T13:48:00"/>
    <n v="0"/>
    <n v="0"/>
    <x v="16"/>
    <n v="110.75999999999999"/>
  </r>
  <r>
    <n v="15271183865"/>
    <n v="39"/>
    <m/>
    <x v="8"/>
    <n v="15058959920"/>
    <x v="1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5918644"/>
    <s v="Produto 02"/>
    <n v="100"/>
    <n v="8.3800000000000008"/>
    <n v="0"/>
    <n v="5.61"/>
    <n v="838"/>
    <n v="26"/>
    <s v="PRFL.00.0011"/>
    <n v="0"/>
    <n v="0"/>
    <m/>
    <m/>
    <m/>
    <m/>
    <d v="2021-09-30T13:48:00"/>
    <n v="0"/>
    <n v="0"/>
    <x v="6"/>
    <n v="27"/>
  </r>
  <r>
    <n v="15271183865"/>
    <n v="39"/>
    <m/>
    <x v="8"/>
    <n v="15058959920"/>
    <x v="11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6093155"/>
    <s v="Produto 05"/>
    <n v="60"/>
    <n v="18.649999999999999"/>
    <n v="0"/>
    <n v="14.4596"/>
    <n v="1119"/>
    <n v="26"/>
    <s v="PRFL.00.0026"/>
    <n v="0"/>
    <n v="0"/>
    <m/>
    <m/>
    <m/>
    <m/>
    <d v="2021-09-30T13:48:00"/>
    <n v="0"/>
    <n v="0"/>
    <x v="5"/>
    <n v="36"/>
  </r>
  <r>
    <n v="15271183865"/>
    <n v="39"/>
    <m/>
    <x v="8"/>
    <n v="15058959920"/>
    <x v="10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6080333"/>
    <s v="Produto 09"/>
    <n v="20"/>
    <n v="15.5"/>
    <n v="0"/>
    <n v="10.747"/>
    <n v="310"/>
    <n v="26"/>
    <s v="PRFL.00.0024"/>
    <n v="0"/>
    <n v="0"/>
    <m/>
    <m/>
    <m/>
    <m/>
    <d v="2021-09-30T13:48:00"/>
    <n v="0"/>
    <n v="0"/>
    <x v="4"/>
    <n v="22"/>
  </r>
  <r>
    <n v="15271224426"/>
    <n v="40"/>
    <m/>
    <x v="8"/>
    <n v="15058990861"/>
    <x v="18"/>
    <s v="913.178.439-91"/>
    <s v="Avenida Cerro Azul, 2649"/>
    <s v="Jardim Novo Horizonte"/>
    <s v="Maringá"/>
    <n v="87010055"/>
    <s v="PR"/>
    <m/>
    <m/>
    <n v="0"/>
    <n v="0"/>
    <m/>
    <s v="Atendido"/>
    <n v="15016043939"/>
    <s v="Produto 07"/>
    <n v="153"/>
    <n v="14.25"/>
    <n v="0"/>
    <n v="10.747"/>
    <n v="2180.25"/>
    <n v="27"/>
    <s v="PRFL.00.0019"/>
    <n v="0"/>
    <n v="0"/>
    <m/>
    <m/>
    <m/>
    <m/>
    <d v="2021-09-30T13:48:00"/>
    <n v="0"/>
    <n v="0"/>
    <x v="12"/>
    <n v="168.3"/>
  </r>
  <r>
    <n v="15271224426"/>
    <n v="40"/>
    <m/>
    <x v="8"/>
    <n v="15058990861"/>
    <x v="12"/>
    <s v="913.178.439-91"/>
    <s v="Avenida Cerro Azul, 2649"/>
    <s v="Jardim Novo Horizonte"/>
    <s v="Maringá"/>
    <n v="87010055"/>
    <s v="PR"/>
    <m/>
    <m/>
    <n v="0"/>
    <n v="0"/>
    <m/>
    <s v="Atendido"/>
    <n v="15015511068"/>
    <s v="Produto 03"/>
    <n v="33"/>
    <n v="14.7"/>
    <n v="0"/>
    <n v="10.23"/>
    <n v="485.1"/>
    <n v="27"/>
    <s v="PRFL.00.0005"/>
    <n v="0"/>
    <n v="0"/>
    <m/>
    <m/>
    <m/>
    <m/>
    <d v="2021-09-30T13:48:00"/>
    <n v="0"/>
    <n v="0"/>
    <x v="13"/>
    <n v="19.8"/>
  </r>
  <r>
    <n v="15272077365"/>
    <n v="49"/>
    <m/>
    <x v="8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085610"/>
    <s v="Produto 07"/>
    <n v="150"/>
    <n v="13.8"/>
    <n v="0"/>
    <n v="10.23"/>
    <n v="2070"/>
    <n v="41"/>
    <s v="PRFL.00.0001"/>
    <n v="0"/>
    <n v="0"/>
    <s v="HENRIQUE"/>
    <m/>
    <m/>
    <m/>
    <d v="2021-09-30T09:10:00"/>
    <n v="0"/>
    <n v="0"/>
    <x v="12"/>
    <n v="165"/>
  </r>
  <r>
    <n v="15272077365"/>
    <n v="49"/>
    <m/>
    <x v="8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6"/>
    <n v="7410"/>
    <n v="13.9"/>
    <n v="0"/>
    <n v="10.747"/>
    <n v="102999"/>
    <n v="41"/>
    <s v="PRFL.00.0019"/>
    <n v="0"/>
    <n v="0"/>
    <s v="HENRIQUE"/>
    <m/>
    <m/>
    <m/>
    <d v="2021-09-30T09:10:00"/>
    <n v="0"/>
    <n v="0"/>
    <x v="9"/>
    <n v="9410.7000000000007"/>
  </r>
  <r>
    <n v="15272077365"/>
    <n v="49"/>
    <m/>
    <x v="8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09"/>
    <n v="600"/>
    <n v="14.25"/>
    <n v="0"/>
    <n v="10.285"/>
    <n v="8550"/>
    <n v="41"/>
    <s v="PRFL.00.0010"/>
    <n v="0"/>
    <n v="0"/>
    <s v="HENRIQUE"/>
    <m/>
    <m/>
    <m/>
    <d v="2021-09-30T09:10:00"/>
    <n v="0"/>
    <n v="0"/>
    <x v="4"/>
    <n v="660"/>
  </r>
  <r>
    <n v="15272077365"/>
    <n v="49"/>
    <m/>
    <x v="8"/>
    <n v="15179581888"/>
    <x v="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06"/>
    <n v="20"/>
    <n v="14.9"/>
    <n v="0"/>
    <n v="10.285"/>
    <n v="298"/>
    <n v="41"/>
    <s v="PRFL.00.0010"/>
    <n v="0"/>
    <n v="0"/>
    <s v="HENRIQUE"/>
    <m/>
    <m/>
    <m/>
    <d v="2021-09-30T09:10:00"/>
    <n v="0"/>
    <n v="0"/>
    <x v="0"/>
    <n v="10"/>
  </r>
  <r>
    <n v="15272077365"/>
    <n v="49"/>
    <m/>
    <x v="8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423083"/>
    <s v="Produto 05"/>
    <n v="90"/>
    <n v="15"/>
    <n v="0"/>
    <n v="10.23"/>
    <n v="1350"/>
    <n v="41"/>
    <s v="PRFL.00.0004"/>
    <n v="0"/>
    <n v="0"/>
    <s v="HENRIQUE"/>
    <m/>
    <m/>
    <m/>
    <d v="2021-09-30T09:10:00"/>
    <n v="0"/>
    <n v="0"/>
    <x v="5"/>
    <n v="54"/>
  </r>
  <r>
    <n v="15272077365"/>
    <n v="49"/>
    <m/>
    <x v="8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66088"/>
    <s v="Produto 08"/>
    <n v="300"/>
    <n v="15.2"/>
    <n v="0"/>
    <n v="10.747"/>
    <n v="4560"/>
    <n v="41"/>
    <s v="PRFL.00.0022"/>
    <n v="0"/>
    <n v="0"/>
    <s v="HENRIQUE"/>
    <m/>
    <m/>
    <m/>
    <d v="2021-09-30T09:10:00"/>
    <n v="0"/>
    <n v="0"/>
    <x v="14"/>
    <n v="330"/>
  </r>
  <r>
    <n v="15272077365"/>
    <n v="49"/>
    <m/>
    <x v="8"/>
    <n v="15179581888"/>
    <x v="1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12"/>
    <n v="168"/>
    <n v="15.5"/>
    <n v="0"/>
    <n v="10.23"/>
    <n v="2604"/>
    <n v="41"/>
    <s v="PRFL.00.0005"/>
    <n v="0"/>
    <n v="0"/>
    <s v="HENRIQUE"/>
    <m/>
    <m/>
    <m/>
    <d v="2021-09-30T09:10:00"/>
    <n v="0"/>
    <n v="0"/>
    <x v="15"/>
    <n v="235.2"/>
  </r>
  <r>
    <n v="15272077365"/>
    <n v="49"/>
    <m/>
    <x v="8"/>
    <n v="15179581888"/>
    <x v="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13"/>
    <n v="1143"/>
    <n v="16.2"/>
    <n v="0"/>
    <n v="10.23"/>
    <n v="18516.599999999999"/>
    <n v="41"/>
    <s v="PRFL.00.0005"/>
    <n v="0"/>
    <n v="0"/>
    <s v="HENRIQUE"/>
    <m/>
    <m/>
    <m/>
    <d v="2021-09-30T09:10:00"/>
    <n v="0"/>
    <n v="0"/>
    <x v="2"/>
    <n v="1600.1999999999998"/>
  </r>
  <r>
    <n v="15272077365"/>
    <n v="49"/>
    <m/>
    <x v="8"/>
    <n v="15179581888"/>
    <x v="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423083"/>
    <s v="Produto 03"/>
    <n v="50"/>
    <n v="16.7"/>
    <n v="0"/>
    <n v="10.23"/>
    <n v="835"/>
    <n v="41"/>
    <s v="PRFL.00.0004"/>
    <n v="0"/>
    <n v="0"/>
    <s v="HENRIQUE"/>
    <m/>
    <m/>
    <m/>
    <d v="2021-09-30T09:10:00"/>
    <n v="0"/>
    <n v="0"/>
    <x v="13"/>
    <n v="30"/>
  </r>
  <r>
    <n v="15272077365"/>
    <n v="49"/>
    <m/>
    <x v="8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15"/>
    <n v="2"/>
    <n v="17.7"/>
    <n v="0"/>
    <n v="10.23"/>
    <n v="35.4"/>
    <n v="41"/>
    <s v="PRFL.00.0005"/>
    <n v="0"/>
    <n v="0"/>
    <s v="HENRIQUE"/>
    <m/>
    <m/>
    <m/>
    <d v="2021-09-30T09:10:00"/>
    <n v="0"/>
    <n v="0"/>
    <x v="16"/>
    <n v="2.84"/>
  </r>
  <r>
    <n v="15272077365"/>
    <n v="49"/>
    <m/>
    <x v="8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5"/>
    <n v="5478"/>
    <n v="8.1999999999999993"/>
    <n v="0"/>
    <n v="5.61"/>
    <n v="44919.6"/>
    <n v="41"/>
    <s v="PRFL.00.0011"/>
    <n v="0"/>
    <n v="0"/>
    <s v="HENRIQUE"/>
    <m/>
    <m/>
    <m/>
    <d v="2021-09-30T09:10:00"/>
    <n v="0"/>
    <n v="0"/>
    <x v="5"/>
    <n v="3286.7999999999997"/>
  </r>
  <r>
    <n v="15272077365"/>
    <n v="49"/>
    <m/>
    <x v="8"/>
    <n v="15179581888"/>
    <x v="1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353721"/>
    <s v="Produto 09"/>
    <n v="1080"/>
    <n v="8.3800000000000008"/>
    <n v="0"/>
    <n v="5.58"/>
    <n v="9050.4"/>
    <n v="41"/>
    <s v="PRFL.00.0002"/>
    <n v="0"/>
    <n v="0"/>
    <s v="HENRIQUE"/>
    <m/>
    <m/>
    <m/>
    <d v="2021-09-30T09:10:00"/>
    <n v="0"/>
    <n v="0"/>
    <x v="4"/>
    <n v="1188"/>
  </r>
  <r>
    <n v="15272077365"/>
    <n v="49"/>
    <m/>
    <x v="8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17"/>
    <n v="220"/>
    <n v="8.68"/>
    <n v="0"/>
    <n v="5.61"/>
    <n v="1909.6"/>
    <n v="41"/>
    <s v="PRFL.00.0011"/>
    <n v="0"/>
    <n v="0"/>
    <s v="HENRIQUE"/>
    <m/>
    <m/>
    <m/>
    <d v="2021-09-30T09:10:00"/>
    <n v="0"/>
    <n v="0"/>
    <x v="8"/>
    <n v="312.39999999999998"/>
  </r>
  <r>
    <n v="15272077365"/>
    <n v="49"/>
    <m/>
    <x v="8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25662"/>
    <s v="Produto 07"/>
    <n v="105"/>
    <n v="4.99"/>
    <n v="0"/>
    <n v="3.74"/>
    <n v="523.95000000000005"/>
    <n v="41"/>
    <s v="PRFL.00.0012"/>
    <n v="0"/>
    <n v="0"/>
    <s v="HENRIQUE"/>
    <m/>
    <m/>
    <m/>
    <d v="2021-09-30T09:10:00"/>
    <n v="0"/>
    <n v="0"/>
    <x v="12"/>
    <n v="115.50000000000001"/>
  </r>
  <r>
    <n v="15272077365"/>
    <n v="49"/>
    <m/>
    <x v="8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16"/>
    <n v="70"/>
    <n v="12.8"/>
    <n v="0"/>
    <n v="10.747"/>
    <n v="896"/>
    <n v="41"/>
    <s v="PRFL.00.0024"/>
    <n v="0"/>
    <n v="0"/>
    <s v="HENRIQUE"/>
    <m/>
    <m/>
    <m/>
    <d v="2021-09-30T09:10:00"/>
    <n v="0"/>
    <n v="0"/>
    <x v="9"/>
    <n v="88.9"/>
  </r>
  <r>
    <n v="15272077365"/>
    <n v="49"/>
    <m/>
    <x v="8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720950"/>
    <s v="Produto 02"/>
    <n v="112"/>
    <n v="15.2"/>
    <n v="0"/>
    <n v="10.23"/>
    <n v="1702.4"/>
    <n v="41"/>
    <s v="PRFL.00.0006"/>
    <n v="0"/>
    <n v="0"/>
    <s v="HENRIQUE"/>
    <m/>
    <m/>
    <m/>
    <d v="2021-09-30T09:10:00"/>
    <n v="0"/>
    <n v="0"/>
    <x v="6"/>
    <n v="30.240000000000002"/>
  </r>
  <r>
    <n v="15272077365"/>
    <n v="49"/>
    <m/>
    <x v="8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17"/>
    <n v="200"/>
    <n v="15.5"/>
    <n v="0"/>
    <n v="10.747"/>
    <n v="3100"/>
    <n v="41"/>
    <s v="PRFL.00.0024"/>
    <n v="0"/>
    <n v="0"/>
    <s v="HENRIQUE"/>
    <m/>
    <m/>
    <m/>
    <d v="2021-09-30T09:10:00"/>
    <n v="0"/>
    <n v="0"/>
    <x v="8"/>
    <n v="284"/>
  </r>
  <r>
    <n v="15272077365"/>
    <n v="49"/>
    <m/>
    <x v="8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01"/>
    <n v="403"/>
    <n v="18.2"/>
    <n v="0"/>
    <n v="14.4596"/>
    <n v="7334.6"/>
    <n v="41"/>
    <s v="PRFL.00.0025"/>
    <n v="0"/>
    <n v="0"/>
    <s v="HENRIQUE"/>
    <m/>
    <m/>
    <m/>
    <d v="2021-09-30T09:10:00"/>
    <n v="0"/>
    <n v="0"/>
    <x v="7"/>
    <n v="161.20000000000002"/>
  </r>
  <r>
    <n v="15272077365"/>
    <n v="49"/>
    <m/>
    <x v="8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67005"/>
    <s v="Produto 08"/>
    <n v="15"/>
    <n v="16.2"/>
    <n v="0"/>
    <n v="13.763999999999999"/>
    <n v="243"/>
    <n v="41"/>
    <s v="PRFL.00.0008"/>
    <n v="0"/>
    <n v="0"/>
    <s v="HENRIQUE"/>
    <m/>
    <m/>
    <m/>
    <d v="2021-09-30T09:10:00"/>
    <n v="0"/>
    <n v="0"/>
    <x v="14"/>
    <n v="16.5"/>
  </r>
  <r>
    <n v="15272077365"/>
    <n v="49"/>
    <m/>
    <x v="8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67005"/>
    <s v="Produto 06"/>
    <n v="160"/>
    <n v="17"/>
    <n v="0"/>
    <n v="13.763999999999999"/>
    <n v="2720"/>
    <n v="41"/>
    <s v="PRFL.00.0008"/>
    <n v="0"/>
    <n v="0"/>
    <s v="HENRIQUE"/>
    <m/>
    <m/>
    <m/>
    <d v="2021-09-30T09:10:00"/>
    <n v="0"/>
    <n v="0"/>
    <x v="0"/>
    <n v="80"/>
  </r>
  <r>
    <n v="15272077365"/>
    <n v="49"/>
    <m/>
    <x v="8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15"/>
    <n v="444"/>
    <n v="18.2"/>
    <n v="0"/>
    <n v="14.4596"/>
    <n v="8080.8"/>
    <n v="41"/>
    <s v="PRFL.00.0026"/>
    <n v="0"/>
    <n v="0"/>
    <s v="HENRIQUE"/>
    <m/>
    <m/>
    <m/>
    <d v="2021-09-30T09:10:00"/>
    <n v="0"/>
    <n v="0"/>
    <x v="16"/>
    <n v="630.48"/>
  </r>
  <r>
    <n v="15272077365"/>
    <n v="49"/>
    <m/>
    <x v="8"/>
    <n v="15179581888"/>
    <x v="1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6"/>
    <n v="500"/>
    <n v="18.649999999999999"/>
    <n v="0"/>
    <n v="14.4596"/>
    <n v="9325"/>
    <n v="41"/>
    <s v="PRFL.00.0026"/>
    <n v="0"/>
    <n v="0"/>
    <s v="HENRIQUE"/>
    <m/>
    <m/>
    <m/>
    <d v="2021-09-30T09:10:00"/>
    <n v="0"/>
    <n v="0"/>
    <x v="0"/>
    <n v="250"/>
  </r>
  <r>
    <n v="15272077365"/>
    <n v="49"/>
    <m/>
    <x v="8"/>
    <n v="15179581888"/>
    <x v="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86084"/>
    <s v="Produto 04"/>
    <n v="100"/>
    <n v="17.75"/>
    <n v="0"/>
    <n v="15.996"/>
    <n v="1775"/>
    <n v="41"/>
    <s v="PRFL.00.0009"/>
    <n v="0"/>
    <n v="0"/>
    <s v="HENRIQUE"/>
    <m/>
    <m/>
    <m/>
    <d v="2021-09-30T09:10:00"/>
    <n v="0"/>
    <n v="0"/>
    <x v="10"/>
    <n v="60"/>
  </r>
  <r>
    <n v="15272077365"/>
    <n v="49"/>
    <m/>
    <x v="8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86084"/>
    <s v="Produto 09"/>
    <n v="190"/>
    <n v="19.8"/>
    <n v="0"/>
    <n v="15.996"/>
    <n v="3762"/>
    <n v="41"/>
    <s v="PRFL.00.0009"/>
    <n v="0"/>
    <n v="0"/>
    <s v="HENRIQUE"/>
    <m/>
    <m/>
    <m/>
    <d v="2021-09-30T09:10:00"/>
    <n v="0"/>
    <n v="0"/>
    <x v="4"/>
    <n v="209.00000000000003"/>
  </r>
  <r>
    <n v="15272077365"/>
    <n v="49"/>
    <m/>
    <x v="8"/>
    <n v="15179581888"/>
    <x v="1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17"/>
    <n v="1000"/>
    <n v="21"/>
    <n v="0"/>
    <n v="16.804400000000001"/>
    <n v="21000"/>
    <n v="41"/>
    <s v="PRFL.00.0027"/>
    <n v="0"/>
    <n v="0"/>
    <s v="HENRIQUE"/>
    <m/>
    <m/>
    <m/>
    <d v="2021-09-30T09:10:00"/>
    <n v="0"/>
    <n v="0"/>
    <x v="8"/>
    <n v="1420"/>
  </r>
  <r>
    <n v="15272077365"/>
    <n v="49"/>
    <m/>
    <x v="8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16"/>
    <n v="485"/>
    <n v="21.3"/>
    <n v="0"/>
    <n v="16.804400000000001"/>
    <n v="10330.5"/>
    <n v="41"/>
    <s v="PRFL.00.0027"/>
    <n v="0"/>
    <n v="0"/>
    <s v="HENRIQUE"/>
    <m/>
    <m/>
    <m/>
    <d v="2021-09-30T09:10:00"/>
    <n v="0"/>
    <n v="0"/>
    <x v="9"/>
    <n v="615.95000000000005"/>
  </r>
  <r>
    <n v="15272077365"/>
    <n v="49"/>
    <m/>
    <x v="8"/>
    <n v="15179581888"/>
    <x v="1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01"/>
    <n v="60"/>
    <n v="13.99"/>
    <n v="0"/>
    <n v="14.4596"/>
    <n v="839.4"/>
    <n v="41"/>
    <s v="PRFL.00.0025"/>
    <n v="0"/>
    <n v="0"/>
    <s v="HENRIQUE"/>
    <m/>
    <m/>
    <m/>
    <d v="2021-09-30T09:10:00"/>
    <n v="0"/>
    <n v="0"/>
    <x v="7"/>
    <n v="24"/>
  </r>
  <r>
    <n v="15272077365"/>
    <n v="49"/>
    <m/>
    <x v="8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06"/>
    <n v="35"/>
    <n v="16.2"/>
    <n v="0"/>
    <n v="10.747"/>
    <n v="567"/>
    <n v="41"/>
    <s v="PRFL.00.0024"/>
    <n v="0"/>
    <n v="0"/>
    <s v="HENRIQUE"/>
    <m/>
    <m/>
    <m/>
    <d v="2021-09-30T09:10:00"/>
    <n v="0"/>
    <n v="0"/>
    <x v="0"/>
    <n v="17.5"/>
  </r>
  <r>
    <n v="15279752604"/>
    <n v="61"/>
    <m/>
    <x v="8"/>
    <n v="15279322250"/>
    <x v="8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3939"/>
    <s v="Produto 13"/>
    <n v="1700"/>
    <n v="13.9"/>
    <n v="0"/>
    <n v="10.747"/>
    <n v="23630"/>
    <n v="68"/>
    <s v="PRFL.00.0019"/>
    <n v="0"/>
    <n v="0"/>
    <m/>
    <m/>
    <m/>
    <m/>
    <d v="2021-09-30T11:16:00"/>
    <n v="0"/>
    <n v="0"/>
    <x v="2"/>
    <n v="2380"/>
  </r>
  <r>
    <n v="15279752604"/>
    <n v="61"/>
    <m/>
    <x v="8"/>
    <n v="15279322250"/>
    <x v="17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353721"/>
    <s v="Produto 15"/>
    <n v="900"/>
    <n v="8.1999999999999993"/>
    <n v="0"/>
    <n v="5.58"/>
    <n v="7380"/>
    <n v="68"/>
    <s v="PRFL.00.0002"/>
    <n v="0"/>
    <n v="0"/>
    <m/>
    <m/>
    <m/>
    <m/>
    <d v="2021-09-30T11:16:00"/>
    <n v="0"/>
    <n v="0"/>
    <x v="16"/>
    <n v="1278"/>
  </r>
  <r>
    <n v="15279752604"/>
    <n v="61"/>
    <m/>
    <x v="8"/>
    <n v="15279322250"/>
    <x v="4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80333"/>
    <s v="Produto 02"/>
    <n v="400"/>
    <n v="15.2"/>
    <n v="0"/>
    <n v="10.747"/>
    <n v="6080"/>
    <n v="68"/>
    <s v="PRFL.00.0024"/>
    <n v="0"/>
    <n v="0"/>
    <m/>
    <m/>
    <m/>
    <m/>
    <d v="2021-09-30T11:16:00"/>
    <n v="0"/>
    <n v="0"/>
    <x v="6"/>
    <n v="108"/>
  </r>
  <r>
    <n v="15279752604"/>
    <n v="61"/>
    <m/>
    <x v="8"/>
    <n v="15279322250"/>
    <x v="16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11"/>
    <n v="500"/>
    <n v="18.2"/>
    <n v="0"/>
    <n v="14.4596"/>
    <n v="9100"/>
    <n v="68"/>
    <s v="PRFL.00.0026"/>
    <n v="0"/>
    <n v="0"/>
    <m/>
    <m/>
    <m/>
    <m/>
    <d v="2021-09-30T11:16:00"/>
    <n v="0"/>
    <n v="0"/>
    <x v="11"/>
    <n v="550"/>
  </r>
  <r>
    <n v="15279752604"/>
    <n v="61"/>
    <m/>
    <x v="8"/>
    <n v="15279322250"/>
    <x v="11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9089"/>
    <s v="Produto 16"/>
    <n v="200"/>
    <n v="21.3"/>
    <n v="0"/>
    <n v="16.804400000000001"/>
    <n v="4260"/>
    <n v="68"/>
    <s v="PRFL.00.0027"/>
    <n v="0"/>
    <n v="0"/>
    <m/>
    <m/>
    <m/>
    <m/>
    <d v="2021-09-30T11:16:00"/>
    <n v="0"/>
    <n v="0"/>
    <x v="9"/>
    <n v="254"/>
  </r>
  <r>
    <n v="15284305943"/>
    <n v="67"/>
    <m/>
    <x v="8"/>
    <n v="15179629910"/>
    <x v="12"/>
    <s v="07.700.789/0001-32"/>
    <s v="RUA TRISTE-PIA, 20, A"/>
    <s v="JARDIM PRIMAVERA"/>
    <s v="ARAPONGAS"/>
    <n v="86702008"/>
    <s v="PR"/>
    <m/>
    <m/>
    <n v="0"/>
    <n v="0"/>
    <m/>
    <s v="Atendido"/>
    <n v="15015353721"/>
    <s v="Produto 11"/>
    <n v="100"/>
    <n v="8.68"/>
    <n v="0"/>
    <n v="5.58"/>
    <n v="868"/>
    <n v="43"/>
    <s v="PRFL.00.0002"/>
    <n v="0"/>
    <n v="0"/>
    <m/>
    <m/>
    <m/>
    <m/>
    <d v="2021-09-30T09:10:00"/>
    <n v="0"/>
    <n v="0"/>
    <x v="11"/>
    <n v="110.00000000000001"/>
  </r>
  <r>
    <n v="15284371661"/>
    <n v="68"/>
    <m/>
    <x v="8"/>
    <n v="15179646317"/>
    <x v="15"/>
    <s v="12.510.166/0001-37"/>
    <s v="RUA CASTRO ALVES, 22, A"/>
    <s v="ZONA 06"/>
    <s v="MARINGA"/>
    <n v="87015440"/>
    <s v="PR"/>
    <m/>
    <m/>
    <n v="0"/>
    <n v="0"/>
    <m/>
    <s v="Atendido"/>
    <n v="15015886084"/>
    <s v="Produto 05"/>
    <n v="50"/>
    <n v="21.9"/>
    <n v="0"/>
    <n v="15.996"/>
    <n v="1095"/>
    <n v="44"/>
    <s v="PRFL.00.0009"/>
    <n v="0"/>
    <n v="0"/>
    <m/>
    <m/>
    <m/>
    <m/>
    <d v="2021-09-30T09:09:00"/>
    <n v="0"/>
    <n v="0"/>
    <x v="5"/>
    <n v="30"/>
  </r>
  <r>
    <n v="15288941476"/>
    <n v="71"/>
    <m/>
    <x v="8"/>
    <n v="15295545217"/>
    <x v="6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43939"/>
    <s v="Produto 04"/>
    <n v="1000"/>
    <n v="13.9"/>
    <n v="0"/>
    <n v="10.747"/>
    <n v="13900"/>
    <n v="78"/>
    <s v="PRFL.00.0019"/>
    <n v="0"/>
    <n v="0"/>
    <m/>
    <m/>
    <m/>
    <m/>
    <d v="2021-09-30T09:09:00"/>
    <n v="0"/>
    <n v="0"/>
    <x v="10"/>
    <n v="600"/>
  </r>
  <r>
    <n v="15288941476"/>
    <n v="71"/>
    <m/>
    <x v="8"/>
    <n v="15295545217"/>
    <x v="2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918644"/>
    <s v="Produto 07"/>
    <n v="1000"/>
    <n v="8.3800000000000008"/>
    <n v="0"/>
    <n v="5.61"/>
    <n v="8380"/>
    <n v="78"/>
    <s v="PRFL.00.0011"/>
    <n v="0"/>
    <n v="0"/>
    <m/>
    <m/>
    <m/>
    <m/>
    <d v="2021-09-30T09:09:00"/>
    <n v="0"/>
    <n v="0"/>
    <x v="12"/>
    <n v="1100"/>
  </r>
  <r>
    <n v="15289377505"/>
    <n v="73"/>
    <m/>
    <x v="8"/>
    <n v="15179701182"/>
    <x v="3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911944"/>
    <s v="Produto 02"/>
    <n v="450"/>
    <n v="14.25"/>
    <n v="0"/>
    <n v="10.285"/>
    <n v="6412.5"/>
    <n v="46"/>
    <s v="PRFL.00.0010"/>
    <n v="0"/>
    <n v="0"/>
    <m/>
    <m/>
    <m/>
    <m/>
    <d v="2021-11-19T09:09:00"/>
    <n v="0"/>
    <n v="0"/>
    <x v="6"/>
    <n v="121.50000000000001"/>
  </r>
  <r>
    <n v="15289377505"/>
    <n v="73"/>
    <m/>
    <x v="8"/>
    <n v="15179701182"/>
    <x v="15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918644"/>
    <s v="Produto 04"/>
    <n v="90"/>
    <n v="8.3800000000000008"/>
    <n v="0"/>
    <n v="5.61"/>
    <n v="754.2"/>
    <n v="46"/>
    <s v="PRFL.00.0011"/>
    <n v="0"/>
    <n v="0"/>
    <m/>
    <m/>
    <m/>
    <m/>
    <d v="2021-11-19T09:09:00"/>
    <n v="0"/>
    <n v="0"/>
    <x v="10"/>
    <n v="54"/>
  </r>
  <r>
    <n v="15289377505"/>
    <n v="73"/>
    <m/>
    <x v="8"/>
    <n v="15179701182"/>
    <x v="0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80333"/>
    <s v="Produto 14"/>
    <n v="143"/>
    <n v="15.5"/>
    <n v="0"/>
    <n v="10.747"/>
    <n v="2216.5"/>
    <n v="46"/>
    <s v="PRFL.00.0024"/>
    <n v="0"/>
    <n v="0"/>
    <m/>
    <m/>
    <m/>
    <m/>
    <d v="2021-11-19T09:09:00"/>
    <n v="0"/>
    <n v="0"/>
    <x v="1"/>
    <n v="200.2"/>
  </r>
  <r>
    <n v="15289377505"/>
    <n v="73"/>
    <m/>
    <x v="8"/>
    <n v="15179701182"/>
    <x v="8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746121"/>
    <s v="Produto 10"/>
    <n v="90"/>
    <n v="18.649999999999999"/>
    <n v="0"/>
    <n v="13.763999999999999"/>
    <n v="1678.5"/>
    <n v="46"/>
    <s v="PRFL.00.0007"/>
    <n v="0"/>
    <n v="0"/>
    <m/>
    <m/>
    <m/>
    <m/>
    <d v="2021-11-19T09:09:00"/>
    <n v="0"/>
    <n v="0"/>
    <x v="3"/>
    <n v="99.000000000000014"/>
  </r>
  <r>
    <n v="15289377505"/>
    <n v="73"/>
    <m/>
    <x v="8"/>
    <n v="15179701182"/>
    <x v="1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139667431"/>
    <s v="Produto 11"/>
    <n v="10"/>
    <n v="21.8"/>
    <n v="0"/>
    <n v="0"/>
    <n v="218"/>
    <n v="46"/>
    <s v="PRFL.00.0028"/>
    <n v="0"/>
    <n v="0"/>
    <m/>
    <m/>
    <m/>
    <m/>
    <d v="2021-11-19T09:09:00"/>
    <n v="0"/>
    <n v="0"/>
    <x v="11"/>
    <n v="11"/>
  </r>
  <r>
    <n v="15289377505"/>
    <n v="73"/>
    <m/>
    <x v="8"/>
    <n v="15179701182"/>
    <x v="18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139667431"/>
    <s v="Produto 04"/>
    <n v="10"/>
    <n v="22.1"/>
    <n v="0"/>
    <n v="0"/>
    <n v="221"/>
    <n v="46"/>
    <s v="PRFL.00.0028"/>
    <n v="0"/>
    <n v="0"/>
    <m/>
    <m/>
    <m/>
    <m/>
    <d v="2021-11-19T09:09:00"/>
    <n v="0"/>
    <n v="0"/>
    <x v="10"/>
    <n v="6"/>
  </r>
  <r>
    <n v="15289377505"/>
    <n v="73"/>
    <m/>
    <x v="8"/>
    <n v="15179701182"/>
    <x v="11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93155"/>
    <s v="Produto 12"/>
    <n v="200"/>
    <n v="18.649999999999999"/>
    <n v="0"/>
    <n v="14.4596"/>
    <n v="3730"/>
    <n v="46"/>
    <s v="PRFL.00.0026"/>
    <n v="0"/>
    <n v="0"/>
    <m/>
    <m/>
    <m/>
    <m/>
    <d v="2021-11-19T09:09:00"/>
    <n v="0"/>
    <n v="0"/>
    <x v="15"/>
    <n v="280"/>
  </r>
  <r>
    <n v="15289377505"/>
    <n v="73"/>
    <m/>
    <x v="8"/>
    <n v="15179701182"/>
    <x v="3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99089"/>
    <s v="Produto 02"/>
    <n v="182"/>
    <n v="21.75"/>
    <n v="0"/>
    <n v="16.804400000000001"/>
    <n v="3958.5"/>
    <n v="46"/>
    <s v="PRFL.00.0027"/>
    <n v="0"/>
    <n v="0"/>
    <m/>
    <m/>
    <m/>
    <m/>
    <d v="2021-11-19T09:09:00"/>
    <n v="0"/>
    <n v="0"/>
    <x v="6"/>
    <n v="49.14"/>
  </r>
  <r>
    <n v="15289377505"/>
    <n v="73"/>
    <m/>
    <x v="8"/>
    <n v="15179701182"/>
    <x v="11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139727614"/>
    <s v="Produto 14"/>
    <n v="10"/>
    <n v="25.5"/>
    <n v="0"/>
    <n v="0"/>
    <n v="255"/>
    <n v="46"/>
    <s v="PRFL.00.0029"/>
    <n v="0"/>
    <n v="0"/>
    <m/>
    <m/>
    <m/>
    <m/>
    <d v="2021-11-19T09:09:00"/>
    <n v="0"/>
    <n v="0"/>
    <x v="1"/>
    <n v="14"/>
  </r>
  <r>
    <n v="15289865360"/>
    <n v="74"/>
    <m/>
    <x v="8"/>
    <n v="15179724225"/>
    <x v="15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085610"/>
    <s v="Produto 17"/>
    <n v="120"/>
    <n v="14.25"/>
    <n v="0"/>
    <n v="10.23"/>
    <n v="1710"/>
    <n v="47"/>
    <s v="PRFL.00.0001"/>
    <n v="0"/>
    <n v="0"/>
    <m/>
    <m/>
    <m/>
    <m/>
    <d v="2021-09-30T09:52:00"/>
    <n v="0"/>
    <n v="0"/>
    <x v="8"/>
    <n v="170.39999999999998"/>
  </r>
  <r>
    <n v="15289865360"/>
    <n v="74"/>
    <m/>
    <x v="8"/>
    <n v="15179724225"/>
    <x v="19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353721"/>
    <s v="Produto 01"/>
    <n v="50"/>
    <n v="8.3800000000000008"/>
    <n v="0"/>
    <n v="5.58"/>
    <n v="419"/>
    <n v="47"/>
    <s v="PRFL.00.0002"/>
    <n v="0"/>
    <n v="0"/>
    <m/>
    <m/>
    <m/>
    <m/>
    <d v="2021-09-30T09:52:00"/>
    <n v="0"/>
    <n v="0"/>
    <x v="7"/>
    <n v="20"/>
  </r>
  <r>
    <n v="15289865360"/>
    <n v="74"/>
    <m/>
    <x v="8"/>
    <n v="15179724225"/>
    <x v="9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511068"/>
    <s v="Produto 07"/>
    <n v="50"/>
    <n v="16.7"/>
    <n v="0"/>
    <n v="10.23"/>
    <n v="835"/>
    <n v="47"/>
    <s v="PRFL.00.0005"/>
    <n v="0"/>
    <n v="0"/>
    <m/>
    <m/>
    <m/>
    <m/>
    <d v="2021-09-30T09:52:00"/>
    <n v="0"/>
    <n v="0"/>
    <x v="12"/>
    <n v="55.000000000000007"/>
  </r>
  <r>
    <n v="15291322589"/>
    <n v="88"/>
    <m/>
    <x v="8"/>
    <n v="15179746175"/>
    <x v="10"/>
    <s v="27.774.006/0001-72"/>
    <s v="R JOSE LINHARES, 145"/>
    <s v="MONTE ALEGRE"/>
    <s v="TELEMACO BORBA"/>
    <n v="84266280"/>
    <s v="PR"/>
    <m/>
    <m/>
    <n v="0"/>
    <n v="0"/>
    <m/>
    <s v="Atendido"/>
    <n v="15015511068"/>
    <s v="Produto 13"/>
    <n v="170"/>
    <n v="16.7"/>
    <n v="0"/>
    <n v="10.23"/>
    <n v="2839"/>
    <n v="48"/>
    <s v="PRFL.00.0005"/>
    <n v="0"/>
    <n v="0"/>
    <m/>
    <m/>
    <m/>
    <m/>
    <d v="2021-09-30T08:43:00"/>
    <n v="0"/>
    <n v="0"/>
    <x v="2"/>
    <n v="237.99999999999997"/>
  </r>
  <r>
    <n v="15291322589"/>
    <n v="88"/>
    <m/>
    <x v="8"/>
    <n v="15179746175"/>
    <x v="14"/>
    <s v="27.774.006/0001-72"/>
    <s v="R JOSE LINHARES, 145"/>
    <s v="MONTE ALEGRE"/>
    <s v="TELEMACO BORBA"/>
    <n v="84266280"/>
    <s v="PR"/>
    <m/>
    <m/>
    <n v="0"/>
    <n v="0"/>
    <m/>
    <s v="Atendido"/>
    <n v="15016093155"/>
    <s v="Produto 10"/>
    <n v="70"/>
    <n v="16.79"/>
    <n v="0"/>
    <n v="14.4596"/>
    <n v="1175.3"/>
    <n v="48"/>
    <s v="PRFL.00.0026"/>
    <n v="0"/>
    <n v="0"/>
    <m/>
    <m/>
    <m/>
    <m/>
    <d v="2021-09-30T08:43:00"/>
    <n v="0"/>
    <n v="0"/>
    <x v="3"/>
    <n v="77"/>
  </r>
  <r>
    <n v="15291322589"/>
    <n v="88"/>
    <m/>
    <x v="8"/>
    <n v="15179746175"/>
    <x v="8"/>
    <s v="27.774.006/0001-72"/>
    <s v="R JOSE LINHARES, 145"/>
    <s v="MONTE ALEGRE"/>
    <s v="TELEMACO BORBA"/>
    <n v="84266280"/>
    <s v="PR"/>
    <m/>
    <m/>
    <n v="0"/>
    <n v="0"/>
    <m/>
    <s v="Atendido"/>
    <n v="15016080333"/>
    <s v="Produto 11"/>
    <n v="30"/>
    <n v="15.5"/>
    <n v="0"/>
    <n v="10.747"/>
    <n v="465"/>
    <n v="48"/>
    <s v="PRFL.00.0024"/>
    <n v="0"/>
    <n v="0"/>
    <m/>
    <m/>
    <m/>
    <m/>
    <d v="2021-09-30T08:43:00"/>
    <n v="0"/>
    <n v="0"/>
    <x v="11"/>
    <n v="33"/>
  </r>
  <r>
    <n v="15291322589"/>
    <n v="88"/>
    <m/>
    <x v="8"/>
    <n v="15179746175"/>
    <x v="3"/>
    <s v="27.774.006/0001-72"/>
    <s v="R JOSE LINHARES, 145"/>
    <s v="MONTE ALEGRE"/>
    <s v="TELEMACO BORBA"/>
    <n v="84266280"/>
    <s v="PR"/>
    <m/>
    <m/>
    <n v="0"/>
    <n v="0"/>
    <m/>
    <s v="Atendido"/>
    <n v="15016043939"/>
    <s v="Produto 16"/>
    <n v="200"/>
    <n v="14.25"/>
    <n v="0"/>
    <n v="10.747"/>
    <n v="2850"/>
    <n v="48"/>
    <s v="PRFL.00.0019"/>
    <n v="0"/>
    <n v="0"/>
    <m/>
    <m/>
    <m/>
    <m/>
    <d v="2021-09-30T08:43:00"/>
    <n v="0"/>
    <n v="0"/>
    <x v="9"/>
    <n v="254"/>
  </r>
  <r>
    <n v="15291322589"/>
    <n v="88"/>
    <m/>
    <x v="8"/>
    <n v="15179746175"/>
    <x v="14"/>
    <s v="27.774.006/0001-72"/>
    <s v="R JOSE LINHARES, 145"/>
    <s v="MONTE ALEGRE"/>
    <s v="TELEMACO BORBA"/>
    <n v="84266280"/>
    <s v="PR"/>
    <m/>
    <m/>
    <n v="0"/>
    <n v="0"/>
    <m/>
    <s v="Atendido"/>
    <n v="15015911944"/>
    <s v="Produto 03"/>
    <n v="400"/>
    <n v="13.99"/>
    <n v="0"/>
    <n v="10.285"/>
    <n v="5596"/>
    <n v="48"/>
    <s v="PRFL.00.0010"/>
    <n v="0"/>
    <n v="0"/>
    <m/>
    <m/>
    <m/>
    <m/>
    <d v="2021-09-30T08:43:00"/>
    <n v="0"/>
    <n v="0"/>
    <x v="13"/>
    <n v="240"/>
  </r>
  <r>
    <n v="15291322589"/>
    <n v="88"/>
    <m/>
    <x v="8"/>
    <n v="15179746175"/>
    <x v="16"/>
    <s v="27.774.006/0001-72"/>
    <s v="R JOSE LINHARES, 145"/>
    <s v="MONTE ALEGRE"/>
    <s v="TELEMACO BORBA"/>
    <n v="84266280"/>
    <s v="PR"/>
    <m/>
    <m/>
    <n v="0"/>
    <n v="0"/>
    <m/>
    <s v="Atendido"/>
    <n v="15015918644"/>
    <s v="Produto 04"/>
    <n v="70"/>
    <n v="8.3800000000000008"/>
    <n v="0"/>
    <n v="5.61"/>
    <n v="586.6"/>
    <n v="48"/>
    <s v="PRFL.00.0011"/>
    <n v="0"/>
    <n v="0"/>
    <m/>
    <m/>
    <m/>
    <m/>
    <d v="2021-09-30T08:43:00"/>
    <n v="0"/>
    <n v="0"/>
    <x v="10"/>
    <n v="42"/>
  </r>
  <r>
    <n v="15294974480"/>
    <n v="103"/>
    <m/>
    <x v="8"/>
    <n v="15179803016"/>
    <x v="2"/>
    <s v="13.559.797/0001-03"/>
    <s v="AV NOE REBESCO, 1650"/>
    <s v="LAGOA"/>
    <s v="Irati"/>
    <n v="84500000"/>
    <s v="PR"/>
    <s v="Julio@Irati.com"/>
    <n v="42999250064"/>
    <n v="0"/>
    <n v="0"/>
    <m/>
    <s v="Atendido"/>
    <n v="15016043939"/>
    <s v="Produto 05"/>
    <n v="400"/>
    <n v="14.25"/>
    <n v="0"/>
    <n v="10.747"/>
    <n v="5700"/>
    <n v="50"/>
    <s v="PRFL.00.0019"/>
    <n v="0"/>
    <n v="0"/>
    <m/>
    <m/>
    <m/>
    <m/>
    <d v="2021-09-30T08:43:00"/>
    <n v="0"/>
    <n v="0"/>
    <x v="5"/>
    <n v="240"/>
  </r>
  <r>
    <n v="15294974480"/>
    <n v="103"/>
    <m/>
    <x v="8"/>
    <n v="15179803016"/>
    <x v="4"/>
    <s v="13.559.797/0001-03"/>
    <s v="AV NOE REBESCO, 1650"/>
    <s v="LAGOA"/>
    <s v="Irati"/>
    <n v="84500000"/>
    <s v="PR"/>
    <s v="Julio@Irati.com"/>
    <n v="42999250064"/>
    <n v="0"/>
    <n v="0"/>
    <m/>
    <s v="Atendido"/>
    <n v="15016073255"/>
    <s v="Produto 10"/>
    <n v="160"/>
    <n v="16.899999999999999"/>
    <n v="0"/>
    <n v="10.747"/>
    <n v="2704"/>
    <n v="50"/>
    <s v="PRFL.00.0023"/>
    <n v="0"/>
    <n v="0"/>
    <m/>
    <m/>
    <m/>
    <m/>
    <d v="2021-09-30T08:43:00"/>
    <n v="0"/>
    <n v="0"/>
    <x v="3"/>
    <n v="176"/>
  </r>
  <r>
    <n v="15294974480"/>
    <n v="103"/>
    <m/>
    <x v="8"/>
    <n v="15179803016"/>
    <x v="6"/>
    <s v="13.559.797/0001-03"/>
    <s v="AV NOE REBESCO, 1650"/>
    <s v="LAGOA"/>
    <s v="Irati"/>
    <n v="84500000"/>
    <s v="PR"/>
    <s v="Julio@Irati.com"/>
    <n v="42999250064"/>
    <n v="0"/>
    <n v="0"/>
    <m/>
    <s v="Atendido"/>
    <n v="15016080333"/>
    <s v="Produto 07"/>
    <n v="60"/>
    <n v="15.5"/>
    <n v="0"/>
    <n v="10.747"/>
    <n v="930"/>
    <n v="50"/>
    <s v="PRFL.00.0024"/>
    <n v="0"/>
    <n v="0"/>
    <m/>
    <m/>
    <m/>
    <m/>
    <d v="2021-09-30T08:43:00"/>
    <n v="0"/>
    <n v="0"/>
    <x v="12"/>
    <n v="66"/>
  </r>
  <r>
    <n v="15294974480"/>
    <n v="103"/>
    <m/>
    <x v="8"/>
    <n v="15179803016"/>
    <x v="4"/>
    <s v="13.559.797/0001-03"/>
    <s v="AV NOE REBESCO, 1650"/>
    <s v="LAGOA"/>
    <s v="Irati"/>
    <n v="84500000"/>
    <s v="PR"/>
    <s v="Julio@Irati.com"/>
    <n v="42999250064"/>
    <n v="0"/>
    <n v="0"/>
    <m/>
    <s v="Atendido"/>
    <n v="15016093155"/>
    <s v="Produto 08"/>
    <n v="100"/>
    <n v="18.2"/>
    <n v="0"/>
    <n v="14.4596"/>
    <n v="1820"/>
    <n v="50"/>
    <s v="PRFL.00.0026"/>
    <n v="0"/>
    <n v="0"/>
    <m/>
    <m/>
    <m/>
    <m/>
    <d v="2021-09-30T08:43:00"/>
    <n v="0"/>
    <n v="0"/>
    <x v="14"/>
    <n v="110.00000000000001"/>
  </r>
  <r>
    <n v="15294974480"/>
    <n v="103"/>
    <m/>
    <x v="8"/>
    <n v="15179803016"/>
    <x v="14"/>
    <s v="13.559.797/0001-03"/>
    <s v="AV NOE REBESCO, 1650"/>
    <s v="LAGOA"/>
    <s v="Irati"/>
    <n v="84500000"/>
    <s v="PR"/>
    <s v="Julio@Irati.com"/>
    <n v="42999250064"/>
    <n v="0"/>
    <n v="0"/>
    <m/>
    <s v="Atendido"/>
    <n v="15015925662"/>
    <s v="Produto 08"/>
    <n v="240"/>
    <n v="8.3800000000000008"/>
    <n v="0"/>
    <n v="3.74"/>
    <n v="2011.2"/>
    <n v="50"/>
    <s v="PRFL.00.0012"/>
    <n v="0"/>
    <n v="0"/>
    <m/>
    <m/>
    <m/>
    <m/>
    <d v="2021-09-30T08:43:00"/>
    <n v="0"/>
    <n v="0"/>
    <x v="14"/>
    <n v="264"/>
  </r>
  <r>
    <n v="15331916125"/>
    <n v="117"/>
    <m/>
    <x v="8"/>
    <n v="15058719469"/>
    <x v="9"/>
    <s v="30.641.041/0001-28"/>
    <s v="RUA LEONARDO NOVICKI, 1554"/>
    <s v="Cajuru"/>
    <s v="Curitiba"/>
    <n v="82930548"/>
    <s v="PR"/>
    <m/>
    <m/>
    <n v="0"/>
    <n v="0"/>
    <m/>
    <s v="Atendido"/>
    <n v="15016043939"/>
    <s v="Produto 09"/>
    <n v="200"/>
    <n v="14.25"/>
    <n v="0"/>
    <n v="10.747"/>
    <n v="2850"/>
    <n v="19"/>
    <s v="PRFL.00.0019"/>
    <n v="0"/>
    <n v="0"/>
    <m/>
    <m/>
    <m/>
    <m/>
    <d v="2021-09-30T17:03:00"/>
    <n v="0"/>
    <n v="0"/>
    <x v="4"/>
    <n v="220.00000000000003"/>
  </r>
  <r>
    <n v="15331916125"/>
    <n v="117"/>
    <m/>
    <x v="8"/>
    <n v="15058719469"/>
    <x v="19"/>
    <s v="30.641.041/0001-28"/>
    <s v="RUA LEONARDO NOVICKI, 1554"/>
    <s v="Cajuru"/>
    <s v="Curitiba"/>
    <n v="82930548"/>
    <s v="PR"/>
    <m/>
    <m/>
    <n v="0"/>
    <n v="0"/>
    <m/>
    <s v="Atendido"/>
    <n v="15015511068"/>
    <s v="Produto 13"/>
    <n v="50"/>
    <n v="16.7"/>
    <n v="0"/>
    <n v="10.23"/>
    <n v="835"/>
    <n v="19"/>
    <s v="PRFL.00.0005"/>
    <n v="0"/>
    <n v="0"/>
    <m/>
    <m/>
    <m/>
    <m/>
    <d v="2021-09-30T17:03:00"/>
    <n v="0"/>
    <n v="0"/>
    <x v="2"/>
    <n v="70"/>
  </r>
  <r>
    <n v="15331916125"/>
    <n v="117"/>
    <m/>
    <x v="8"/>
    <n v="15058719469"/>
    <x v="10"/>
    <s v="30.641.041/0001-28"/>
    <s v="RUA LEONARDO NOVICKI, 1554"/>
    <s v="Cajuru"/>
    <s v="Curitiba"/>
    <n v="82930548"/>
    <s v="PR"/>
    <m/>
    <m/>
    <n v="0"/>
    <n v="0"/>
    <m/>
    <s v="Atendido"/>
    <n v="15016093155"/>
    <s v="Produto 08"/>
    <n v="40"/>
    <n v="18.7"/>
    <n v="0"/>
    <n v="14.4596"/>
    <n v="748"/>
    <n v="19"/>
    <s v="PRFL.00.0026"/>
    <n v="0"/>
    <n v="0"/>
    <m/>
    <m/>
    <m/>
    <m/>
    <d v="2021-09-30T17:03:00"/>
    <n v="0"/>
    <n v="0"/>
    <x v="14"/>
    <n v="44"/>
  </r>
  <r>
    <n v="15331916125"/>
    <n v="117"/>
    <m/>
    <x v="8"/>
    <n v="15058719469"/>
    <x v="17"/>
    <s v="30.641.041/0001-28"/>
    <s v="RUA LEONARDO NOVICKI, 1554"/>
    <s v="Cajuru"/>
    <s v="Curitiba"/>
    <n v="82930548"/>
    <s v="PR"/>
    <m/>
    <m/>
    <n v="0"/>
    <n v="0"/>
    <m/>
    <s v="Atendido"/>
    <n v="15016080333"/>
    <s v="Produto 09"/>
    <n v="20"/>
    <n v="15.5"/>
    <n v="0"/>
    <n v="10.747"/>
    <n v="310"/>
    <n v="19"/>
    <s v="PRFL.00.0024"/>
    <n v="0"/>
    <n v="0"/>
    <m/>
    <m/>
    <m/>
    <m/>
    <d v="2021-09-30T17:03:00"/>
    <n v="0"/>
    <n v="0"/>
    <x v="4"/>
    <n v="22"/>
  </r>
  <r>
    <n v="15331916125"/>
    <n v="117"/>
    <m/>
    <x v="8"/>
    <n v="15058719469"/>
    <x v="9"/>
    <s v="30.641.041/0001-28"/>
    <s v="RUA LEONARDO NOVICKI, 1554"/>
    <s v="Cajuru"/>
    <s v="Curitiba"/>
    <n v="82930548"/>
    <s v="PR"/>
    <m/>
    <m/>
    <n v="0"/>
    <n v="0"/>
    <m/>
    <s v="Atendido"/>
    <n v="15015918644"/>
    <s v="Produto 05"/>
    <n v="40"/>
    <n v="8.3800000000000008"/>
    <n v="0"/>
    <n v="5.61"/>
    <n v="335.2"/>
    <n v="19"/>
    <s v="PRFL.00.0011"/>
    <n v="0"/>
    <n v="0"/>
    <m/>
    <m/>
    <m/>
    <m/>
    <d v="2021-09-30T17:03:00"/>
    <n v="0"/>
    <n v="0"/>
    <x v="5"/>
    <n v="24"/>
  </r>
  <r>
    <n v="15332094570"/>
    <n v="118"/>
    <m/>
    <x v="8"/>
    <n v="15332058913"/>
    <x v="9"/>
    <s v="85.121.372/0001-29"/>
    <s v="Rua do Rouxinol, 1433, VM -FABRICA "/>
    <s v="Aviação"/>
    <s v="São José dos Pinhais"/>
    <n v="83045510"/>
    <s v="PR"/>
    <m/>
    <m/>
    <n v="0"/>
    <n v="0"/>
    <m/>
    <s v="Atendido"/>
    <n v="15016093155"/>
    <s v="Produto 07"/>
    <n v="30"/>
    <n v="19"/>
    <n v="0"/>
    <n v="14.4596"/>
    <n v="570"/>
    <n v="81"/>
    <s v="PRFL.00.0026"/>
    <n v="0"/>
    <n v="0"/>
    <m/>
    <m/>
    <m/>
    <m/>
    <d v="2021-09-30T08:42:00"/>
    <n v="0"/>
    <n v="0"/>
    <x v="12"/>
    <n v="33"/>
  </r>
  <r>
    <n v="15332094570"/>
    <n v="118"/>
    <m/>
    <x v="8"/>
    <n v="15332058913"/>
    <x v="6"/>
    <s v="85.121.372/0001-29"/>
    <s v="Rua do Rouxinol, 1433, VM -FABRICA "/>
    <s v="Aviação"/>
    <s v="São José dos Pinhais"/>
    <n v="83045510"/>
    <s v="PR"/>
    <m/>
    <m/>
    <n v="0"/>
    <n v="0"/>
    <m/>
    <s v="Atendido"/>
    <n v="15016080333"/>
    <s v="Produto 17"/>
    <n v="10"/>
    <n v="16.2"/>
    <n v="0"/>
    <n v="10.747"/>
    <n v="162"/>
    <n v="81"/>
    <s v="PRFL.00.0024"/>
    <n v="0"/>
    <n v="0"/>
    <m/>
    <m/>
    <m/>
    <m/>
    <d v="2021-09-30T08:42:00"/>
    <n v="0"/>
    <n v="0"/>
    <x v="8"/>
    <n v="14.2"/>
  </r>
  <r>
    <n v="15332094570"/>
    <n v="118"/>
    <m/>
    <x v="8"/>
    <n v="15332058913"/>
    <x v="9"/>
    <s v="85.121.372/0001-29"/>
    <s v="Rua do Rouxinol, 1433, VM -FABRICA "/>
    <s v="Aviação"/>
    <s v="São José dos Pinhais"/>
    <n v="83045510"/>
    <s v="PR"/>
    <m/>
    <m/>
    <n v="0"/>
    <n v="0"/>
    <m/>
    <s v="Atendido"/>
    <n v="15016043939"/>
    <s v="Produto 11"/>
    <n v="20"/>
    <n v="14.9"/>
    <n v="0"/>
    <n v="10.747"/>
    <n v="298"/>
    <n v="81"/>
    <s v="PRFL.00.0019"/>
    <n v="0"/>
    <n v="0"/>
    <m/>
    <m/>
    <m/>
    <m/>
    <d v="2021-09-30T08:42:00"/>
    <n v="0"/>
    <n v="0"/>
    <x v="11"/>
    <n v="22"/>
  </r>
  <r>
    <n v="15332094570"/>
    <n v="118"/>
    <m/>
    <x v="8"/>
    <n v="15332058913"/>
    <x v="11"/>
    <s v="85.121.372/0001-29"/>
    <s v="Rua do Rouxinol, 1433, VM -FABRICA "/>
    <s v="Aviação"/>
    <s v="São José dos Pinhais"/>
    <n v="83045510"/>
    <s v="PR"/>
    <m/>
    <m/>
    <n v="0"/>
    <n v="0"/>
    <m/>
    <s v="Atendido"/>
    <n v="15015918644"/>
    <s v="Produto 14"/>
    <n v="10"/>
    <n v="8.68"/>
    <n v="0"/>
    <n v="5.61"/>
    <n v="86.8"/>
    <n v="81"/>
    <s v="PRFL.00.0011"/>
    <n v="0"/>
    <n v="0"/>
    <m/>
    <m/>
    <m/>
    <m/>
    <d v="2021-09-30T08:42:00"/>
    <n v="0"/>
    <n v="0"/>
    <x v="1"/>
    <n v="14"/>
  </r>
  <r>
    <n v="15363505218"/>
    <n v="153"/>
    <m/>
    <x v="8"/>
    <n v="15058876151"/>
    <x v="4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6073255"/>
    <s v="Produto 09"/>
    <n v="300"/>
    <n v="16.7"/>
    <n v="0"/>
    <n v="10.747"/>
    <n v="5010"/>
    <n v="24"/>
    <s v="PRFL.00.0023"/>
    <n v="0"/>
    <n v="0"/>
    <s v="HENRIQUE"/>
    <m/>
    <m/>
    <m/>
    <d v="2021-09-30T09:34:00"/>
    <n v="0"/>
    <n v="0"/>
    <x v="4"/>
    <n v="330"/>
  </r>
  <r>
    <n v="15363505218"/>
    <n v="153"/>
    <m/>
    <x v="8"/>
    <n v="15058876151"/>
    <x v="0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5918644"/>
    <s v="Produto 12"/>
    <n v="100"/>
    <n v="8.3800000000000008"/>
    <n v="0"/>
    <n v="5.61"/>
    <n v="838"/>
    <n v="24"/>
    <s v="PRFL.00.0011"/>
    <n v="0"/>
    <n v="0"/>
    <s v="HENRIQUE"/>
    <m/>
    <m/>
    <m/>
    <d v="2021-09-30T09:34:00"/>
    <n v="0"/>
    <n v="0"/>
    <x v="15"/>
    <n v="140"/>
  </r>
  <r>
    <n v="15284501959"/>
    <n v="70"/>
    <m/>
    <x v="9"/>
    <n v="15179661508"/>
    <x v="17"/>
    <s v="24.840.713/0001-21"/>
    <s v="RUA QUINTA DO SOL, 342"/>
    <s v="GUARAITUBA"/>
    <s v="COLOMBO"/>
    <n v="83410260"/>
    <s v="PR"/>
    <m/>
    <m/>
    <n v="0"/>
    <n v="0"/>
    <m/>
    <s v="Atendido"/>
    <n v="15016043939"/>
    <s v="Produto 07"/>
    <n v="9000"/>
    <n v="12.65"/>
    <n v="0"/>
    <n v="10.747"/>
    <n v="113850"/>
    <n v="45"/>
    <s v="PRFL.00.0019"/>
    <n v="0"/>
    <n v="0"/>
    <m/>
    <m/>
    <m/>
    <m/>
    <d v="2021-10-29T17:20:00"/>
    <n v="0"/>
    <n v="0"/>
    <x v="12"/>
    <n v="9900"/>
  </r>
  <r>
    <n v="15284501959"/>
    <n v="70"/>
    <m/>
    <x v="9"/>
    <n v="15179661508"/>
    <x v="2"/>
    <s v="24.840.713/0001-21"/>
    <s v="RUA QUINTA DO SOL, 342"/>
    <s v="GUARAITUBA"/>
    <s v="COLOMBO"/>
    <n v="83410260"/>
    <s v="PR"/>
    <m/>
    <m/>
    <n v="0"/>
    <n v="0"/>
    <m/>
    <s v="Atendido"/>
    <n v="15015918644"/>
    <s v="Produto 11"/>
    <n v="3840"/>
    <n v="7.4"/>
    <n v="0"/>
    <n v="5.61"/>
    <n v="28416"/>
    <n v="45"/>
    <s v="PRFL.00.0011"/>
    <n v="0"/>
    <n v="0"/>
    <m/>
    <m/>
    <m/>
    <m/>
    <d v="2021-10-29T17:20:00"/>
    <n v="0"/>
    <n v="0"/>
    <x v="11"/>
    <n v="4224"/>
  </r>
  <r>
    <n v="15284501959"/>
    <n v="70"/>
    <m/>
    <x v="9"/>
    <n v="15179661508"/>
    <x v="13"/>
    <s v="24.840.713/0001-21"/>
    <s v="RUA QUINTA DO SOL, 342"/>
    <s v="GUARAITUBA"/>
    <s v="COLOMBO"/>
    <n v="83410260"/>
    <s v="PR"/>
    <m/>
    <m/>
    <n v="0"/>
    <n v="0"/>
    <m/>
    <s v="Atendido"/>
    <n v="15015918644"/>
    <s v="Produto 03"/>
    <n v="4000"/>
    <n v="7.3"/>
    <n v="0"/>
    <n v="5.61"/>
    <n v="29200"/>
    <n v="45"/>
    <s v="PRFL.00.0011"/>
    <n v="0"/>
    <n v="0"/>
    <m/>
    <m/>
    <m/>
    <m/>
    <d v="2021-10-29T17:20:00"/>
    <n v="0"/>
    <n v="0"/>
    <x v="13"/>
    <n v="2400"/>
  </r>
  <r>
    <n v="15272428809"/>
    <n v="54"/>
    <m/>
    <x v="10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04"/>
    <n v="3"/>
    <n v="7"/>
    <n v="0"/>
    <n v="10.285"/>
    <n v="21"/>
    <n v="41"/>
    <s v="PRFL.00.0010"/>
    <n v="0"/>
    <n v="0"/>
    <s v="HENRIQUE"/>
    <m/>
    <m/>
    <m/>
    <d v="2021-10-30T16:43:00"/>
    <n v="0"/>
    <n v="0"/>
    <x v="10"/>
    <n v="1.7999999999999998"/>
  </r>
  <r>
    <n v="15272428809"/>
    <n v="54"/>
    <m/>
    <x v="10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085610"/>
    <s v="Produto 10"/>
    <n v="3394"/>
    <n v="12.9"/>
    <n v="0"/>
    <n v="10.23"/>
    <n v="43782.6"/>
    <n v="41"/>
    <s v="PRFL.00.0001"/>
    <n v="0"/>
    <n v="0"/>
    <s v="HENRIQUE"/>
    <m/>
    <m/>
    <m/>
    <d v="2021-10-30T16:43:00"/>
    <n v="0"/>
    <n v="0"/>
    <x v="3"/>
    <n v="3733.4"/>
  </r>
  <r>
    <n v="15272428809"/>
    <n v="54"/>
    <m/>
    <x v="10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9"/>
    <n v="1389"/>
    <n v="13.9"/>
    <n v="0"/>
    <n v="10.747"/>
    <n v="19307.099999999999"/>
    <n v="41"/>
    <s v="PRFL.00.0019"/>
    <n v="0"/>
    <n v="0"/>
    <s v="HENRIQUE"/>
    <m/>
    <m/>
    <m/>
    <d v="2021-10-30T16:43:00"/>
    <n v="0"/>
    <n v="0"/>
    <x v="4"/>
    <n v="1527.9"/>
  </r>
  <r>
    <n v="15272428809"/>
    <n v="54"/>
    <m/>
    <x v="10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423083"/>
    <s v="Produto 08"/>
    <n v="140"/>
    <n v="8"/>
    <n v="0"/>
    <n v="10.23"/>
    <n v="1120"/>
    <n v="41"/>
    <s v="PRFL.00.0004"/>
    <n v="0"/>
    <n v="0"/>
    <s v="HENRIQUE"/>
    <m/>
    <m/>
    <m/>
    <d v="2021-10-30T16:43:00"/>
    <n v="0"/>
    <n v="0"/>
    <x v="14"/>
    <n v="154"/>
  </r>
  <r>
    <n v="15272428809"/>
    <n v="54"/>
    <m/>
    <x v="10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423083"/>
    <s v="Produto 14"/>
    <n v="5"/>
    <n v="9"/>
    <n v="0"/>
    <n v="10.23"/>
    <n v="45"/>
    <n v="41"/>
    <s v="PRFL.00.0004"/>
    <n v="0"/>
    <n v="0"/>
    <s v="HENRIQUE"/>
    <m/>
    <m/>
    <m/>
    <d v="2021-10-30T16:43:00"/>
    <n v="0"/>
    <n v="0"/>
    <x v="1"/>
    <n v="7"/>
  </r>
  <r>
    <n v="15272428809"/>
    <n v="54"/>
    <m/>
    <x v="10"/>
    <n v="15179581888"/>
    <x v="1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423083"/>
    <s v="Produto 05"/>
    <n v="17"/>
    <n v="15"/>
    <n v="0"/>
    <n v="10.23"/>
    <n v="255"/>
    <n v="41"/>
    <s v="PRFL.00.0004"/>
    <n v="0"/>
    <n v="0"/>
    <s v="HENRIQUE"/>
    <m/>
    <m/>
    <m/>
    <d v="2021-10-30T16:43:00"/>
    <n v="0"/>
    <n v="0"/>
    <x v="5"/>
    <n v="10.199999999999999"/>
  </r>
  <r>
    <n v="15272428809"/>
    <n v="54"/>
    <m/>
    <x v="10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15"/>
    <n v="1209"/>
    <n v="16"/>
    <n v="0"/>
    <n v="10.23"/>
    <n v="19344"/>
    <n v="41"/>
    <s v="PRFL.00.0005"/>
    <n v="0"/>
    <n v="0"/>
    <s v="HENRIQUE"/>
    <m/>
    <m/>
    <m/>
    <d v="2021-10-30T16:43:00"/>
    <n v="0"/>
    <n v="0"/>
    <x v="16"/>
    <n v="1716.78"/>
  </r>
  <r>
    <n v="15272428809"/>
    <n v="54"/>
    <m/>
    <x v="10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04"/>
    <n v="325"/>
    <n v="16.2"/>
    <n v="0"/>
    <n v="10.23"/>
    <n v="5265"/>
    <n v="41"/>
    <s v="PRFL.00.0005"/>
    <n v="0"/>
    <n v="0"/>
    <s v="HENRIQUE"/>
    <m/>
    <m/>
    <m/>
    <d v="2021-10-30T16:43:00"/>
    <n v="0"/>
    <n v="0"/>
    <x v="10"/>
    <n v="195"/>
  </r>
  <r>
    <n v="15272428809"/>
    <n v="54"/>
    <m/>
    <x v="10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353721"/>
    <s v="Produto 06"/>
    <n v="48"/>
    <n v="5"/>
    <n v="0"/>
    <n v="5.58"/>
    <n v="240"/>
    <n v="41"/>
    <s v="PRFL.00.0002"/>
    <n v="0"/>
    <n v="0"/>
    <s v="HENRIQUE"/>
    <m/>
    <m/>
    <m/>
    <d v="2021-10-30T16:43:00"/>
    <n v="0"/>
    <n v="0"/>
    <x v="0"/>
    <n v="24"/>
  </r>
  <r>
    <n v="15272428809"/>
    <n v="54"/>
    <m/>
    <x v="10"/>
    <n v="15179581888"/>
    <x v="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8"/>
    <n v="1291"/>
    <n v="7.35"/>
    <n v="0"/>
    <n v="5.61"/>
    <n v="9488.85"/>
    <n v="41"/>
    <s v="PRFL.00.0011"/>
    <n v="0"/>
    <n v="0"/>
    <s v="HENRIQUE"/>
    <m/>
    <m/>
    <m/>
    <d v="2021-10-30T16:43:00"/>
    <n v="0"/>
    <n v="0"/>
    <x v="14"/>
    <n v="1420.1000000000001"/>
  </r>
  <r>
    <n v="15272428809"/>
    <n v="54"/>
    <m/>
    <x v="10"/>
    <n v="15179581888"/>
    <x v="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1"/>
    <n v="1097"/>
    <n v="8.1999999999999993"/>
    <n v="0"/>
    <n v="5.61"/>
    <n v="8995.4"/>
    <n v="41"/>
    <s v="PRFL.00.0011"/>
    <n v="0"/>
    <n v="0"/>
    <s v="HENRIQUE"/>
    <m/>
    <m/>
    <m/>
    <d v="2021-10-30T16:43:00"/>
    <n v="0"/>
    <n v="0"/>
    <x v="7"/>
    <n v="438.8"/>
  </r>
  <r>
    <n v="15272428809"/>
    <n v="54"/>
    <m/>
    <x v="10"/>
    <n v="15179581888"/>
    <x v="1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25662"/>
    <s v="Produto 01"/>
    <n v="2400"/>
    <n v="3.9"/>
    <n v="0"/>
    <n v="3.74"/>
    <n v="9360"/>
    <n v="41"/>
    <s v="PRFL.00.0012"/>
    <n v="0"/>
    <n v="0"/>
    <s v="HENRIQUE"/>
    <m/>
    <m/>
    <m/>
    <d v="2021-10-30T16:43:00"/>
    <n v="0"/>
    <n v="0"/>
    <x v="7"/>
    <n v="960"/>
  </r>
  <r>
    <n v="15272428809"/>
    <n v="54"/>
    <m/>
    <x v="10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720950"/>
    <s v="Produto 01"/>
    <n v="208"/>
    <n v="14"/>
    <n v="0"/>
    <n v="10.23"/>
    <n v="2912"/>
    <n v="41"/>
    <s v="PRFL.00.0006"/>
    <n v="0"/>
    <n v="0"/>
    <s v="HENRIQUE"/>
    <m/>
    <m/>
    <m/>
    <d v="2021-10-30T16:43:00"/>
    <n v="0"/>
    <n v="0"/>
    <x v="7"/>
    <n v="83.2"/>
  </r>
  <r>
    <n v="15272428809"/>
    <n v="54"/>
    <m/>
    <x v="10"/>
    <n v="15179581888"/>
    <x v="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17"/>
    <n v="368"/>
    <n v="15.2"/>
    <n v="0"/>
    <n v="10.747"/>
    <n v="5593.6"/>
    <n v="41"/>
    <s v="PRFL.00.0024"/>
    <n v="0"/>
    <n v="0"/>
    <s v="HENRIQUE"/>
    <m/>
    <m/>
    <m/>
    <d v="2021-10-30T16:43:00"/>
    <n v="0"/>
    <n v="0"/>
    <x v="8"/>
    <n v="522.55999999999995"/>
  </r>
  <r>
    <n v="15272428809"/>
    <n v="54"/>
    <m/>
    <x v="10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746121"/>
    <s v="Produto 17"/>
    <n v="8"/>
    <n v="17.7"/>
    <n v="0"/>
    <n v="13.763999999999999"/>
    <n v="141.6"/>
    <n v="41"/>
    <s v="PRFL.00.0007"/>
    <n v="0"/>
    <n v="0"/>
    <s v="HENRIQUE"/>
    <m/>
    <m/>
    <m/>
    <d v="2021-10-30T16:43:00"/>
    <n v="0"/>
    <n v="0"/>
    <x v="8"/>
    <n v="11.36"/>
  </r>
  <r>
    <n v="15272428809"/>
    <n v="54"/>
    <m/>
    <x v="10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08"/>
    <n v="419"/>
    <n v="17.8"/>
    <n v="0"/>
    <n v="14.4596"/>
    <n v="7458.2"/>
    <n v="41"/>
    <s v="PRFL.00.0025"/>
    <n v="0"/>
    <n v="0"/>
    <s v="HENRIQUE"/>
    <m/>
    <m/>
    <m/>
    <d v="2021-10-30T16:43:00"/>
    <n v="0"/>
    <n v="0"/>
    <x v="14"/>
    <n v="460.90000000000003"/>
  </r>
  <r>
    <n v="15272428809"/>
    <n v="54"/>
    <m/>
    <x v="10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05"/>
    <n v="228"/>
    <n v="18.2"/>
    <n v="0"/>
    <n v="14.4596"/>
    <n v="4149.6000000000004"/>
    <n v="41"/>
    <s v="PRFL.00.0025"/>
    <n v="0"/>
    <n v="0"/>
    <s v="HENRIQUE"/>
    <m/>
    <m/>
    <m/>
    <d v="2021-10-30T16:43:00"/>
    <n v="0"/>
    <n v="0"/>
    <x v="5"/>
    <n v="136.79999999999998"/>
  </r>
  <r>
    <n v="15272428809"/>
    <n v="54"/>
    <m/>
    <x v="10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15"/>
    <n v="60"/>
    <n v="8"/>
    <n v="0"/>
    <n v="14.4596"/>
    <n v="480"/>
    <n v="41"/>
    <s v="PRFL.00.0026"/>
    <n v="0"/>
    <n v="0"/>
    <s v="HENRIQUE"/>
    <m/>
    <m/>
    <m/>
    <d v="2021-10-30T16:43:00"/>
    <n v="0"/>
    <n v="0"/>
    <x v="16"/>
    <n v="85.199999999999989"/>
  </r>
  <r>
    <n v="15272428809"/>
    <n v="54"/>
    <m/>
    <x v="10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6"/>
    <n v="115"/>
    <n v="9.5"/>
    <n v="0"/>
    <n v="14.4596"/>
    <n v="1092.5"/>
    <n v="41"/>
    <s v="PRFL.00.0026"/>
    <n v="0"/>
    <n v="0"/>
    <s v="HENRIQUE"/>
    <m/>
    <m/>
    <m/>
    <d v="2021-10-30T16:43:00"/>
    <n v="0"/>
    <n v="0"/>
    <x v="0"/>
    <n v="57.5"/>
  </r>
  <r>
    <n v="15272428809"/>
    <n v="54"/>
    <m/>
    <x v="10"/>
    <n v="15179581888"/>
    <x v="1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2"/>
    <n v="958"/>
    <n v="17.8"/>
    <n v="0"/>
    <n v="14.4596"/>
    <n v="17052.400000000001"/>
    <n v="41"/>
    <s v="PRFL.00.0026"/>
    <n v="0"/>
    <n v="0"/>
    <s v="HENRIQUE"/>
    <m/>
    <m/>
    <m/>
    <d v="2021-10-30T16:43:00"/>
    <n v="0"/>
    <n v="0"/>
    <x v="6"/>
    <n v="258.66000000000003"/>
  </r>
  <r>
    <n v="15272428809"/>
    <n v="54"/>
    <m/>
    <x v="10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67005"/>
    <s v="Produto 01"/>
    <n v="1"/>
    <n v="17.899999999999999"/>
    <n v="0"/>
    <n v="13.763999999999999"/>
    <n v="17.899999999999999"/>
    <n v="41"/>
    <s v="PRFL.00.0008"/>
    <n v="0"/>
    <n v="0"/>
    <s v="HENRIQUE"/>
    <m/>
    <m/>
    <m/>
    <d v="2021-10-30T16:43:00"/>
    <n v="0"/>
    <n v="0"/>
    <x v="7"/>
    <n v="0.4"/>
  </r>
  <r>
    <n v="15272428809"/>
    <n v="54"/>
    <m/>
    <x v="10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6"/>
    <n v="1061"/>
    <n v="18.2"/>
    <n v="0"/>
    <n v="14.4596"/>
    <n v="19310.2"/>
    <n v="41"/>
    <s v="PRFL.00.0026"/>
    <n v="0"/>
    <n v="0"/>
    <s v="HENRIQUE"/>
    <m/>
    <m/>
    <m/>
    <d v="2021-10-30T16:43:00"/>
    <n v="0"/>
    <n v="0"/>
    <x v="0"/>
    <n v="530.5"/>
  </r>
  <r>
    <n v="15272428809"/>
    <n v="54"/>
    <m/>
    <x v="10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86084"/>
    <s v="Produto 09"/>
    <n v="2"/>
    <n v="10"/>
    <n v="0"/>
    <n v="15.996"/>
    <n v="20"/>
    <n v="41"/>
    <s v="PRFL.00.0009"/>
    <n v="0"/>
    <n v="0"/>
    <s v="HENRIQUE"/>
    <m/>
    <m/>
    <m/>
    <d v="2021-10-30T16:43:00"/>
    <n v="0"/>
    <n v="0"/>
    <x v="4"/>
    <n v="2.2000000000000002"/>
  </r>
  <r>
    <n v="15272428809"/>
    <n v="54"/>
    <m/>
    <x v="10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86084"/>
    <s v="Produto 09"/>
    <n v="32"/>
    <n v="11"/>
    <n v="0"/>
    <n v="15.996"/>
    <n v="352"/>
    <n v="41"/>
    <s v="PRFL.00.0009"/>
    <n v="0"/>
    <n v="0"/>
    <s v="HENRIQUE"/>
    <m/>
    <m/>
    <m/>
    <d v="2021-10-30T16:43:00"/>
    <n v="0"/>
    <n v="0"/>
    <x v="4"/>
    <n v="35.200000000000003"/>
  </r>
  <r>
    <n v="15272428809"/>
    <n v="54"/>
    <m/>
    <x v="10"/>
    <n v="15179581888"/>
    <x v="1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15"/>
    <n v="900"/>
    <n v="20.6"/>
    <n v="0"/>
    <n v="16.804400000000001"/>
    <n v="18540"/>
    <n v="41"/>
    <s v="PRFL.00.0027"/>
    <n v="0"/>
    <n v="0"/>
    <s v="HENRIQUE"/>
    <m/>
    <m/>
    <m/>
    <d v="2021-10-30T16:43:00"/>
    <n v="0"/>
    <n v="0"/>
    <x v="16"/>
    <n v="1278"/>
  </r>
  <r>
    <n v="15272428809"/>
    <n v="54"/>
    <m/>
    <x v="10"/>
    <n v="15179581888"/>
    <x v="1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8"/>
    <n v="5"/>
    <n v="20.9"/>
    <n v="0"/>
    <n v="16.804400000000001"/>
    <n v="104.5"/>
    <n v="41"/>
    <s v="PRFL.00.0027"/>
    <n v="0"/>
    <n v="0"/>
    <s v="HENRIQUE"/>
    <m/>
    <m/>
    <m/>
    <d v="2021-10-30T16:43:00"/>
    <n v="0"/>
    <n v="0"/>
    <x v="14"/>
    <n v="5.5"/>
  </r>
  <r>
    <n v="15272428809"/>
    <n v="54"/>
    <m/>
    <x v="10"/>
    <n v="15179581888"/>
    <x v="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86084"/>
    <s v="Produto 07"/>
    <n v="505"/>
    <n v="21.3"/>
    <n v="0"/>
    <n v="15.996"/>
    <n v="10756.5"/>
    <n v="41"/>
    <s v="PRFL.00.0009"/>
    <n v="0"/>
    <n v="0"/>
    <s v="HENRIQUE"/>
    <m/>
    <m/>
    <m/>
    <d v="2021-10-30T16:43:00"/>
    <n v="0"/>
    <n v="0"/>
    <x v="12"/>
    <n v="555.5"/>
  </r>
  <r>
    <n v="15272428809"/>
    <n v="54"/>
    <m/>
    <x v="10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139667431"/>
    <s v="Produto 05"/>
    <n v="20"/>
    <n v="20.25"/>
    <n v="0"/>
    <n v="0"/>
    <n v="405"/>
    <n v="41"/>
    <s v="PRFL.00.0028"/>
    <n v="0"/>
    <n v="0"/>
    <s v="HENRIQUE"/>
    <m/>
    <m/>
    <m/>
    <d v="2021-10-30T16:43:00"/>
    <n v="0"/>
    <n v="0"/>
    <x v="5"/>
    <n v="12"/>
  </r>
  <r>
    <n v="15272428809"/>
    <n v="54"/>
    <m/>
    <x v="10"/>
    <n v="15179581888"/>
    <x v="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139727614"/>
    <s v="Produto 02"/>
    <n v="80"/>
    <n v="22.85"/>
    <n v="0"/>
    <n v="0"/>
    <n v="1828"/>
    <n v="41"/>
    <s v="PRFL.00.0029"/>
    <n v="0"/>
    <n v="0"/>
    <s v="HENRIQUE"/>
    <m/>
    <m/>
    <m/>
    <d v="2021-10-30T16:43:00"/>
    <n v="0"/>
    <n v="0"/>
    <x v="6"/>
    <n v="21.6"/>
  </r>
  <r>
    <n v="15279897466"/>
    <n v="62"/>
    <m/>
    <x v="10"/>
    <n v="15279322250"/>
    <x v="10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911944"/>
    <s v="Produto 15"/>
    <n v="500"/>
    <n v="13.9"/>
    <n v="0"/>
    <n v="10.285"/>
    <n v="6950"/>
    <n v="68"/>
    <s v="PRFL.00.0010"/>
    <n v="0"/>
    <n v="0"/>
    <m/>
    <m/>
    <m/>
    <m/>
    <d v="2021-10-30T11:26:00"/>
    <n v="0"/>
    <n v="0"/>
    <x v="16"/>
    <n v="710"/>
  </r>
  <r>
    <n v="15279897466"/>
    <n v="62"/>
    <m/>
    <x v="10"/>
    <n v="15279322250"/>
    <x v="14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3939"/>
    <s v="Produto 13"/>
    <n v="1000"/>
    <n v="13.45"/>
    <n v="0"/>
    <n v="10.747"/>
    <n v="13450"/>
    <n v="68"/>
    <s v="PRFL.00.0019"/>
    <n v="0"/>
    <n v="0"/>
    <m/>
    <m/>
    <m/>
    <m/>
    <d v="2021-10-30T11:26:00"/>
    <n v="0"/>
    <n v="0"/>
    <x v="2"/>
    <n v="1400"/>
  </r>
  <r>
    <n v="15279897466"/>
    <n v="62"/>
    <m/>
    <x v="10"/>
    <n v="15279322250"/>
    <x v="2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918644"/>
    <s v="Produto 03"/>
    <n v="300"/>
    <n v="8.1999999999999993"/>
    <n v="0"/>
    <n v="5.61"/>
    <n v="2460"/>
    <n v="68"/>
    <s v="PRFL.00.0011"/>
    <n v="0"/>
    <n v="0"/>
    <m/>
    <m/>
    <m/>
    <m/>
    <d v="2021-10-30T11:26:00"/>
    <n v="0"/>
    <n v="0"/>
    <x v="13"/>
    <n v="180"/>
  </r>
  <r>
    <n v="15279897466"/>
    <n v="62"/>
    <m/>
    <x v="10"/>
    <n v="15279322250"/>
    <x v="13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353721"/>
    <s v="Produto 07"/>
    <n v="700"/>
    <n v="7.8"/>
    <n v="0"/>
    <n v="5.58"/>
    <n v="5460"/>
    <n v="68"/>
    <s v="PRFL.00.0002"/>
    <n v="0"/>
    <n v="0"/>
    <m/>
    <m/>
    <m/>
    <m/>
    <d v="2021-10-30T11:26:00"/>
    <n v="0"/>
    <n v="0"/>
    <x v="12"/>
    <n v="770.00000000000011"/>
  </r>
  <r>
    <n v="15279897466"/>
    <n v="62"/>
    <m/>
    <x v="10"/>
    <n v="15279322250"/>
    <x v="14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80333"/>
    <s v="Produto 05"/>
    <n v="200"/>
    <n v="14.1"/>
    <n v="0"/>
    <n v="10.747"/>
    <n v="2820"/>
    <n v="68"/>
    <s v="PRFL.00.0024"/>
    <n v="0"/>
    <n v="0"/>
    <m/>
    <m/>
    <m/>
    <m/>
    <d v="2021-10-30T11:26:00"/>
    <n v="0"/>
    <n v="0"/>
    <x v="5"/>
    <n v="120"/>
  </r>
  <r>
    <n v="15279897466"/>
    <n v="62"/>
    <m/>
    <x v="10"/>
    <n v="15279322250"/>
    <x v="5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01"/>
    <n v="200"/>
    <n v="18.2"/>
    <n v="0"/>
    <n v="14.4596"/>
    <n v="3640"/>
    <n v="68"/>
    <s v="PRFL.00.0026"/>
    <n v="0"/>
    <n v="0"/>
    <m/>
    <m/>
    <m/>
    <m/>
    <d v="2021-10-30T11:26:00"/>
    <n v="0"/>
    <n v="0"/>
    <x v="7"/>
    <n v="80"/>
  </r>
  <r>
    <n v="15279897466"/>
    <n v="62"/>
    <m/>
    <x v="10"/>
    <n v="15279322250"/>
    <x v="7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09"/>
    <n v="400"/>
    <n v="18"/>
    <n v="0"/>
    <n v="14.4596"/>
    <n v="7200"/>
    <n v="68"/>
    <s v="PRFL.00.0026"/>
    <n v="0"/>
    <n v="0"/>
    <m/>
    <m/>
    <m/>
    <m/>
    <d v="2021-10-30T11:26:00"/>
    <n v="0"/>
    <n v="0"/>
    <x v="4"/>
    <n v="440.00000000000006"/>
  </r>
  <r>
    <n v="15279897466"/>
    <n v="62"/>
    <m/>
    <x v="10"/>
    <n v="15279322250"/>
    <x v="12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886084"/>
    <s v="Produto 06"/>
    <n v="100"/>
    <n v="21.3"/>
    <n v="0"/>
    <n v="15.996"/>
    <n v="2130"/>
    <n v="68"/>
    <s v="PRFL.00.0009"/>
    <n v="0"/>
    <n v="0"/>
    <m/>
    <m/>
    <m/>
    <m/>
    <d v="2021-10-30T11:26:00"/>
    <n v="0"/>
    <n v="0"/>
    <x v="0"/>
    <n v="50"/>
  </r>
  <r>
    <n v="15279897466"/>
    <n v="62"/>
    <m/>
    <x v="10"/>
    <n v="15279322250"/>
    <x v="3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9089"/>
    <s v="Produto 14"/>
    <n v="500"/>
    <n v="20.95"/>
    <n v="0"/>
    <n v="16.804400000000001"/>
    <n v="10475"/>
    <n v="68"/>
    <s v="PRFL.00.0027"/>
    <n v="0"/>
    <n v="0"/>
    <m/>
    <m/>
    <m/>
    <m/>
    <d v="2021-10-30T11:26:00"/>
    <n v="0"/>
    <n v="0"/>
    <x v="1"/>
    <n v="700"/>
  </r>
  <r>
    <n v="15289099477"/>
    <n v="72"/>
    <m/>
    <x v="10"/>
    <n v="15295545217"/>
    <x v="0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911944"/>
    <s v="Produto 04"/>
    <n v="500"/>
    <n v="13.65"/>
    <n v="0"/>
    <n v="10.285"/>
    <n v="6825"/>
    <n v="78"/>
    <s v="PRFL.00.0010"/>
    <n v="0"/>
    <n v="0"/>
    <m/>
    <m/>
    <m/>
    <m/>
    <d v="2021-10-30T08:42:00"/>
    <n v="0"/>
    <n v="0"/>
    <x v="10"/>
    <n v="300"/>
  </r>
  <r>
    <n v="15289099477"/>
    <n v="72"/>
    <m/>
    <x v="10"/>
    <n v="15295545217"/>
    <x v="19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511068"/>
    <s v="Produto 01"/>
    <n v="150"/>
    <n v="16.2"/>
    <n v="0"/>
    <n v="10.23"/>
    <n v="2430"/>
    <n v="78"/>
    <s v="PRFL.00.0005"/>
    <n v="0"/>
    <n v="0"/>
    <m/>
    <m/>
    <m/>
    <m/>
    <d v="2021-10-30T08:42:00"/>
    <n v="0"/>
    <n v="0"/>
    <x v="7"/>
    <n v="60"/>
  </r>
  <r>
    <n v="15289099477"/>
    <n v="72"/>
    <m/>
    <x v="10"/>
    <n v="15295545217"/>
    <x v="19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964159"/>
    <s v="Produto 01"/>
    <n v="200"/>
    <n v="16.100000000000001"/>
    <n v="0"/>
    <n v="10.285"/>
    <n v="3220"/>
    <n v="78"/>
    <s v="PRFL.00.0014"/>
    <n v="0"/>
    <n v="0"/>
    <m/>
    <m/>
    <m/>
    <m/>
    <d v="2021-10-30T08:42:00"/>
    <n v="0"/>
    <n v="0"/>
    <x v="7"/>
    <n v="80"/>
  </r>
  <r>
    <n v="15289099477"/>
    <n v="72"/>
    <m/>
    <x v="10"/>
    <n v="15295545217"/>
    <x v="17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918644"/>
    <s v="Produto 04"/>
    <n v="100"/>
    <n v="7.9"/>
    <n v="0"/>
    <n v="5.61"/>
    <n v="790"/>
    <n v="78"/>
    <s v="PRFL.00.0011"/>
    <n v="0"/>
    <n v="0"/>
    <m/>
    <m/>
    <m/>
    <m/>
    <d v="2021-10-30T08:42:00"/>
    <n v="0"/>
    <n v="0"/>
    <x v="10"/>
    <n v="60"/>
  </r>
  <r>
    <n v="15289099477"/>
    <n v="72"/>
    <m/>
    <x v="10"/>
    <n v="15295545217"/>
    <x v="10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80333"/>
    <s v="Produto 08"/>
    <n v="500"/>
    <n v="15"/>
    <n v="0"/>
    <n v="10.747"/>
    <n v="7500"/>
    <n v="78"/>
    <s v="PRFL.00.0024"/>
    <n v="0"/>
    <n v="0"/>
    <m/>
    <m/>
    <m/>
    <m/>
    <d v="2021-10-30T08:42:00"/>
    <n v="0"/>
    <n v="0"/>
    <x v="14"/>
    <n v="550"/>
  </r>
  <r>
    <n v="15289099477"/>
    <n v="72"/>
    <m/>
    <x v="10"/>
    <n v="15295545217"/>
    <x v="19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3155"/>
    <s v="Produto 04"/>
    <n v="200"/>
    <n v="18.100000000000001"/>
    <n v="0"/>
    <n v="14.4596"/>
    <n v="3620"/>
    <n v="78"/>
    <s v="PRFL.00.0026"/>
    <n v="0"/>
    <n v="0"/>
    <m/>
    <m/>
    <m/>
    <m/>
    <d v="2021-10-30T08:42:00"/>
    <n v="0"/>
    <n v="0"/>
    <x v="10"/>
    <n v="120"/>
  </r>
  <r>
    <n v="15289099477"/>
    <n v="72"/>
    <m/>
    <x v="10"/>
    <n v="15295545217"/>
    <x v="2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3155"/>
    <s v="Produto 01"/>
    <n v="300"/>
    <n v="18.14"/>
    <n v="0"/>
    <n v="14.4596"/>
    <n v="5442"/>
    <n v="78"/>
    <s v="PRFL.00.0026"/>
    <n v="0"/>
    <n v="0"/>
    <m/>
    <m/>
    <m/>
    <m/>
    <d v="2021-10-30T08:42:00"/>
    <n v="0"/>
    <n v="0"/>
    <x v="7"/>
    <n v="120"/>
  </r>
  <r>
    <n v="15289099477"/>
    <n v="72"/>
    <m/>
    <x v="10"/>
    <n v="15295545217"/>
    <x v="18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3155"/>
    <s v="Produto 16"/>
    <n v="100"/>
    <n v="16.93"/>
    <n v="0"/>
    <n v="14.4596"/>
    <n v="1693"/>
    <n v="78"/>
    <s v="PRFL.00.0026"/>
    <n v="0"/>
    <n v="0"/>
    <m/>
    <m/>
    <m/>
    <m/>
    <d v="2021-10-30T08:42:00"/>
    <n v="0"/>
    <n v="0"/>
    <x v="9"/>
    <n v="127"/>
  </r>
  <r>
    <n v="15289099477"/>
    <n v="72"/>
    <m/>
    <x v="10"/>
    <n v="15295545217"/>
    <x v="6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9089"/>
    <s v="Produto 04"/>
    <n v="80"/>
    <n v="21.2"/>
    <n v="0"/>
    <n v="16.804400000000001"/>
    <n v="1696"/>
    <n v="78"/>
    <s v="PRFL.00.0027"/>
    <n v="0"/>
    <n v="0"/>
    <m/>
    <m/>
    <m/>
    <m/>
    <d v="2021-10-30T08:42:00"/>
    <n v="0"/>
    <n v="0"/>
    <x v="10"/>
    <n v="48"/>
  </r>
  <r>
    <n v="15289099477"/>
    <n v="72"/>
    <m/>
    <x v="10"/>
    <n v="15295545217"/>
    <x v="5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918644"/>
    <s v="Produto 09"/>
    <n v="300"/>
    <n v="7.9"/>
    <n v="0"/>
    <n v="5.61"/>
    <n v="2370"/>
    <n v="78"/>
    <s v="PRFL.00.0011"/>
    <n v="0"/>
    <n v="0"/>
    <m/>
    <m/>
    <m/>
    <m/>
    <d v="2021-10-30T08:42:00"/>
    <n v="0"/>
    <n v="0"/>
    <x v="4"/>
    <n v="330"/>
  </r>
  <r>
    <n v="15289099477"/>
    <n v="72"/>
    <m/>
    <x v="10"/>
    <n v="15295545217"/>
    <x v="17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746121"/>
    <s v="Produto 08"/>
    <n v="66"/>
    <n v="18.14"/>
    <n v="0"/>
    <n v="13.763999999999999"/>
    <n v="1197.24"/>
    <n v="78"/>
    <s v="PRFL.00.0007"/>
    <n v="0"/>
    <n v="0"/>
    <m/>
    <m/>
    <m/>
    <m/>
    <d v="2021-10-30T08:42:00"/>
    <n v="0"/>
    <n v="0"/>
    <x v="14"/>
    <n v="72.600000000000009"/>
  </r>
  <r>
    <n v="15289099477"/>
    <n v="72"/>
    <m/>
    <x v="10"/>
    <n v="15295545217"/>
    <x v="10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87271"/>
    <s v="Produto 03"/>
    <n v="14"/>
    <n v="18.14"/>
    <n v="0"/>
    <n v="14.4596"/>
    <n v="253.96"/>
    <n v="78"/>
    <s v="PRFL.00.0025"/>
    <n v="0"/>
    <n v="0"/>
    <m/>
    <m/>
    <m/>
    <m/>
    <d v="2021-10-30T08:42:00"/>
    <n v="0"/>
    <n v="0"/>
    <x v="13"/>
    <n v="8.4"/>
  </r>
  <r>
    <n v="15289099477"/>
    <n v="72"/>
    <m/>
    <x v="10"/>
    <n v="15295545217"/>
    <x v="8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9089"/>
    <s v="Produto 05"/>
    <n v="194"/>
    <n v="21.1"/>
    <n v="0"/>
    <n v="16.804400000000001"/>
    <n v="4093.4"/>
    <n v="78"/>
    <s v="PRFL.00.0027"/>
    <n v="0"/>
    <n v="0"/>
    <m/>
    <m/>
    <m/>
    <m/>
    <d v="2021-10-30T08:42:00"/>
    <n v="0"/>
    <n v="0"/>
    <x v="5"/>
    <n v="116.39999999999999"/>
  </r>
  <r>
    <n v="15289099477"/>
    <n v="72"/>
    <m/>
    <x v="10"/>
    <n v="15295545217"/>
    <x v="2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886084"/>
    <s v="Produto 10"/>
    <n v="6"/>
    <n v="21.1"/>
    <n v="0"/>
    <n v="15.996"/>
    <n v="126.6"/>
    <n v="78"/>
    <s v="PRFL.00.0009"/>
    <n v="0"/>
    <n v="0"/>
    <m/>
    <m/>
    <m/>
    <m/>
    <d v="2021-10-30T08:42:00"/>
    <n v="0"/>
    <n v="0"/>
    <x v="3"/>
    <n v="6.6000000000000005"/>
  </r>
  <r>
    <n v="15290067584"/>
    <n v="75"/>
    <m/>
    <x v="10"/>
    <n v="15179724225"/>
    <x v="8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085610"/>
    <s v="Produto 04"/>
    <n v="30"/>
    <n v="14.25"/>
    <n v="0"/>
    <n v="10.23"/>
    <n v="427.5"/>
    <n v="47"/>
    <s v="PRFL.00.0001"/>
    <n v="0"/>
    <n v="0"/>
    <m/>
    <m/>
    <m/>
    <m/>
    <d v="2021-10-30T08:42:00"/>
    <n v="0"/>
    <n v="0"/>
    <x v="10"/>
    <n v="18"/>
  </r>
  <r>
    <n v="15290067584"/>
    <n v="75"/>
    <m/>
    <x v="10"/>
    <n v="15179724225"/>
    <x v="8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511068"/>
    <s v="Produto 10"/>
    <n v="20"/>
    <n v="16.7"/>
    <n v="0"/>
    <n v="10.23"/>
    <n v="334"/>
    <n v="47"/>
    <s v="PRFL.00.0005"/>
    <n v="0"/>
    <n v="0"/>
    <m/>
    <m/>
    <m/>
    <m/>
    <d v="2021-10-30T08:42:00"/>
    <n v="0"/>
    <n v="0"/>
    <x v="3"/>
    <n v="22"/>
  </r>
  <r>
    <n v="15290067584"/>
    <n v="75"/>
    <m/>
    <x v="10"/>
    <n v="15179724225"/>
    <x v="7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93155"/>
    <s v="Produto 15"/>
    <n v="25"/>
    <n v="18.649999999999999"/>
    <n v="0"/>
    <n v="14.4596"/>
    <n v="466.25"/>
    <n v="47"/>
    <s v="PRFL.00.0026"/>
    <n v="0"/>
    <n v="0"/>
    <m/>
    <m/>
    <m/>
    <m/>
    <d v="2021-10-30T08:42:00"/>
    <n v="0"/>
    <n v="0"/>
    <x v="16"/>
    <n v="35.5"/>
  </r>
  <r>
    <n v="15290067584"/>
    <n v="75"/>
    <m/>
    <x v="10"/>
    <n v="15179724225"/>
    <x v="13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99089"/>
    <s v="Produto 13"/>
    <n v="60"/>
    <n v="21.75"/>
    <n v="0"/>
    <n v="16.804400000000001"/>
    <n v="1305"/>
    <n v="47"/>
    <s v="PRFL.00.0027"/>
    <n v="0"/>
    <n v="0"/>
    <m/>
    <m/>
    <m/>
    <m/>
    <d v="2021-10-30T08:42:00"/>
    <n v="0"/>
    <n v="0"/>
    <x v="2"/>
    <n v="84"/>
  </r>
  <r>
    <n v="15290067584"/>
    <n v="75"/>
    <m/>
    <x v="10"/>
    <n v="15179724225"/>
    <x v="3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80333"/>
    <s v="Produto 09"/>
    <n v="10"/>
    <n v="15.5"/>
    <n v="0"/>
    <n v="10.747"/>
    <n v="155"/>
    <n v="47"/>
    <s v="PRFL.00.0024"/>
    <n v="0"/>
    <n v="0"/>
    <m/>
    <m/>
    <m/>
    <m/>
    <d v="2021-10-30T08:42:00"/>
    <n v="0"/>
    <n v="0"/>
    <x v="4"/>
    <n v="11"/>
  </r>
  <r>
    <n v="15291481722"/>
    <n v="89"/>
    <m/>
    <x v="10"/>
    <n v="15179746175"/>
    <x v="11"/>
    <s v="27.774.006/0001-72"/>
    <s v="R JOSE LINHARES, 145"/>
    <s v="MONTE ALEGRE"/>
    <s v="TELEMACO BORBA"/>
    <n v="84266280"/>
    <s v="PR"/>
    <m/>
    <m/>
    <n v="0"/>
    <n v="0"/>
    <m/>
    <s v="Atendido"/>
    <n v="15016043939"/>
    <s v="Produto 12"/>
    <n v="1000"/>
    <n v="13.6"/>
    <n v="0"/>
    <n v="10.747"/>
    <n v="13600"/>
    <n v="48"/>
    <s v="PRFL.00.0019"/>
    <n v="0"/>
    <n v="0"/>
    <m/>
    <m/>
    <m/>
    <m/>
    <d v="2021-10-30T08:42:00"/>
    <n v="0"/>
    <n v="0"/>
    <x v="15"/>
    <n v="1400"/>
  </r>
  <r>
    <n v="15291481722"/>
    <n v="89"/>
    <m/>
    <x v="10"/>
    <n v="15179746175"/>
    <x v="13"/>
    <s v="27.774.006/0001-72"/>
    <s v="R JOSE LINHARES, 145"/>
    <s v="MONTE ALEGRE"/>
    <s v="TELEMACO BORBA"/>
    <n v="84266280"/>
    <s v="PR"/>
    <m/>
    <m/>
    <n v="0"/>
    <n v="0"/>
    <m/>
    <s v="Atendido"/>
    <n v="15016073255"/>
    <s v="Produto 09"/>
    <n v="300"/>
    <n v="16.2"/>
    <n v="0"/>
    <n v="10.747"/>
    <n v="4860"/>
    <n v="48"/>
    <s v="PRFL.00.0023"/>
    <n v="0"/>
    <n v="0"/>
    <m/>
    <m/>
    <m/>
    <m/>
    <d v="2021-10-30T08:42:00"/>
    <n v="0"/>
    <n v="0"/>
    <x v="4"/>
    <n v="330"/>
  </r>
  <r>
    <n v="15291481722"/>
    <n v="89"/>
    <m/>
    <x v="10"/>
    <n v="15179746175"/>
    <x v="2"/>
    <s v="27.774.006/0001-72"/>
    <s v="R JOSE LINHARES, 145"/>
    <s v="MONTE ALEGRE"/>
    <s v="TELEMACO BORBA"/>
    <n v="84266280"/>
    <s v="PR"/>
    <m/>
    <m/>
    <n v="0"/>
    <n v="0"/>
    <m/>
    <s v="Atendido"/>
    <n v="15016080333"/>
    <s v="Produto 08"/>
    <n v="50"/>
    <n v="15.2"/>
    <n v="0"/>
    <n v="10.747"/>
    <n v="760"/>
    <n v="48"/>
    <s v="PRFL.00.0024"/>
    <n v="0"/>
    <n v="0"/>
    <m/>
    <m/>
    <m/>
    <m/>
    <d v="2021-10-30T08:42:00"/>
    <n v="0"/>
    <n v="0"/>
    <x v="14"/>
    <n v="55.000000000000007"/>
  </r>
  <r>
    <n v="15291481722"/>
    <n v="89"/>
    <m/>
    <x v="10"/>
    <n v="15179746175"/>
    <x v="3"/>
    <s v="27.774.006/0001-72"/>
    <s v="R JOSE LINHARES, 145"/>
    <s v="MONTE ALEGRE"/>
    <s v="TELEMACO BORBA"/>
    <n v="84266280"/>
    <s v="PR"/>
    <m/>
    <m/>
    <n v="0"/>
    <n v="0"/>
    <m/>
    <s v="Atendido"/>
    <n v="15016093155"/>
    <s v="Produto 05"/>
    <n v="100"/>
    <n v="18.2"/>
    <n v="0"/>
    <n v="14.4596"/>
    <n v="1820"/>
    <n v="48"/>
    <s v="PRFL.00.0026"/>
    <n v="0"/>
    <n v="0"/>
    <m/>
    <m/>
    <m/>
    <m/>
    <d v="2021-10-30T08:42:00"/>
    <n v="0"/>
    <n v="0"/>
    <x v="5"/>
    <n v="60"/>
  </r>
  <r>
    <n v="15291481722"/>
    <n v="89"/>
    <m/>
    <x v="10"/>
    <n v="15179746175"/>
    <x v="4"/>
    <s v="27.774.006/0001-72"/>
    <s v="R JOSE LINHARES, 145"/>
    <s v="MONTE ALEGRE"/>
    <s v="TELEMACO BORBA"/>
    <n v="84266280"/>
    <s v="PR"/>
    <m/>
    <m/>
    <n v="0"/>
    <n v="0"/>
    <m/>
    <s v="Atendido"/>
    <n v="15016093155"/>
    <s v="Produto 16"/>
    <n v="100"/>
    <n v="16.38"/>
    <n v="0"/>
    <n v="14.4596"/>
    <n v="1638"/>
    <n v="48"/>
    <s v="PRFL.00.0026"/>
    <n v="0"/>
    <n v="0"/>
    <m/>
    <m/>
    <m/>
    <m/>
    <d v="2021-10-30T08:42:00"/>
    <n v="0"/>
    <n v="0"/>
    <x v="9"/>
    <n v="127"/>
  </r>
  <r>
    <n v="15291481722"/>
    <n v="89"/>
    <m/>
    <x v="10"/>
    <n v="15179746175"/>
    <x v="19"/>
    <s v="27.774.006/0001-72"/>
    <s v="R JOSE LINHARES, 145"/>
    <s v="MONTE ALEGRE"/>
    <s v="TELEMACO BORBA"/>
    <n v="84266280"/>
    <s v="PR"/>
    <m/>
    <m/>
    <n v="0"/>
    <n v="0"/>
    <m/>
    <s v="Atendido"/>
    <n v="15016087271"/>
    <s v="Produto 14"/>
    <n v="50"/>
    <n v="18.2"/>
    <n v="0"/>
    <n v="14.4596"/>
    <n v="910"/>
    <n v="48"/>
    <s v="PRFL.00.0025"/>
    <n v="0"/>
    <n v="0"/>
    <m/>
    <m/>
    <m/>
    <m/>
    <d v="2021-10-30T08:42:00"/>
    <n v="0"/>
    <n v="0"/>
    <x v="1"/>
    <n v="70"/>
  </r>
  <r>
    <n v="15291481722"/>
    <n v="89"/>
    <m/>
    <x v="10"/>
    <n v="15179746175"/>
    <x v="7"/>
    <s v="27.774.006/0001-72"/>
    <s v="R JOSE LINHARES, 145"/>
    <s v="MONTE ALEGRE"/>
    <s v="TELEMACO BORBA"/>
    <n v="84266280"/>
    <s v="PR"/>
    <m/>
    <m/>
    <n v="0"/>
    <n v="0"/>
    <m/>
    <s v="Atendido"/>
    <n v="15016099089"/>
    <s v="Produto 11"/>
    <n v="100"/>
    <n v="21.3"/>
    <n v="0"/>
    <n v="16.804400000000001"/>
    <n v="2130"/>
    <n v="48"/>
    <s v="PRFL.00.0027"/>
    <n v="0"/>
    <n v="0"/>
    <m/>
    <m/>
    <m/>
    <m/>
    <d v="2021-10-30T08:42:00"/>
    <n v="0"/>
    <n v="0"/>
    <x v="11"/>
    <n v="110.00000000000001"/>
  </r>
  <r>
    <n v="15291481722"/>
    <n v="89"/>
    <m/>
    <x v="10"/>
    <n v="15179746175"/>
    <x v="15"/>
    <s v="27.774.006/0001-72"/>
    <s v="R JOSE LINHARES, 145"/>
    <s v="MONTE ALEGRE"/>
    <s v="TELEMACO BORBA"/>
    <n v="84266280"/>
    <s v="PR"/>
    <m/>
    <m/>
    <n v="0"/>
    <n v="0"/>
    <m/>
    <s v="Atendido"/>
    <n v="15015918644"/>
    <s v="Produto 08"/>
    <n v="300"/>
    <n v="8.1"/>
    <n v="0"/>
    <n v="5.61"/>
    <n v="2430"/>
    <n v="48"/>
    <s v="PRFL.00.0011"/>
    <n v="0"/>
    <n v="0"/>
    <m/>
    <m/>
    <m/>
    <m/>
    <d v="2021-10-30T08:42:00"/>
    <n v="0"/>
    <n v="0"/>
    <x v="14"/>
    <n v="330"/>
  </r>
  <r>
    <n v="15293282615"/>
    <n v="98"/>
    <m/>
    <x v="10"/>
    <n v="15291803674"/>
    <x v="13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99089"/>
    <s v="Produto 17"/>
    <n v="1500"/>
    <n v="20.95"/>
    <n v="0"/>
    <n v="16.804400000000001"/>
    <n v="31425"/>
    <n v="73"/>
    <s v="PRFL.00.0027"/>
    <n v="0"/>
    <n v="0"/>
    <m/>
    <m/>
    <m/>
    <m/>
    <d v="2021-10-30T08:42:00"/>
    <n v="0"/>
    <n v="0"/>
    <x v="8"/>
    <n v="2130"/>
  </r>
  <r>
    <n v="15293282615"/>
    <n v="98"/>
    <m/>
    <x v="10"/>
    <n v="15291803674"/>
    <x v="1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99089"/>
    <s v="Produto 03"/>
    <n v="600"/>
    <n v="19.170000000000002"/>
    <n v="0"/>
    <n v="16.804400000000001"/>
    <n v="11502"/>
    <n v="73"/>
    <s v="PRFL.00.0027"/>
    <n v="0"/>
    <n v="0"/>
    <m/>
    <m/>
    <m/>
    <m/>
    <d v="2021-10-30T08:42:00"/>
    <n v="0"/>
    <n v="0"/>
    <x v="13"/>
    <n v="360"/>
  </r>
  <r>
    <n v="15293282615"/>
    <n v="98"/>
    <m/>
    <x v="10"/>
    <n v="15291803674"/>
    <x v="18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87271"/>
    <s v="Produto 15"/>
    <n v="300"/>
    <n v="17.989999999999998"/>
    <n v="0"/>
    <n v="14.4596"/>
    <n v="5397"/>
    <n v="73"/>
    <s v="PRFL.00.0025"/>
    <n v="0"/>
    <n v="0"/>
    <m/>
    <m/>
    <m/>
    <m/>
    <d v="2021-10-30T08:42:00"/>
    <n v="0"/>
    <n v="0"/>
    <x v="16"/>
    <n v="426"/>
  </r>
  <r>
    <n v="15293282615"/>
    <n v="98"/>
    <m/>
    <x v="10"/>
    <n v="15291803674"/>
    <x v="11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80333"/>
    <s v="Produto 04"/>
    <n v="300"/>
    <n v="14.1"/>
    <n v="0"/>
    <n v="10.747"/>
    <n v="4230"/>
    <n v="73"/>
    <s v="PRFL.00.0024"/>
    <n v="0"/>
    <n v="0"/>
    <m/>
    <m/>
    <m/>
    <m/>
    <d v="2021-10-30T08:42:00"/>
    <n v="0"/>
    <n v="0"/>
    <x v="10"/>
    <n v="180"/>
  </r>
  <r>
    <n v="15293282615"/>
    <n v="98"/>
    <m/>
    <x v="10"/>
    <n v="15291803674"/>
    <x v="0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5918644"/>
    <s v="Produto 12"/>
    <n v="2000"/>
    <n v="7.8"/>
    <n v="0"/>
    <n v="5.61"/>
    <n v="15600"/>
    <n v="73"/>
    <s v="PRFL.00.0011"/>
    <n v="0"/>
    <n v="0"/>
    <m/>
    <m/>
    <m/>
    <m/>
    <d v="2021-10-30T08:42:00"/>
    <n v="0"/>
    <n v="0"/>
    <x v="15"/>
    <n v="2800"/>
  </r>
  <r>
    <n v="15293282615"/>
    <n v="98"/>
    <m/>
    <x v="10"/>
    <n v="15291803674"/>
    <x v="6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5911944"/>
    <s v="Produto 15"/>
    <n v="2000"/>
    <n v="13"/>
    <n v="0"/>
    <n v="10.285"/>
    <n v="26000"/>
    <n v="73"/>
    <s v="PRFL.00.0010"/>
    <n v="0"/>
    <n v="0"/>
    <m/>
    <m/>
    <m/>
    <m/>
    <d v="2021-10-30T08:42:00"/>
    <n v="0"/>
    <n v="0"/>
    <x v="16"/>
    <n v="2840"/>
  </r>
  <r>
    <n v="15295022971"/>
    <n v="104"/>
    <m/>
    <x v="10"/>
    <n v="15179803016"/>
    <x v="17"/>
    <s v="13.559.797/0001-03"/>
    <s v="AV NOE REBESCO, 1650"/>
    <s v="LAGOA"/>
    <s v="Irati"/>
    <n v="84500000"/>
    <s v="PR"/>
    <s v="Julio@Irati.com"/>
    <n v="42999250064"/>
    <n v="0"/>
    <n v="0"/>
    <m/>
    <s v="Atendido"/>
    <n v="15016043939"/>
    <s v="Produto 12"/>
    <n v="100"/>
    <n v="13.9"/>
    <n v="0"/>
    <n v="10.747"/>
    <n v="1390"/>
    <n v="50"/>
    <s v="PRFL.00.0019"/>
    <n v="0"/>
    <n v="0"/>
    <m/>
    <m/>
    <m/>
    <m/>
    <d v="2021-10-30T08:42:00"/>
    <n v="0"/>
    <n v="0"/>
    <x v="15"/>
    <n v="140"/>
  </r>
  <r>
    <n v="15295022971"/>
    <n v="104"/>
    <m/>
    <x v="10"/>
    <n v="15179803016"/>
    <x v="6"/>
    <s v="13.559.797/0001-03"/>
    <s v="AV NOE REBESCO, 1650"/>
    <s v="LAGOA"/>
    <s v="Irati"/>
    <n v="84500000"/>
    <s v="PR"/>
    <s v="Julio@Irati.com"/>
    <n v="42999250064"/>
    <n v="0"/>
    <n v="0"/>
    <m/>
    <s v="Atendido"/>
    <n v="15016073255"/>
    <s v="Produto 08"/>
    <n v="70"/>
    <n v="16.2"/>
    <n v="0"/>
    <n v="10.747"/>
    <n v="1134"/>
    <n v="50"/>
    <s v="PRFL.00.0023"/>
    <n v="0"/>
    <n v="0"/>
    <m/>
    <m/>
    <m/>
    <m/>
    <d v="2021-10-30T08:42:00"/>
    <n v="0"/>
    <n v="0"/>
    <x v="14"/>
    <n v="77"/>
  </r>
  <r>
    <n v="15295022971"/>
    <n v="104"/>
    <m/>
    <x v="10"/>
    <n v="15179803016"/>
    <x v="0"/>
    <s v="13.559.797/0001-03"/>
    <s v="AV NOE REBESCO, 1650"/>
    <s v="LAGOA"/>
    <s v="Irati"/>
    <n v="84500000"/>
    <s v="PR"/>
    <s v="Julio@Irati.com"/>
    <n v="42999250064"/>
    <n v="0"/>
    <n v="0"/>
    <m/>
    <s v="Atendido"/>
    <n v="15015353721"/>
    <s v="Produto 17"/>
    <n v="30"/>
    <n v="8.1999999999999993"/>
    <n v="0"/>
    <n v="5.58"/>
    <n v="246"/>
    <n v="50"/>
    <s v="PRFL.00.0002"/>
    <n v="0"/>
    <n v="0"/>
    <m/>
    <m/>
    <m/>
    <m/>
    <d v="2021-10-30T08:42:00"/>
    <n v="0"/>
    <n v="0"/>
    <x v="8"/>
    <n v="42.599999999999994"/>
  </r>
  <r>
    <n v="15295022971"/>
    <n v="104"/>
    <m/>
    <x v="10"/>
    <n v="15179803016"/>
    <x v="5"/>
    <s v="13.559.797/0001-03"/>
    <s v="AV NOE REBESCO, 1650"/>
    <s v="LAGOA"/>
    <s v="Irati"/>
    <n v="84500000"/>
    <s v="PR"/>
    <s v="Julio@Irati.com"/>
    <n v="42999250064"/>
    <n v="0"/>
    <n v="0"/>
    <m/>
    <s v="Atendido"/>
    <n v="15016093155"/>
    <s v="Produto 12"/>
    <n v="120"/>
    <n v="18.2"/>
    <n v="0"/>
    <n v="14.4596"/>
    <n v="2184"/>
    <n v="50"/>
    <s v="PRFL.00.0026"/>
    <n v="0"/>
    <n v="0"/>
    <m/>
    <m/>
    <m/>
    <m/>
    <d v="2021-10-30T08:42:00"/>
    <n v="0"/>
    <n v="0"/>
    <x v="15"/>
    <n v="168"/>
  </r>
  <r>
    <n v="15295022971"/>
    <n v="104"/>
    <m/>
    <x v="10"/>
    <n v="15179803016"/>
    <x v="16"/>
    <s v="13.559.797/0001-03"/>
    <s v="AV NOE REBESCO, 1650"/>
    <s v="LAGOA"/>
    <s v="Irati"/>
    <n v="84500000"/>
    <s v="PR"/>
    <s v="Julio@Irati.com"/>
    <n v="42999250064"/>
    <n v="0"/>
    <n v="0"/>
    <m/>
    <s v="Atendido"/>
    <n v="15016080333"/>
    <s v="Produto 02"/>
    <n v="40"/>
    <n v="15.2"/>
    <n v="0"/>
    <n v="10.747"/>
    <n v="608"/>
    <n v="50"/>
    <s v="PRFL.00.0024"/>
    <n v="0"/>
    <n v="0"/>
    <m/>
    <m/>
    <m/>
    <m/>
    <d v="2021-10-30T08:42:00"/>
    <n v="0"/>
    <n v="0"/>
    <x v="6"/>
    <n v="10.8"/>
  </r>
  <r>
    <n v="15332219392"/>
    <n v="119"/>
    <m/>
    <x v="10"/>
    <n v="15293238499"/>
    <x v="12"/>
    <s v="31.186.898/0001-68"/>
    <s v="R CURIO , 222, N/A"/>
    <s v="Colonia Dona Luiza"/>
    <s v="Ponta Grossa"/>
    <s v="84043-270"/>
    <s v="PR"/>
    <m/>
    <m/>
    <n v="0"/>
    <n v="0"/>
    <m/>
    <s v="Atendido"/>
    <n v="15016099089"/>
    <s v="Produto 03"/>
    <n v="250"/>
    <n v="21.75"/>
    <n v="0"/>
    <n v="16.804400000000001"/>
    <n v="5437.5"/>
    <n v="74"/>
    <s v="PRFL.00.0027"/>
    <n v="0"/>
    <n v="0"/>
    <m/>
    <m/>
    <m/>
    <m/>
    <d v="2021-10-30T08:42:00"/>
    <n v="0"/>
    <n v="0"/>
    <x v="13"/>
    <n v="150"/>
  </r>
  <r>
    <n v="15332219392"/>
    <n v="119"/>
    <m/>
    <x v="10"/>
    <n v="15293238499"/>
    <x v="11"/>
    <s v="31.186.898/0001-68"/>
    <s v="R CURIO , 222, N/A"/>
    <s v="Colonia Dona Luiza"/>
    <s v="Ponta Grossa"/>
    <s v="84043-270"/>
    <s v="PR"/>
    <m/>
    <m/>
    <n v="0"/>
    <n v="0"/>
    <m/>
    <s v="Atendido"/>
    <n v="15016087271"/>
    <s v="Produto 11"/>
    <n v="80"/>
    <n v="18.649999999999999"/>
    <n v="0"/>
    <n v="14.4596"/>
    <n v="1492"/>
    <n v="74"/>
    <s v="PRFL.00.0025"/>
    <n v="0"/>
    <n v="0"/>
    <m/>
    <m/>
    <m/>
    <m/>
    <d v="2021-10-30T08:42:00"/>
    <n v="0"/>
    <n v="0"/>
    <x v="11"/>
    <n v="88"/>
  </r>
  <r>
    <n v="15332219392"/>
    <n v="119"/>
    <m/>
    <x v="10"/>
    <n v="15293238499"/>
    <x v="7"/>
    <s v="31.186.898/0001-68"/>
    <s v="R CURIO , 222, N/A"/>
    <s v="Colonia Dona Luiza"/>
    <s v="Ponta Grossa"/>
    <s v="84043-270"/>
    <s v="PR"/>
    <m/>
    <m/>
    <n v="0"/>
    <n v="0"/>
    <m/>
    <s v="Atendido"/>
    <n v="15015918644"/>
    <s v="Produto 16"/>
    <n v="100"/>
    <n v="8.3800000000000008"/>
    <n v="0"/>
    <n v="5.61"/>
    <n v="838"/>
    <n v="74"/>
    <s v="PRFL.00.0011"/>
    <n v="0"/>
    <n v="0"/>
    <m/>
    <m/>
    <m/>
    <m/>
    <d v="2021-10-30T08:42:00"/>
    <n v="0"/>
    <n v="0"/>
    <x v="9"/>
    <n v="127"/>
  </r>
  <r>
    <n v="15332277486"/>
    <n v="120"/>
    <m/>
    <x v="10"/>
    <n v="15059073318"/>
    <x v="2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73255"/>
    <s v="Produto 13"/>
    <n v="150"/>
    <n v="16.2"/>
    <n v="0"/>
    <n v="10.747"/>
    <n v="2430"/>
    <n v="30"/>
    <s v="PRFL.00.0023"/>
    <n v="0"/>
    <n v="0"/>
    <m/>
    <m/>
    <m/>
    <m/>
    <d v="2021-10-30T08:42:00"/>
    <n v="0"/>
    <n v="0"/>
    <x v="2"/>
    <n v="210"/>
  </r>
  <r>
    <n v="15332277486"/>
    <n v="120"/>
    <m/>
    <x v="10"/>
    <n v="15059073318"/>
    <x v="2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43939"/>
    <s v="Produto 01"/>
    <n v="150"/>
    <n v="13.9"/>
    <n v="0"/>
    <n v="10.747"/>
    <n v="2085"/>
    <n v="30"/>
    <s v="PRFL.00.0019"/>
    <n v="0"/>
    <n v="0"/>
    <m/>
    <m/>
    <m/>
    <m/>
    <d v="2021-10-30T08:42:00"/>
    <n v="0"/>
    <n v="0"/>
    <x v="7"/>
    <n v="60"/>
  </r>
  <r>
    <n v="15332277486"/>
    <n v="120"/>
    <m/>
    <x v="10"/>
    <n v="15059073318"/>
    <x v="12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93155"/>
    <s v="Produto 12"/>
    <n v="100"/>
    <n v="18.399999999999999"/>
    <n v="0"/>
    <n v="14.4596"/>
    <n v="1840"/>
    <n v="30"/>
    <s v="PRFL.00.0026"/>
    <n v="0"/>
    <n v="0"/>
    <m/>
    <m/>
    <m/>
    <m/>
    <d v="2021-10-30T08:42:00"/>
    <n v="0"/>
    <n v="0"/>
    <x v="15"/>
    <n v="140"/>
  </r>
  <r>
    <n v="15332277486"/>
    <n v="120"/>
    <m/>
    <x v="10"/>
    <n v="15059073318"/>
    <x v="13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5918644"/>
    <s v="Produto 03"/>
    <n v="200"/>
    <n v="8.1999999999999993"/>
    <n v="0"/>
    <n v="5.61"/>
    <n v="1640"/>
    <n v="30"/>
    <s v="PRFL.00.0011"/>
    <n v="0"/>
    <n v="0"/>
    <m/>
    <m/>
    <m/>
    <m/>
    <d v="2021-10-30T08:42:00"/>
    <n v="0"/>
    <n v="0"/>
    <x v="13"/>
    <n v="120"/>
  </r>
  <r>
    <n v="15332277486"/>
    <n v="120"/>
    <m/>
    <x v="10"/>
    <n v="15059073318"/>
    <x v="18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80333"/>
    <s v="Produto 13"/>
    <n v="30"/>
    <n v="15.35"/>
    <n v="0"/>
    <n v="10.747"/>
    <n v="460.5"/>
    <n v="30"/>
    <s v="PRFL.00.0024"/>
    <n v="0"/>
    <n v="0"/>
    <m/>
    <m/>
    <m/>
    <m/>
    <d v="2021-10-30T08:42:00"/>
    <n v="0"/>
    <n v="0"/>
    <x v="2"/>
    <n v="42"/>
  </r>
  <r>
    <n v="15341701258"/>
    <n v="123"/>
    <m/>
    <x v="10"/>
    <n v="15179608501"/>
    <x v="8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43939"/>
    <s v="Produto 17"/>
    <n v="500"/>
    <n v="13.66"/>
    <n v="0"/>
    <n v="10.747"/>
    <n v="6830"/>
    <n v="42"/>
    <s v="PRFL.00.0019"/>
    <n v="0"/>
    <n v="0"/>
    <m/>
    <m/>
    <m/>
    <m/>
    <d v="2021-10-30T08:41:00"/>
    <n v="0"/>
    <n v="0"/>
    <x v="8"/>
    <n v="710"/>
  </r>
  <r>
    <n v="15341701258"/>
    <n v="123"/>
    <m/>
    <x v="10"/>
    <n v="15179608501"/>
    <x v="17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5918644"/>
    <s v="Produto 10"/>
    <n v="500"/>
    <n v="7.85"/>
    <n v="0"/>
    <n v="5.61"/>
    <n v="3925"/>
    <n v="42"/>
    <s v="PRFL.00.0011"/>
    <n v="0"/>
    <n v="0"/>
    <m/>
    <m/>
    <m/>
    <m/>
    <d v="2021-10-30T08:41:00"/>
    <n v="0"/>
    <n v="0"/>
    <x v="3"/>
    <n v="550"/>
  </r>
  <r>
    <n v="15341701258"/>
    <n v="123"/>
    <m/>
    <x v="10"/>
    <n v="15179608501"/>
    <x v="3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80333"/>
    <s v="Produto 14"/>
    <n v="250"/>
    <n v="14.5"/>
    <n v="0"/>
    <n v="10.747"/>
    <n v="3625"/>
    <n v="42"/>
    <s v="PRFL.00.0024"/>
    <n v="0"/>
    <n v="0"/>
    <m/>
    <m/>
    <m/>
    <m/>
    <d v="2021-10-30T08:41:00"/>
    <n v="0"/>
    <n v="0"/>
    <x v="1"/>
    <n v="350"/>
  </r>
  <r>
    <n v="15341701258"/>
    <n v="123"/>
    <m/>
    <x v="10"/>
    <n v="15179608501"/>
    <x v="8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93155"/>
    <s v="Produto 05"/>
    <n v="350"/>
    <n v="15.16"/>
    <n v="0"/>
    <n v="14.4596"/>
    <n v="5306"/>
    <n v="42"/>
    <s v="PRFL.00.0026"/>
    <n v="0"/>
    <n v="0"/>
    <m/>
    <m/>
    <m/>
    <m/>
    <d v="2021-10-30T08:41:00"/>
    <n v="0"/>
    <n v="0"/>
    <x v="5"/>
    <n v="210"/>
  </r>
  <r>
    <n v="15341701258"/>
    <n v="123"/>
    <m/>
    <x v="10"/>
    <n v="15179608501"/>
    <x v="11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87271"/>
    <s v="Produto 04"/>
    <n v="230"/>
    <n v="18"/>
    <n v="0"/>
    <n v="14.4596"/>
    <n v="4140"/>
    <n v="42"/>
    <s v="PRFL.00.0025"/>
    <n v="0"/>
    <n v="0"/>
    <m/>
    <m/>
    <m/>
    <m/>
    <d v="2021-10-30T08:41:00"/>
    <n v="0"/>
    <n v="0"/>
    <x v="10"/>
    <n v="138"/>
  </r>
  <r>
    <n v="15341701258"/>
    <n v="123"/>
    <m/>
    <x v="10"/>
    <n v="15179608501"/>
    <x v="15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73255"/>
    <s v="Produto 11"/>
    <n v="350"/>
    <n v="16.100000000000001"/>
    <n v="0"/>
    <n v="10.747"/>
    <n v="5635"/>
    <n v="42"/>
    <s v="PRFL.00.0023"/>
    <n v="0"/>
    <n v="0"/>
    <m/>
    <m/>
    <m/>
    <m/>
    <d v="2021-10-30T08:41:00"/>
    <n v="0"/>
    <n v="0"/>
    <x v="11"/>
    <n v="385.00000000000006"/>
  </r>
  <r>
    <n v="15342193270"/>
    <n v="131"/>
    <m/>
    <x v="10"/>
    <n v="15293435625"/>
    <x v="11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139727614"/>
    <s v="Produto 16"/>
    <n v="350"/>
    <n v="24.15"/>
    <n v="0"/>
    <n v="0"/>
    <n v="8452.5"/>
    <n v="76"/>
    <s v="PRFL.00.0029"/>
    <n v="0"/>
    <n v="0"/>
    <m/>
    <m/>
    <m/>
    <m/>
    <d v="2021-11-17T08:32:00"/>
    <n v="0"/>
    <n v="0"/>
    <x v="9"/>
    <n v="444.5"/>
  </r>
  <r>
    <n v="15342193270"/>
    <n v="131"/>
    <m/>
    <x v="10"/>
    <n v="15293435625"/>
    <x v="8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139667431"/>
    <s v="Produto 07"/>
    <n v="100"/>
    <n v="21.1"/>
    <n v="0"/>
    <n v="0"/>
    <n v="2110"/>
    <n v="76"/>
    <s v="PRFL.00.0028"/>
    <n v="0"/>
    <n v="0"/>
    <m/>
    <m/>
    <m/>
    <m/>
    <d v="2021-11-17T08:32:00"/>
    <n v="0"/>
    <n v="0"/>
    <x v="12"/>
    <n v="110.00000000000001"/>
  </r>
  <r>
    <n v="15342193270"/>
    <n v="131"/>
    <m/>
    <x v="10"/>
    <n v="15293435625"/>
    <x v="13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5918644"/>
    <s v="Produto 05"/>
    <n v="200"/>
    <n v="7.7"/>
    <n v="0"/>
    <n v="5.61"/>
    <n v="1540"/>
    <n v="76"/>
    <s v="PRFL.00.0011"/>
    <n v="0"/>
    <n v="0"/>
    <m/>
    <m/>
    <m/>
    <m/>
    <d v="2021-11-17T08:32:00"/>
    <n v="0"/>
    <n v="0"/>
    <x v="5"/>
    <n v="120"/>
  </r>
  <r>
    <n v="15271255645"/>
    <n v="42"/>
    <m/>
    <x v="11"/>
    <n v="15059030423"/>
    <x v="19"/>
    <s v="14.119.157/0001-45"/>
    <s v="Avenida Presidente Kennedy, 4121, 4121"/>
    <s v="Portão"/>
    <s v="Curitiba"/>
    <n v="80610905"/>
    <s v="PR"/>
    <m/>
    <m/>
    <n v="0"/>
    <n v="0"/>
    <m/>
    <s v="Atendido"/>
    <n v="15015911944"/>
    <s v="Produto 15"/>
    <n v="50"/>
    <n v="13.9"/>
    <n v="0"/>
    <n v="10.285"/>
    <n v="695"/>
    <n v="28"/>
    <s v="PRFL.00.0010"/>
    <n v="0"/>
    <n v="0"/>
    <m/>
    <m/>
    <m/>
    <m/>
    <d v="2021-10-31T13:49:00"/>
    <n v="0"/>
    <n v="0"/>
    <x v="16"/>
    <n v="71"/>
  </r>
  <r>
    <n v="15271530754"/>
    <n v="43"/>
    <m/>
    <x v="11"/>
    <n v="15059049115"/>
    <x v="9"/>
    <s v="29.874.259/0001-43"/>
    <s v="RUA 408, 131, Nao Informado"/>
    <s v="MORRETES"/>
    <s v="Itapema"/>
    <n v="88220000"/>
    <s v="SC"/>
    <m/>
    <m/>
    <n v="0"/>
    <n v="0"/>
    <m/>
    <s v="Atendido"/>
    <n v="15016099089"/>
    <s v="Produto 15"/>
    <n v="200"/>
    <n v="21.3"/>
    <n v="0"/>
    <n v="16.804400000000001"/>
    <n v="4260"/>
    <n v="29"/>
    <s v="PRFL.00.0027"/>
    <n v="0"/>
    <n v="0"/>
    <s v="FERNANDO CARDOSO"/>
    <m/>
    <m/>
    <m/>
    <d v="2021-10-31T14:32:00"/>
    <n v="0"/>
    <n v="0"/>
    <x v="16"/>
    <n v="284"/>
  </r>
  <r>
    <n v="15271530754"/>
    <n v="43"/>
    <m/>
    <x v="11"/>
    <n v="15059049115"/>
    <x v="9"/>
    <s v="29.874.259/0001-43"/>
    <s v="RUA 408, 131, Nao Informado"/>
    <s v="MORRETES"/>
    <s v="Itapema"/>
    <n v="88220000"/>
    <s v="SC"/>
    <m/>
    <m/>
    <n v="0"/>
    <n v="0"/>
    <m/>
    <s v="Atendido"/>
    <n v="15016080333"/>
    <s v="Produto 12"/>
    <n v="200"/>
    <n v="14"/>
    <n v="0"/>
    <n v="10.747"/>
    <n v="2800"/>
    <n v="29"/>
    <s v="PRFL.00.0024"/>
    <n v="0"/>
    <n v="0"/>
    <s v="FERNANDO CARDOSO"/>
    <m/>
    <m/>
    <m/>
    <d v="2021-10-31T14:32:00"/>
    <n v="0"/>
    <n v="0"/>
    <x v="15"/>
    <n v="280"/>
  </r>
  <r>
    <n v="15271530754"/>
    <n v="43"/>
    <m/>
    <x v="11"/>
    <n v="15059049115"/>
    <x v="0"/>
    <s v="29.874.259/0001-43"/>
    <s v="RUA 408, 131, Nao Informado"/>
    <s v="MORRETES"/>
    <s v="Itapema"/>
    <n v="88220000"/>
    <s v="SC"/>
    <m/>
    <m/>
    <n v="0"/>
    <n v="0"/>
    <m/>
    <s v="Atendido"/>
    <n v="15016093155"/>
    <s v="Produto 05"/>
    <n v="400"/>
    <n v="18.2"/>
    <n v="0"/>
    <n v="14.4596"/>
    <n v="7280"/>
    <n v="29"/>
    <s v="PRFL.00.0026"/>
    <n v="0"/>
    <n v="0"/>
    <s v="FERNANDO CARDOSO"/>
    <m/>
    <m/>
    <m/>
    <d v="2021-10-31T14:32:00"/>
    <n v="0"/>
    <n v="0"/>
    <x v="5"/>
    <n v="240"/>
  </r>
  <r>
    <n v="15271530754"/>
    <n v="43"/>
    <m/>
    <x v="11"/>
    <n v="15059049115"/>
    <x v="3"/>
    <s v="29.874.259/0001-43"/>
    <s v="RUA 408, 131, Nao Informado"/>
    <s v="MORRETES"/>
    <s v="Itapema"/>
    <n v="88220000"/>
    <s v="SC"/>
    <m/>
    <m/>
    <n v="0"/>
    <n v="0"/>
    <m/>
    <s v="Atendido"/>
    <n v="15016043939"/>
    <s v="Produto 08"/>
    <n v="300"/>
    <n v="13.9"/>
    <n v="0"/>
    <n v="10.747"/>
    <n v="4170"/>
    <n v="29"/>
    <s v="PRFL.00.0019"/>
    <n v="0"/>
    <n v="0"/>
    <s v="FERNANDO CARDOSO"/>
    <m/>
    <m/>
    <m/>
    <d v="2021-10-31T14:32:00"/>
    <n v="0"/>
    <n v="0"/>
    <x v="14"/>
    <n v="330"/>
  </r>
  <r>
    <n v="15271530754"/>
    <n v="43"/>
    <m/>
    <x v="11"/>
    <n v="15059049115"/>
    <x v="10"/>
    <s v="29.874.259/0001-43"/>
    <s v="RUA 408, 131, Nao Informado"/>
    <s v="MORRETES"/>
    <s v="Itapema"/>
    <n v="88220000"/>
    <s v="SC"/>
    <m/>
    <m/>
    <n v="0"/>
    <n v="0"/>
    <m/>
    <s v="Atendido"/>
    <n v="15015918644"/>
    <s v="Produto 16"/>
    <n v="300"/>
    <n v="7.95"/>
    <n v="0"/>
    <n v="5.61"/>
    <n v="2385"/>
    <n v="29"/>
    <s v="PRFL.00.0011"/>
    <n v="0"/>
    <n v="0"/>
    <s v="FERNANDO CARDOSO"/>
    <m/>
    <m/>
    <m/>
    <d v="2021-10-31T14:32:00"/>
    <n v="0"/>
    <n v="0"/>
    <x v="9"/>
    <n v="381"/>
  </r>
  <r>
    <n v="15271530754"/>
    <n v="43"/>
    <m/>
    <x v="11"/>
    <n v="15059049115"/>
    <x v="2"/>
    <s v="29.874.259/0001-43"/>
    <s v="RUA 408, 131, Nao Informado"/>
    <s v="MORRETES"/>
    <s v="Itapema"/>
    <n v="88220000"/>
    <s v="SC"/>
    <m/>
    <m/>
    <n v="0"/>
    <n v="0"/>
    <m/>
    <s v="Atendido"/>
    <n v="15015511068"/>
    <s v="Produto 16"/>
    <n v="400"/>
    <n v="16.2"/>
    <n v="0"/>
    <n v="10.23"/>
    <n v="6480"/>
    <n v="29"/>
    <s v="PRFL.00.0005"/>
    <n v="0"/>
    <n v="0"/>
    <s v="FERNANDO CARDOSO"/>
    <m/>
    <m/>
    <m/>
    <d v="2021-10-31T14:32:00"/>
    <n v="0"/>
    <n v="0"/>
    <x v="9"/>
    <n v="508"/>
  </r>
  <r>
    <n v="15271761707"/>
    <n v="44"/>
    <m/>
    <x v="11"/>
    <n v="15059073318"/>
    <x v="16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93155"/>
    <s v="Produto 09"/>
    <n v="100"/>
    <n v="18.399999999999999"/>
    <n v="0"/>
    <n v="14.4596"/>
    <n v="1840"/>
    <n v="30"/>
    <s v="PRFL.00.0026"/>
    <n v="0"/>
    <n v="0"/>
    <s v="FERNANDO CARDOSO"/>
    <m/>
    <m/>
    <m/>
    <d v="2021-10-31T14:32:00"/>
    <n v="0"/>
    <n v="0"/>
    <x v="4"/>
    <n v="110.00000000000001"/>
  </r>
  <r>
    <n v="15271761707"/>
    <n v="44"/>
    <m/>
    <x v="11"/>
    <n v="15059073318"/>
    <x v="16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80333"/>
    <s v="Produto 15"/>
    <n v="100"/>
    <n v="15.35"/>
    <n v="0"/>
    <n v="10.747"/>
    <n v="1535"/>
    <n v="30"/>
    <s v="PRFL.00.0024"/>
    <n v="0"/>
    <n v="0"/>
    <s v="FERNANDO CARDOSO"/>
    <m/>
    <m/>
    <m/>
    <d v="2021-10-31T14:32:00"/>
    <n v="0"/>
    <n v="0"/>
    <x v="16"/>
    <n v="142"/>
  </r>
  <r>
    <n v="15271761707"/>
    <n v="44"/>
    <m/>
    <x v="11"/>
    <n v="15059073318"/>
    <x v="14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5918644"/>
    <s v="Produto 17"/>
    <n v="100"/>
    <n v="8.3000000000000007"/>
    <n v="0"/>
    <n v="5.61"/>
    <n v="830"/>
    <n v="30"/>
    <s v="PRFL.00.0011"/>
    <n v="0"/>
    <n v="0"/>
    <s v="FERNANDO CARDOSO"/>
    <m/>
    <m/>
    <m/>
    <d v="2021-10-31T14:32:00"/>
    <n v="0"/>
    <n v="0"/>
    <x v="8"/>
    <n v="142"/>
  </r>
  <r>
    <n v="15271761707"/>
    <n v="44"/>
    <m/>
    <x v="11"/>
    <n v="15059073318"/>
    <x v="15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5511068"/>
    <s v="Produto 12"/>
    <n v="100"/>
    <n v="16.45"/>
    <n v="0"/>
    <n v="10.23"/>
    <n v="1645"/>
    <n v="30"/>
    <s v="PRFL.00.0005"/>
    <n v="0"/>
    <n v="0"/>
    <s v="FERNANDO CARDOSO"/>
    <m/>
    <m/>
    <m/>
    <d v="2021-10-31T14:32:00"/>
    <n v="0"/>
    <n v="0"/>
    <x v="15"/>
    <n v="140"/>
  </r>
  <r>
    <n v="15271827772"/>
    <n v="45"/>
    <m/>
    <x v="11"/>
    <n v="15059089666"/>
    <x v="9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87271"/>
    <s v="Produto 12"/>
    <n v="60"/>
    <n v="16.633299999999998"/>
    <n v="0"/>
    <n v="14.4596"/>
    <n v="997.99800000000005"/>
    <n v="31"/>
    <s v="PRFL.00.0025"/>
    <n v="0"/>
    <n v="0"/>
    <s v="FERNANDO CARDOSO"/>
    <m/>
    <m/>
    <m/>
    <d v="2021-10-31T14:32:00"/>
    <n v="0"/>
    <n v="0"/>
    <x v="15"/>
    <n v="84"/>
  </r>
  <r>
    <n v="15271827772"/>
    <n v="45"/>
    <m/>
    <x v="11"/>
    <n v="15059089666"/>
    <x v="3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99089"/>
    <s v="Produto 03"/>
    <n v="130"/>
    <n v="21.3"/>
    <n v="0"/>
    <n v="16.804400000000001"/>
    <n v="2769"/>
    <n v="31"/>
    <s v="PRFL.00.0027"/>
    <n v="0"/>
    <n v="0"/>
    <s v="FERNANDO CARDOSO"/>
    <m/>
    <m/>
    <m/>
    <d v="2021-10-31T14:32:00"/>
    <n v="0"/>
    <n v="0"/>
    <x v="13"/>
    <n v="78"/>
  </r>
  <r>
    <n v="15271827772"/>
    <n v="45"/>
    <m/>
    <x v="11"/>
    <n v="15059089666"/>
    <x v="17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5918644"/>
    <s v="Produto 11"/>
    <n v="80"/>
    <n v="8.1999999999999993"/>
    <n v="0"/>
    <n v="5.61"/>
    <n v="656"/>
    <n v="31"/>
    <s v="PRFL.00.0011"/>
    <n v="0"/>
    <n v="0"/>
    <s v="FERNANDO CARDOSO"/>
    <m/>
    <m/>
    <m/>
    <d v="2021-10-31T14:32:00"/>
    <n v="0"/>
    <n v="0"/>
    <x v="11"/>
    <n v="88"/>
  </r>
  <r>
    <n v="15271827772"/>
    <n v="45"/>
    <m/>
    <x v="11"/>
    <n v="15059089666"/>
    <x v="19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43939"/>
    <s v="Produto 15"/>
    <n v="130"/>
    <n v="13.9"/>
    <n v="0"/>
    <n v="10.747"/>
    <n v="1807"/>
    <n v="31"/>
    <s v="PRFL.00.0019"/>
    <n v="0"/>
    <n v="0"/>
    <s v="FERNANDO CARDOSO"/>
    <m/>
    <m/>
    <m/>
    <d v="2021-10-31T14:32:00"/>
    <n v="0"/>
    <n v="0"/>
    <x v="16"/>
    <n v="184.6"/>
  </r>
  <r>
    <n v="15271827772"/>
    <n v="45"/>
    <m/>
    <x v="11"/>
    <n v="15059089666"/>
    <x v="1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5511068"/>
    <s v="Produto 01"/>
    <n v="100"/>
    <n v="16.2"/>
    <n v="0"/>
    <n v="10.23"/>
    <n v="1620"/>
    <n v="31"/>
    <s v="PRFL.00.0005"/>
    <n v="0"/>
    <n v="0"/>
    <s v="FERNANDO CARDOSO"/>
    <m/>
    <m/>
    <m/>
    <d v="2021-10-31T14:32:00"/>
    <n v="0"/>
    <n v="0"/>
    <x v="7"/>
    <n v="40"/>
  </r>
  <r>
    <n v="15271870946"/>
    <n v="46"/>
    <m/>
    <x v="11"/>
    <n v="15020006032"/>
    <x v="14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93155"/>
    <s v="Produto 17"/>
    <n v="300"/>
    <n v="18"/>
    <n v="0"/>
    <n v="14.4596"/>
    <n v="5400"/>
    <n v="16"/>
    <s v="PRFL.00.0026"/>
    <n v="0"/>
    <n v="0"/>
    <m/>
    <m/>
    <m/>
    <m/>
    <d v="2021-10-31T14:02:00"/>
    <n v="0"/>
    <n v="0"/>
    <x v="8"/>
    <n v="426"/>
  </r>
  <r>
    <n v="15271919362"/>
    <n v="47"/>
    <m/>
    <x v="11"/>
    <n v="15059148465"/>
    <x v="12"/>
    <s v="22.755.004/0001-12"/>
    <s v="Rua Domingos Nascimento, S/N"/>
    <s v="Bom Retiro"/>
    <s v="Curitiba"/>
    <n v="80520200"/>
    <s v="PR"/>
    <m/>
    <m/>
    <n v="0"/>
    <n v="0"/>
    <m/>
    <s v="Atendido"/>
    <n v="15015918644"/>
    <s v="Produto 05"/>
    <n v="40"/>
    <n v="8.3800000000000008"/>
    <n v="0"/>
    <n v="5.61"/>
    <n v="335.2"/>
    <n v="32"/>
    <s v="PRFL.00.0011"/>
    <n v="0"/>
    <n v="0"/>
    <m/>
    <m/>
    <m/>
    <m/>
    <d v="2021-10-31T14:00:00"/>
    <n v="0"/>
    <n v="0"/>
    <x v="5"/>
    <n v="24"/>
  </r>
  <r>
    <n v="15271964743"/>
    <n v="48"/>
    <m/>
    <x v="11"/>
    <n v="15059148465"/>
    <x v="15"/>
    <s v="22.755.004/0001-12"/>
    <s v="Rua Domingos Nascimento, S/N"/>
    <s v="Bom Retiro"/>
    <s v="Curitiba"/>
    <n v="80520200"/>
    <s v="PR"/>
    <m/>
    <m/>
    <n v="0"/>
    <n v="0"/>
    <m/>
    <s v="Atendido"/>
    <n v="15016087271"/>
    <s v="Produto 06"/>
    <n v="30"/>
    <n v="18.2"/>
    <n v="0"/>
    <n v="14.4596"/>
    <n v="546"/>
    <n v="32"/>
    <s v="PRFL.00.0025"/>
    <n v="0"/>
    <n v="0"/>
    <m/>
    <m/>
    <m/>
    <m/>
    <d v="2021-10-31T14:00:00"/>
    <n v="0"/>
    <n v="0"/>
    <x v="0"/>
    <n v="15"/>
  </r>
  <r>
    <n v="15271964743"/>
    <n v="48"/>
    <m/>
    <x v="11"/>
    <n v="15059148465"/>
    <x v="13"/>
    <s v="22.755.004/0001-12"/>
    <s v="Rua Domingos Nascimento, S/N"/>
    <s v="Bom Retiro"/>
    <s v="Curitiba"/>
    <n v="80520200"/>
    <s v="PR"/>
    <m/>
    <m/>
    <n v="0"/>
    <n v="0"/>
    <m/>
    <s v="Atendido"/>
    <n v="15016099089"/>
    <s v="Produto 02"/>
    <n v="50"/>
    <n v="21.3"/>
    <n v="0"/>
    <n v="16.804400000000001"/>
    <n v="1065"/>
    <n v="32"/>
    <s v="PRFL.00.0027"/>
    <n v="0"/>
    <n v="0"/>
    <m/>
    <m/>
    <m/>
    <m/>
    <d v="2021-10-31T14:00:00"/>
    <n v="0"/>
    <n v="0"/>
    <x v="6"/>
    <n v="13.5"/>
  </r>
  <r>
    <n v="15272099779"/>
    <n v="50"/>
    <m/>
    <x v="11"/>
    <n v="15059188280"/>
    <x v="10"/>
    <s v="35.797.262/0001-03"/>
    <s v="Rua Emiliano Perneta, 174, 13 ANDAR"/>
    <s v="CENTRO"/>
    <s v="Curitiba"/>
    <n v="80010050"/>
    <s v="PR"/>
    <m/>
    <m/>
    <n v="0"/>
    <n v="0"/>
    <m/>
    <s v="Atendido"/>
    <n v="15016043939"/>
    <s v="Produto 05"/>
    <n v="410"/>
    <n v="22.15"/>
    <n v="0"/>
    <n v="10.747"/>
    <n v="9081.5"/>
    <n v="33"/>
    <s v="PRFL.00.0019"/>
    <n v="0"/>
    <n v="0"/>
    <s v="AMANDA HUBBE"/>
    <m/>
    <m/>
    <m/>
    <d v="2021-10-31T14:02:00"/>
    <n v="0"/>
    <n v="0"/>
    <x v="5"/>
    <n v="246"/>
  </r>
  <r>
    <n v="15272099779"/>
    <n v="50"/>
    <m/>
    <x v="11"/>
    <n v="15059188280"/>
    <x v="2"/>
    <s v="35.797.262/0001-03"/>
    <s v="Rua Emiliano Perneta, 174, 13 ANDAR"/>
    <s v="CENTRO"/>
    <s v="Curitiba"/>
    <n v="80010050"/>
    <s v="PR"/>
    <m/>
    <m/>
    <n v="0"/>
    <n v="0"/>
    <m/>
    <s v="Atendido"/>
    <n v="15015511068"/>
    <s v="Produto 12"/>
    <n v="40"/>
    <n v="26.55"/>
    <n v="0"/>
    <n v="10.23"/>
    <n v="1062"/>
    <n v="33"/>
    <s v="PRFL.00.0005"/>
    <n v="0"/>
    <n v="0"/>
    <s v="AMANDA HUBBE"/>
    <m/>
    <m/>
    <m/>
    <d v="2021-10-31T14:02:00"/>
    <n v="0"/>
    <n v="0"/>
    <x v="15"/>
    <n v="56"/>
  </r>
  <r>
    <n v="15272099779"/>
    <n v="50"/>
    <m/>
    <x v="11"/>
    <n v="15059188280"/>
    <x v="17"/>
    <s v="35.797.262/0001-03"/>
    <s v="Rua Emiliano Perneta, 174, 13 ANDAR"/>
    <s v="CENTRO"/>
    <s v="Curitiba"/>
    <n v="80010050"/>
    <s v="PR"/>
    <m/>
    <m/>
    <n v="0"/>
    <n v="0"/>
    <m/>
    <s v="Atendido"/>
    <n v="15015918644"/>
    <s v="Produto 08"/>
    <n v="2510"/>
    <n v="12.8"/>
    <n v="0"/>
    <n v="5.61"/>
    <n v="32128"/>
    <n v="33"/>
    <s v="PRFL.00.0011"/>
    <n v="0"/>
    <n v="0"/>
    <s v="AMANDA HUBBE"/>
    <m/>
    <m/>
    <m/>
    <d v="2021-10-31T14:02:00"/>
    <n v="0"/>
    <n v="0"/>
    <x v="14"/>
    <n v="2761"/>
  </r>
  <r>
    <n v="15272099779"/>
    <n v="50"/>
    <m/>
    <x v="11"/>
    <n v="15059188280"/>
    <x v="9"/>
    <s v="35.797.262/0001-03"/>
    <s v="Rua Emiliano Perneta, 174, 13 ANDAR"/>
    <s v="CENTRO"/>
    <s v="Curitiba"/>
    <n v="80010050"/>
    <s v="PR"/>
    <m/>
    <m/>
    <n v="0"/>
    <n v="0"/>
    <m/>
    <s v="Atendido"/>
    <n v="15016093155"/>
    <s v="Produto 01"/>
    <n v="130"/>
    <n v="29.15"/>
    <n v="0"/>
    <n v="14.4596"/>
    <n v="3789.5"/>
    <n v="33"/>
    <s v="PRFL.00.0026"/>
    <n v="0"/>
    <n v="0"/>
    <s v="AMANDA HUBBE"/>
    <m/>
    <m/>
    <m/>
    <d v="2021-10-31T14:02:00"/>
    <n v="0"/>
    <n v="0"/>
    <x v="7"/>
    <n v="52"/>
  </r>
  <r>
    <n v="15272099779"/>
    <n v="50"/>
    <m/>
    <x v="11"/>
    <n v="15059188280"/>
    <x v="8"/>
    <s v="35.797.262/0001-03"/>
    <s v="Rua Emiliano Perneta, 174, 13 ANDAR"/>
    <s v="CENTRO"/>
    <s v="Curitiba"/>
    <n v="80010050"/>
    <s v="PR"/>
    <m/>
    <m/>
    <n v="0"/>
    <n v="0"/>
    <m/>
    <s v="Atendido"/>
    <n v="15016080333"/>
    <s v="Produto 07"/>
    <n v="130"/>
    <n v="24.5"/>
    <n v="0"/>
    <n v="10.747"/>
    <n v="3185"/>
    <n v="33"/>
    <s v="PRFL.00.0024"/>
    <n v="0"/>
    <n v="0"/>
    <s v="AMANDA HUBBE"/>
    <m/>
    <m/>
    <m/>
    <d v="2021-10-31T14:02:00"/>
    <n v="0"/>
    <n v="0"/>
    <x v="12"/>
    <n v="143"/>
  </r>
  <r>
    <n v="15272229265"/>
    <n v="51"/>
    <m/>
    <x v="11"/>
    <n v="15059209053"/>
    <x v="19"/>
    <s v="09.120.752/0001-60"/>
    <s v="RUA 24 DE FEVEREIRO, 143"/>
    <s v="CENTRO"/>
    <s v="Ijuí"/>
    <n v="98700000"/>
    <s v="RS"/>
    <s v="Ciaa@ciaa.com.br"/>
    <n v="41999473993"/>
    <n v="0"/>
    <n v="0"/>
    <m/>
    <s v="Atendido"/>
    <n v="15016043939"/>
    <s v="Produto 03"/>
    <n v="200"/>
    <n v="13.9"/>
    <n v="0"/>
    <n v="10.747"/>
    <n v="2780"/>
    <n v="34"/>
    <s v="PRFL.00.0019"/>
    <n v="0"/>
    <n v="0"/>
    <m/>
    <m/>
    <m/>
    <m/>
    <d v="2021-10-31T14:01:00"/>
    <n v="0"/>
    <n v="0"/>
    <x v="13"/>
    <n v="120"/>
  </r>
  <r>
    <n v="15272229265"/>
    <n v="51"/>
    <m/>
    <x v="11"/>
    <n v="15059209053"/>
    <x v="7"/>
    <s v="09.120.752/0001-60"/>
    <s v="RUA 24 DE FEVEREIRO, 143"/>
    <s v="CENTRO"/>
    <s v="Ijuí"/>
    <n v="98700000"/>
    <s v="RS"/>
    <s v="Ciaa@ciaa.com.br"/>
    <n v="41999473993"/>
    <n v="0"/>
    <n v="0"/>
    <m/>
    <s v="Atendido"/>
    <n v="15016087271"/>
    <s v="Produto 09"/>
    <n v="150"/>
    <n v="18.2"/>
    <n v="0"/>
    <n v="14.4596"/>
    <n v="2730"/>
    <n v="34"/>
    <s v="PRFL.00.0025"/>
    <n v="0"/>
    <n v="0"/>
    <m/>
    <m/>
    <m/>
    <m/>
    <d v="2021-10-31T14:01:00"/>
    <n v="0"/>
    <n v="0"/>
    <x v="4"/>
    <n v="165"/>
  </r>
  <r>
    <n v="15272229265"/>
    <n v="51"/>
    <m/>
    <x v="11"/>
    <n v="15059209053"/>
    <x v="17"/>
    <s v="09.120.752/0001-60"/>
    <s v="RUA 24 DE FEVEREIRO, 143"/>
    <s v="CENTRO"/>
    <s v="Ijuí"/>
    <n v="98700000"/>
    <s v="RS"/>
    <s v="Ciaa@ciaa.com.br"/>
    <n v="41999473993"/>
    <n v="0"/>
    <n v="0"/>
    <m/>
    <s v="Atendido"/>
    <n v="15015918644"/>
    <s v="Produto 03"/>
    <n v="100"/>
    <n v="8.1999999999999993"/>
    <n v="0"/>
    <n v="5.61"/>
    <n v="820"/>
    <n v="34"/>
    <s v="PRFL.00.0011"/>
    <n v="0"/>
    <n v="0"/>
    <m/>
    <m/>
    <m/>
    <m/>
    <d v="2021-10-31T14:01:00"/>
    <n v="0"/>
    <n v="0"/>
    <x v="13"/>
    <n v="60"/>
  </r>
  <r>
    <n v="15272229265"/>
    <n v="51"/>
    <m/>
    <x v="11"/>
    <n v="15059209053"/>
    <x v="3"/>
    <s v="09.120.752/0001-60"/>
    <s v="RUA 24 DE FEVEREIRO, 143"/>
    <s v="CENTRO"/>
    <s v="Ijuí"/>
    <n v="98700000"/>
    <s v="RS"/>
    <s v="Ciaa@ciaa.com.br"/>
    <n v="41999473993"/>
    <n v="0"/>
    <n v="0"/>
    <m/>
    <s v="Atendido"/>
    <n v="15016099089"/>
    <s v="Produto 15"/>
    <n v="300"/>
    <n v="21.3"/>
    <n v="0"/>
    <n v="16.804400000000001"/>
    <n v="6390"/>
    <n v="34"/>
    <s v="PRFL.00.0027"/>
    <n v="0"/>
    <n v="0"/>
    <m/>
    <m/>
    <m/>
    <m/>
    <d v="2021-10-31T14:01:00"/>
    <n v="0"/>
    <n v="0"/>
    <x v="16"/>
    <n v="426"/>
  </r>
  <r>
    <n v="15272350034"/>
    <n v="52"/>
    <m/>
    <x v="11"/>
    <n v="15059237186"/>
    <x v="17"/>
    <s v="05.785.081/0001-04"/>
    <s v="Rua C, 65"/>
    <s v="Tijuca"/>
    <s v="Alvorada"/>
    <n v="94853120"/>
    <s v="RS"/>
    <m/>
    <m/>
    <n v="0"/>
    <n v="0"/>
    <m/>
    <s v="Atendido"/>
    <n v="15016043939"/>
    <s v="Produto 06"/>
    <n v="150"/>
    <n v="14.25"/>
    <n v="0"/>
    <n v="10.747"/>
    <n v="2137.5"/>
    <n v="35"/>
    <s v="PRFL.00.0019"/>
    <n v="0"/>
    <n v="0"/>
    <m/>
    <m/>
    <m/>
    <m/>
    <d v="2021-10-31T13:59:00"/>
    <n v="0"/>
    <n v="0"/>
    <x v="0"/>
    <n v="75"/>
  </r>
  <r>
    <n v="15272350034"/>
    <n v="52"/>
    <m/>
    <x v="11"/>
    <n v="15059237186"/>
    <x v="6"/>
    <s v="05.785.081/0001-04"/>
    <s v="Rua C, 65"/>
    <s v="Tijuca"/>
    <s v="Alvorada"/>
    <n v="94853120"/>
    <s v="RS"/>
    <m/>
    <m/>
    <n v="0"/>
    <n v="0"/>
    <m/>
    <s v="Atendido"/>
    <n v="15015511068"/>
    <s v="Produto 11"/>
    <n v="50"/>
    <n v="16.7"/>
    <n v="0"/>
    <n v="10.23"/>
    <n v="835"/>
    <n v="35"/>
    <s v="PRFL.00.0005"/>
    <n v="0"/>
    <n v="0"/>
    <m/>
    <m/>
    <m/>
    <m/>
    <d v="2021-10-31T13:59:00"/>
    <n v="0"/>
    <n v="0"/>
    <x v="11"/>
    <n v="55.000000000000007"/>
  </r>
  <r>
    <n v="15272350034"/>
    <n v="52"/>
    <m/>
    <x v="11"/>
    <n v="15059237186"/>
    <x v="15"/>
    <s v="05.785.081/0001-04"/>
    <s v="Rua C, 65"/>
    <s v="Tijuca"/>
    <s v="Alvorada"/>
    <n v="94853120"/>
    <s v="RS"/>
    <m/>
    <m/>
    <n v="0"/>
    <n v="0"/>
    <m/>
    <s v="Atendido"/>
    <n v="15015746121"/>
    <s v="Produto 16"/>
    <n v="100"/>
    <n v="21.5"/>
    <n v="0"/>
    <n v="13.763999999999999"/>
    <n v="2150"/>
    <n v="35"/>
    <s v="PRFL.00.0007"/>
    <n v="0"/>
    <n v="0"/>
    <m/>
    <m/>
    <m/>
    <m/>
    <d v="2021-10-31T13:59:00"/>
    <n v="0"/>
    <n v="0"/>
    <x v="9"/>
    <n v="127"/>
  </r>
  <r>
    <n v="15272350034"/>
    <n v="52"/>
    <m/>
    <x v="11"/>
    <n v="15059237186"/>
    <x v="8"/>
    <s v="05.785.081/0001-04"/>
    <s v="Rua C, 65"/>
    <s v="Tijuca"/>
    <s v="Alvorada"/>
    <n v="94853120"/>
    <s v="RS"/>
    <m/>
    <m/>
    <n v="0"/>
    <n v="0"/>
    <m/>
    <s v="Atendido"/>
    <n v="15016099089"/>
    <s v="Produto 15"/>
    <n v="100"/>
    <n v="18.3"/>
    <n v="0"/>
    <n v="16.804400000000001"/>
    <n v="1830"/>
    <n v="35"/>
    <s v="PRFL.00.0027"/>
    <n v="0"/>
    <n v="0"/>
    <m/>
    <m/>
    <m/>
    <m/>
    <d v="2021-10-31T13:59:00"/>
    <n v="0"/>
    <n v="0"/>
    <x v="16"/>
    <n v="142"/>
  </r>
  <r>
    <n v="15272410659"/>
    <n v="53"/>
    <m/>
    <x v="11"/>
    <n v="15272395368"/>
    <x v="3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6099089"/>
    <s v="Produto 10"/>
    <n v="600"/>
    <n v="21.3"/>
    <n v="0"/>
    <n v="16.804400000000001"/>
    <n v="12780"/>
    <n v="65"/>
    <s v="PRFL.00.0027"/>
    <n v="0"/>
    <n v="0"/>
    <m/>
    <m/>
    <m/>
    <m/>
    <d v="2021-10-31T14:00:00"/>
    <n v="0"/>
    <n v="0"/>
    <x v="3"/>
    <n v="660"/>
  </r>
  <r>
    <n v="15272458649"/>
    <n v="55"/>
    <m/>
    <x v="11"/>
    <n v="15264888160"/>
    <x v="16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5918644"/>
    <s v="Produto 08"/>
    <n v="800"/>
    <n v="7.85"/>
    <n v="0"/>
    <n v="5.61"/>
    <n v="6280"/>
    <n v="57"/>
    <s v="PRFL.00.0011"/>
    <n v="0"/>
    <n v="0"/>
    <s v="FERNANDO CARDOSO"/>
    <m/>
    <m/>
    <m/>
    <d v="2021-10-31T14:02:00"/>
    <n v="0"/>
    <n v="0"/>
    <x v="14"/>
    <n v="880.00000000000011"/>
  </r>
  <r>
    <n v="15272458649"/>
    <n v="55"/>
    <m/>
    <x v="11"/>
    <n v="15264888160"/>
    <x v="17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6043939"/>
    <s v="Produto 02"/>
    <n v="1000"/>
    <n v="13.59"/>
    <n v="0"/>
    <n v="10.747"/>
    <n v="13590"/>
    <n v="57"/>
    <s v="PRFL.00.0019"/>
    <n v="0"/>
    <n v="0"/>
    <s v="FERNANDO CARDOSO"/>
    <m/>
    <m/>
    <m/>
    <d v="2021-10-31T14:02:00"/>
    <n v="0"/>
    <n v="0"/>
    <x v="6"/>
    <n v="270"/>
  </r>
  <r>
    <n v="15279988600"/>
    <n v="63"/>
    <m/>
    <x v="12"/>
    <n v="15279322250"/>
    <x v="2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911944"/>
    <s v="Produto 05"/>
    <n v="500"/>
    <n v="13.39"/>
    <n v="0"/>
    <n v="10.285"/>
    <n v="6695"/>
    <n v="68"/>
    <s v="PRFL.00.0010"/>
    <n v="0"/>
    <n v="0"/>
    <m/>
    <m/>
    <m/>
    <m/>
    <d v="2021-11-02T11:31:00"/>
    <n v="0"/>
    <n v="0"/>
    <x v="5"/>
    <n v="300"/>
  </r>
  <r>
    <n v="15279988600"/>
    <n v="63"/>
    <m/>
    <x v="12"/>
    <n v="15279322250"/>
    <x v="11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353721"/>
    <s v="Produto 15"/>
    <n v="300"/>
    <n v="7.75"/>
    <n v="0"/>
    <n v="5.58"/>
    <n v="2325"/>
    <n v="68"/>
    <s v="PRFL.00.0002"/>
    <n v="0"/>
    <n v="0"/>
    <m/>
    <m/>
    <m/>
    <m/>
    <d v="2021-11-02T11:31:00"/>
    <n v="0"/>
    <n v="0"/>
    <x v="16"/>
    <n v="426"/>
  </r>
  <r>
    <n v="15279988600"/>
    <n v="63"/>
    <m/>
    <x v="12"/>
    <n v="15279322250"/>
    <x v="3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15"/>
    <n v="100"/>
    <n v="17.899999999999999"/>
    <n v="0"/>
    <n v="14.4596"/>
    <n v="1790"/>
    <n v="68"/>
    <s v="PRFL.00.0026"/>
    <n v="0"/>
    <n v="0"/>
    <m/>
    <m/>
    <m/>
    <m/>
    <d v="2021-11-02T11:31:00"/>
    <n v="0"/>
    <n v="0"/>
    <x v="16"/>
    <n v="142"/>
  </r>
  <r>
    <n v="15284426458"/>
    <n v="69"/>
    <m/>
    <x v="12"/>
    <n v="15179646317"/>
    <x v="17"/>
    <s v="12.510.166/0001-37"/>
    <s v="RUA CASTRO ALVES, 22, A"/>
    <s v="ZONA 06"/>
    <s v="MARINGA"/>
    <n v="87015440"/>
    <s v="PR"/>
    <m/>
    <m/>
    <n v="0"/>
    <n v="0"/>
    <m/>
    <s v="Atendido"/>
    <n v="15015886084"/>
    <s v="Produto 11"/>
    <n v="40"/>
    <n v="22.6"/>
    <n v="0"/>
    <n v="15.996"/>
    <n v="904"/>
    <n v="44"/>
    <s v="PRFL.00.0009"/>
    <n v="0"/>
    <n v="0"/>
    <m/>
    <m/>
    <m/>
    <m/>
    <d v="2021-11-02T17:20:00"/>
    <n v="0"/>
    <n v="0"/>
    <x v="11"/>
    <n v="44"/>
  </r>
  <r>
    <n v="15284426458"/>
    <n v="69"/>
    <m/>
    <x v="12"/>
    <n v="15179646317"/>
    <x v="2"/>
    <s v="12.510.166/0001-37"/>
    <s v="RUA CASTRO ALVES, 22, A"/>
    <s v="ZONA 06"/>
    <s v="MARINGA"/>
    <n v="87015440"/>
    <s v="PR"/>
    <m/>
    <m/>
    <n v="0"/>
    <n v="0"/>
    <m/>
    <s v="Atendido"/>
    <n v="15016093155"/>
    <s v="Produto 09"/>
    <n v="40"/>
    <n v="19.3"/>
    <n v="0"/>
    <n v="14.4596"/>
    <n v="772"/>
    <n v="44"/>
    <s v="PRFL.00.0026"/>
    <n v="0"/>
    <n v="0"/>
    <m/>
    <m/>
    <m/>
    <m/>
    <d v="2021-11-02T17:20:00"/>
    <n v="0"/>
    <n v="0"/>
    <x v="4"/>
    <n v="44"/>
  </r>
  <r>
    <n v="15284426458"/>
    <n v="69"/>
    <m/>
    <x v="12"/>
    <n v="15179646317"/>
    <x v="10"/>
    <s v="12.510.166/0001-37"/>
    <s v="RUA CASTRO ALVES, 22, A"/>
    <s v="ZONA 06"/>
    <s v="MARINGA"/>
    <n v="87015440"/>
    <s v="PR"/>
    <m/>
    <m/>
    <n v="0"/>
    <n v="0"/>
    <m/>
    <s v="Atendido"/>
    <n v="15015511068"/>
    <s v="Produto 17"/>
    <n v="10"/>
    <n v="17.7"/>
    <n v="0"/>
    <n v="10.23"/>
    <n v="177"/>
    <n v="44"/>
    <s v="PRFL.00.0005"/>
    <n v="0"/>
    <n v="0"/>
    <m/>
    <m/>
    <m/>
    <m/>
    <d v="2021-11-02T17:20:00"/>
    <n v="0"/>
    <n v="0"/>
    <x v="8"/>
    <n v="14.2"/>
  </r>
  <r>
    <n v="15290130249"/>
    <n v="76"/>
    <m/>
    <x v="12"/>
    <n v="15179724225"/>
    <x v="8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43939"/>
    <s v="Produto 11"/>
    <n v="200"/>
    <n v="14.1"/>
    <n v="0"/>
    <n v="10.747"/>
    <n v="2820"/>
    <n v="47"/>
    <s v="PRFL.00.0019"/>
    <n v="0"/>
    <n v="0"/>
    <m/>
    <m/>
    <m/>
    <m/>
    <d v="2021-11-02T09:56:00"/>
    <n v="0"/>
    <n v="0"/>
    <x v="11"/>
    <n v="220.00000000000003"/>
  </r>
  <r>
    <n v="15290130249"/>
    <n v="76"/>
    <m/>
    <x v="12"/>
    <n v="15179724225"/>
    <x v="14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511068"/>
    <s v="Produto 17"/>
    <n v="100"/>
    <n v="16.7"/>
    <n v="0"/>
    <n v="10.23"/>
    <n v="1670"/>
    <n v="47"/>
    <s v="PRFL.00.0005"/>
    <n v="0"/>
    <n v="0"/>
    <m/>
    <m/>
    <m/>
    <m/>
    <d v="2021-11-02T09:56:00"/>
    <n v="0"/>
    <n v="0"/>
    <x v="8"/>
    <n v="142"/>
  </r>
  <r>
    <n v="15290130249"/>
    <n v="76"/>
    <m/>
    <x v="12"/>
    <n v="15179724225"/>
    <x v="10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886084"/>
    <s v="Produto 16"/>
    <n v="80"/>
    <n v="21.75"/>
    <n v="0"/>
    <n v="15.996"/>
    <n v="1740"/>
    <n v="47"/>
    <s v="PRFL.00.0009"/>
    <n v="0"/>
    <n v="0"/>
    <m/>
    <m/>
    <m/>
    <m/>
    <d v="2021-11-02T09:56:00"/>
    <n v="0"/>
    <n v="0"/>
    <x v="9"/>
    <n v="101.6"/>
  </r>
  <r>
    <n v="15290130249"/>
    <n v="76"/>
    <m/>
    <x v="12"/>
    <n v="15179724225"/>
    <x v="17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87271"/>
    <s v="Produto 05"/>
    <n v="40"/>
    <n v="18.649999999999999"/>
    <n v="0"/>
    <n v="14.4596"/>
    <n v="746"/>
    <n v="47"/>
    <s v="PRFL.00.0025"/>
    <n v="0"/>
    <n v="0"/>
    <m/>
    <m/>
    <m/>
    <m/>
    <d v="2021-11-02T09:56:00"/>
    <n v="0"/>
    <n v="0"/>
    <x v="5"/>
    <n v="24"/>
  </r>
  <r>
    <n v="15290291121"/>
    <n v="77"/>
    <m/>
    <x v="12"/>
    <n v="15058959920"/>
    <x v="0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6043939"/>
    <s v="Produto 15"/>
    <n v="142"/>
    <n v="14.9"/>
    <n v="0"/>
    <n v="10.747"/>
    <n v="2115.8000000000002"/>
    <n v="26"/>
    <s v="PRFL.00.0019"/>
    <n v="0"/>
    <n v="0"/>
    <s v="AMANDA HUBBE"/>
    <m/>
    <m/>
    <m/>
    <d v="2021-11-03T10:07:00"/>
    <n v="0"/>
    <n v="0"/>
    <x v="16"/>
    <n v="201.64"/>
  </r>
  <r>
    <n v="15290291121"/>
    <n v="77"/>
    <m/>
    <x v="12"/>
    <n v="15058959920"/>
    <x v="7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6073255"/>
    <s v="Produto 12"/>
    <n v="116"/>
    <n v="17.7"/>
    <n v="0"/>
    <n v="10.747"/>
    <n v="2053.1999999999998"/>
    <n v="26"/>
    <s v="PRFL.00.0023"/>
    <n v="0"/>
    <n v="0"/>
    <s v="AMANDA HUBBE"/>
    <m/>
    <m/>
    <m/>
    <d v="2021-11-03T10:07:00"/>
    <n v="0"/>
    <n v="0"/>
    <x v="15"/>
    <n v="162.39999999999998"/>
  </r>
  <r>
    <n v="15290370698"/>
    <n v="78"/>
    <m/>
    <x v="12"/>
    <n v="15179803016"/>
    <x v="5"/>
    <s v="13.559.797/0001-03"/>
    <s v="AV NOE REBESCO, 1650"/>
    <s v="LAGOA"/>
    <s v="Irati"/>
    <n v="84500000"/>
    <s v="PR"/>
    <s v="Julio@Irati.com"/>
    <n v="42999250064"/>
    <n v="0"/>
    <n v="0"/>
    <m/>
    <s v="Atendido"/>
    <n v="15016043939"/>
    <s v="Produto 14"/>
    <n v="120"/>
    <n v="13.9"/>
    <n v="0"/>
    <n v="10.747"/>
    <n v="1668"/>
    <n v="50"/>
    <s v="PRFL.00.0019"/>
    <n v="0"/>
    <n v="0"/>
    <s v="AMANDA HUBBE"/>
    <m/>
    <m/>
    <m/>
    <d v="2021-11-02T17:12:00"/>
    <n v="0"/>
    <n v="0"/>
    <x v="1"/>
    <n v="168"/>
  </r>
  <r>
    <n v="15290370698"/>
    <n v="78"/>
    <m/>
    <x v="12"/>
    <n v="15179803016"/>
    <x v="14"/>
    <s v="13.559.797/0001-03"/>
    <s v="AV NOE REBESCO, 1650"/>
    <s v="LAGOA"/>
    <s v="Irati"/>
    <n v="84500000"/>
    <s v="PR"/>
    <s v="Julio@Irati.com"/>
    <n v="42999250064"/>
    <n v="0"/>
    <n v="0"/>
    <m/>
    <s v="Atendido"/>
    <n v="15016073255"/>
    <s v="Produto 08"/>
    <n v="60"/>
    <n v="16.2"/>
    <n v="0"/>
    <n v="10.747"/>
    <n v="972"/>
    <n v="50"/>
    <s v="PRFL.00.0023"/>
    <n v="0"/>
    <n v="0"/>
    <s v="AMANDA HUBBE"/>
    <m/>
    <m/>
    <m/>
    <d v="2021-11-02T17:12:00"/>
    <n v="0"/>
    <n v="0"/>
    <x v="14"/>
    <n v="66"/>
  </r>
  <r>
    <n v="15290370698"/>
    <n v="78"/>
    <m/>
    <x v="12"/>
    <n v="15179803016"/>
    <x v="5"/>
    <s v="13.559.797/0001-03"/>
    <s v="AV NOE REBESCO, 1650"/>
    <s v="LAGOA"/>
    <s v="Irati"/>
    <n v="84500000"/>
    <s v="PR"/>
    <s v="Julio@Irati.com"/>
    <n v="42999250064"/>
    <n v="0"/>
    <n v="0"/>
    <m/>
    <s v="Atendido"/>
    <n v="15016093155"/>
    <s v="Produto 02"/>
    <n v="30"/>
    <n v="18.2"/>
    <n v="0"/>
    <n v="14.4596"/>
    <n v="546"/>
    <n v="50"/>
    <s v="PRFL.00.0026"/>
    <n v="0"/>
    <n v="0"/>
    <s v="AMANDA HUBBE"/>
    <m/>
    <m/>
    <m/>
    <d v="2021-11-02T17:12:00"/>
    <n v="0"/>
    <n v="0"/>
    <x v="6"/>
    <n v="8.1000000000000014"/>
  </r>
  <r>
    <n v="15290370698"/>
    <n v="78"/>
    <m/>
    <x v="12"/>
    <n v="15179803016"/>
    <x v="0"/>
    <s v="13.559.797/0001-03"/>
    <s v="AV NOE REBESCO, 1650"/>
    <s v="LAGOA"/>
    <s v="Irati"/>
    <n v="84500000"/>
    <s v="PR"/>
    <s v="Julio@Irati.com"/>
    <n v="42999250064"/>
    <n v="0"/>
    <n v="0"/>
    <m/>
    <s v="Atendido"/>
    <n v="15016080333"/>
    <s v="Produto 17"/>
    <n v="10"/>
    <n v="15.2"/>
    <n v="0"/>
    <n v="10.747"/>
    <n v="152"/>
    <n v="50"/>
    <s v="PRFL.00.0024"/>
    <n v="0"/>
    <n v="0"/>
    <s v="AMANDA HUBBE"/>
    <m/>
    <m/>
    <m/>
    <d v="2021-11-02T17:12:00"/>
    <n v="0"/>
    <n v="0"/>
    <x v="8"/>
    <n v="14.2"/>
  </r>
  <r>
    <n v="15291035501"/>
    <n v="86"/>
    <m/>
    <x v="12"/>
    <n v="15058876151"/>
    <x v="3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6087271"/>
    <s v="Produto 10"/>
    <n v="150"/>
    <n v="18.55"/>
    <n v="0"/>
    <n v="14.4596"/>
    <n v="2782.5"/>
    <n v="24"/>
    <s v="PRFL.00.0025"/>
    <n v="0"/>
    <n v="0"/>
    <s v="AMANDA HUBBE"/>
    <m/>
    <m/>
    <m/>
    <d v="2021-11-02T17:11:00"/>
    <n v="0"/>
    <n v="0"/>
    <x v="3"/>
    <n v="165"/>
  </r>
  <r>
    <n v="15291035501"/>
    <n v="86"/>
    <m/>
    <x v="12"/>
    <n v="15058876151"/>
    <x v="18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6043939"/>
    <s v="Produto 06"/>
    <n v="170"/>
    <n v="14.1"/>
    <n v="0"/>
    <n v="10.747"/>
    <n v="2397"/>
    <n v="24"/>
    <s v="PRFL.00.0019"/>
    <n v="0"/>
    <n v="0"/>
    <s v="AMANDA HUBBE"/>
    <m/>
    <m/>
    <m/>
    <d v="2021-11-02T17:11:00"/>
    <n v="0"/>
    <n v="0"/>
    <x v="0"/>
    <n v="85"/>
  </r>
  <r>
    <n v="15291035501"/>
    <n v="86"/>
    <m/>
    <x v="12"/>
    <n v="15058876151"/>
    <x v="19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139727614"/>
    <s v="Produto 03"/>
    <n v="70"/>
    <n v="23.95"/>
    <n v="0"/>
    <n v="0"/>
    <n v="1676.5"/>
    <n v="24"/>
    <s v="PRFL.00.0029"/>
    <n v="0"/>
    <n v="0"/>
    <s v="AMANDA HUBBE"/>
    <m/>
    <m/>
    <m/>
    <d v="2021-11-02T17:11:00"/>
    <n v="0"/>
    <n v="0"/>
    <x v="13"/>
    <n v="42"/>
  </r>
  <r>
    <n v="15293269245"/>
    <n v="97"/>
    <m/>
    <x v="12"/>
    <n v="15293238499"/>
    <x v="6"/>
    <s v="31.186.898/0001-68"/>
    <s v="R CURIO , 222, N/A"/>
    <s v="Colonia Dona Luiza"/>
    <s v="Ponta Grossa"/>
    <s v="84043-270"/>
    <s v="PR"/>
    <m/>
    <m/>
    <n v="0"/>
    <n v="0"/>
    <m/>
    <s v="Atendido"/>
    <n v="15016099089"/>
    <s v="Produto 03"/>
    <n v="200"/>
    <n v="21.75"/>
    <n v="0"/>
    <n v="16.804400000000001"/>
    <n v="4350"/>
    <n v="74"/>
    <s v="PRFL.00.0027"/>
    <n v="0"/>
    <n v="0"/>
    <s v="AMANDA HUBBE"/>
    <m/>
    <m/>
    <m/>
    <d v="2021-11-02T14:03:00"/>
    <n v="0"/>
    <n v="0"/>
    <x v="13"/>
    <n v="120"/>
  </r>
  <r>
    <n v="15293269245"/>
    <n v="97"/>
    <m/>
    <x v="12"/>
    <n v="15293238499"/>
    <x v="12"/>
    <s v="31.186.898/0001-68"/>
    <s v="R CURIO , 222, N/A"/>
    <s v="Colonia Dona Luiza"/>
    <s v="Ponta Grossa"/>
    <s v="84043-270"/>
    <s v="PR"/>
    <m/>
    <m/>
    <n v="0"/>
    <n v="0"/>
    <m/>
    <s v="Atendido"/>
    <n v="15016087271"/>
    <s v="Produto 01"/>
    <n v="70"/>
    <n v="18.649999999999999"/>
    <n v="0"/>
    <n v="14.4596"/>
    <n v="1305.5"/>
    <n v="74"/>
    <s v="PRFL.00.0025"/>
    <n v="0"/>
    <n v="0"/>
    <s v="AMANDA HUBBE"/>
    <m/>
    <m/>
    <m/>
    <d v="2021-11-02T14:03:00"/>
    <n v="0"/>
    <n v="0"/>
    <x v="7"/>
    <n v="28"/>
  </r>
  <r>
    <n v="15293269245"/>
    <n v="97"/>
    <m/>
    <x v="12"/>
    <n v="15293238499"/>
    <x v="19"/>
    <s v="31.186.898/0001-68"/>
    <s v="R CURIO , 222, N/A"/>
    <s v="Colonia Dona Luiza"/>
    <s v="Ponta Grossa"/>
    <s v="84043-270"/>
    <s v="PR"/>
    <m/>
    <m/>
    <n v="0"/>
    <n v="0"/>
    <m/>
    <s v="Atendido"/>
    <n v="15015964159"/>
    <s v="Produto 07"/>
    <n v="100"/>
    <n v="16.7"/>
    <n v="0"/>
    <n v="10.285"/>
    <n v="1670"/>
    <n v="74"/>
    <s v="PRFL.00.0014"/>
    <n v="0"/>
    <n v="0"/>
    <s v="AMANDA HUBBE"/>
    <m/>
    <m/>
    <m/>
    <d v="2021-11-02T14:03:00"/>
    <n v="0"/>
    <n v="0"/>
    <x v="12"/>
    <n v="110.00000000000001"/>
  </r>
  <r>
    <n v="15293269245"/>
    <n v="97"/>
    <m/>
    <x v="12"/>
    <n v="15293238499"/>
    <x v="18"/>
    <s v="31.186.898/0001-68"/>
    <s v="R CURIO , 222, N/A"/>
    <s v="Colonia Dona Luiza"/>
    <s v="Ponta Grossa"/>
    <s v="84043-270"/>
    <s v="PR"/>
    <m/>
    <m/>
    <n v="0"/>
    <n v="0"/>
    <m/>
    <s v="Atendido"/>
    <n v="15016043939"/>
    <s v="Produto 15"/>
    <n v="200"/>
    <n v="14.25"/>
    <n v="0"/>
    <n v="10.747"/>
    <n v="2850"/>
    <n v="74"/>
    <s v="PRFL.00.0019"/>
    <n v="0"/>
    <n v="0"/>
    <s v="AMANDA HUBBE"/>
    <m/>
    <m/>
    <m/>
    <d v="2021-11-02T14:03:00"/>
    <n v="0"/>
    <n v="0"/>
    <x v="16"/>
    <n v="284"/>
  </r>
  <r>
    <n v="15267243928"/>
    <n v="19"/>
    <m/>
    <x v="13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1"/>
    <n v="500"/>
    <n v="17.8"/>
    <n v="0"/>
    <n v="14.4596"/>
    <n v="8900"/>
    <n v="41"/>
    <s v="PRFL.00.0026"/>
    <n v="0"/>
    <n v="0"/>
    <m/>
    <m/>
    <m/>
    <m/>
    <d v="2021-11-03T14:40:00"/>
    <n v="0"/>
    <n v="0"/>
    <x v="7"/>
    <n v="200"/>
  </r>
  <r>
    <n v="15267243928"/>
    <n v="19"/>
    <m/>
    <x v="13"/>
    <n v="15179581888"/>
    <x v="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7"/>
    <n v="280"/>
    <n v="12.9"/>
    <n v="0"/>
    <n v="10.747"/>
    <n v="3612"/>
    <n v="41"/>
    <s v="PRFL.00.0019"/>
    <n v="0"/>
    <n v="0"/>
    <m/>
    <m/>
    <m/>
    <m/>
    <d v="2021-11-03T14:40:00"/>
    <n v="0"/>
    <n v="0"/>
    <x v="8"/>
    <n v="397.59999999999997"/>
  </r>
  <r>
    <n v="15267243928"/>
    <n v="19"/>
    <m/>
    <x v="13"/>
    <n v="15179581888"/>
    <x v="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17"/>
    <n v="500"/>
    <n v="7.35"/>
    <n v="0"/>
    <n v="5.61"/>
    <n v="3675"/>
    <n v="41"/>
    <s v="PRFL.00.0011"/>
    <n v="0"/>
    <n v="0"/>
    <m/>
    <m/>
    <m/>
    <m/>
    <d v="2021-11-03T14:40:00"/>
    <n v="0"/>
    <n v="0"/>
    <x v="8"/>
    <n v="710"/>
  </r>
  <r>
    <n v="15267243928"/>
    <n v="19"/>
    <m/>
    <x v="13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08"/>
    <n v="200"/>
    <n v="16"/>
    <n v="0"/>
    <n v="10.23"/>
    <n v="3200"/>
    <n v="41"/>
    <s v="PRFL.00.0005"/>
    <n v="0"/>
    <n v="0"/>
    <m/>
    <m/>
    <m/>
    <m/>
    <d v="2021-11-03T14:40:00"/>
    <n v="0"/>
    <n v="0"/>
    <x v="14"/>
    <n v="220.00000000000003"/>
  </r>
  <r>
    <n v="15290595341"/>
    <n v="81"/>
    <m/>
    <x v="14"/>
    <n v="15179608501"/>
    <x v="10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99089"/>
    <s v="Produto 07"/>
    <n v="150"/>
    <n v="21.3"/>
    <n v="0"/>
    <n v="16.804400000000001"/>
    <n v="3195"/>
    <n v="42"/>
    <s v="PRFL.00.0027"/>
    <n v="0"/>
    <n v="0"/>
    <s v="AMANDA HUBBE"/>
    <m/>
    <m/>
    <m/>
    <d v="2021-11-04T10:33:00"/>
    <n v="0"/>
    <n v="0"/>
    <x v="12"/>
    <n v="165"/>
  </r>
  <r>
    <n v="15265317233"/>
    <n v="10"/>
    <m/>
    <x v="15"/>
    <n v="15179701182"/>
    <x v="16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911944"/>
    <s v="Produto 13"/>
    <n v="272"/>
    <n v="13.5474"/>
    <n v="0"/>
    <n v="10.285"/>
    <n v="3684.8928000000001"/>
    <n v="46"/>
    <s v="PRFL.00.0010"/>
    <n v="0"/>
    <n v="0"/>
    <s v="AMANDA HUBBE"/>
    <m/>
    <m/>
    <m/>
    <d v="2021-11-05T14:34:00"/>
    <n v="0"/>
    <n v="0"/>
    <x v="2"/>
    <n v="380.79999999999995"/>
  </r>
  <r>
    <n v="15265317233"/>
    <n v="10"/>
    <m/>
    <x v="15"/>
    <n v="15179701182"/>
    <x v="12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80333"/>
    <s v="Produto 11"/>
    <n v="20"/>
    <n v="14.6"/>
    <n v="0"/>
    <n v="10.747"/>
    <n v="292"/>
    <n v="46"/>
    <s v="PRFL.00.0024"/>
    <n v="0"/>
    <n v="0"/>
    <s v="AMANDA HUBBE"/>
    <m/>
    <m/>
    <m/>
    <d v="2021-11-05T14:34:00"/>
    <n v="0"/>
    <n v="0"/>
    <x v="11"/>
    <n v="22"/>
  </r>
  <r>
    <n v="15265317233"/>
    <n v="10"/>
    <m/>
    <x v="15"/>
    <n v="15179701182"/>
    <x v="5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87271"/>
    <s v="Produto 02"/>
    <n v="30"/>
    <n v="18.04"/>
    <n v="0"/>
    <n v="14.4596"/>
    <n v="541.20000000000005"/>
    <n v="46"/>
    <s v="PRFL.00.0025"/>
    <n v="0"/>
    <n v="0"/>
    <s v="AMANDA HUBBE"/>
    <m/>
    <m/>
    <m/>
    <d v="2021-11-05T14:34:00"/>
    <n v="0"/>
    <n v="0"/>
    <x v="6"/>
    <n v="8.1000000000000014"/>
  </r>
  <r>
    <n v="15265317233"/>
    <n v="10"/>
    <m/>
    <x v="15"/>
    <n v="15179701182"/>
    <x v="13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886084"/>
    <s v="Produto 16"/>
    <n v="40"/>
    <n v="21"/>
    <n v="0"/>
    <n v="15.996"/>
    <n v="840"/>
    <n v="46"/>
    <s v="PRFL.00.0009"/>
    <n v="0"/>
    <n v="0"/>
    <s v="AMANDA HUBBE"/>
    <m/>
    <m/>
    <m/>
    <d v="2021-11-05T14:34:00"/>
    <n v="0"/>
    <n v="0"/>
    <x v="9"/>
    <n v="50.8"/>
  </r>
  <r>
    <n v="15265317233"/>
    <n v="10"/>
    <m/>
    <x v="15"/>
    <n v="15179701182"/>
    <x v="10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139667431"/>
    <s v="Produto 03"/>
    <n v="30"/>
    <n v="20.8"/>
    <n v="0"/>
    <n v="0"/>
    <n v="624"/>
    <n v="46"/>
    <s v="PRFL.00.0028"/>
    <n v="0"/>
    <n v="0"/>
    <s v="AMANDA HUBBE"/>
    <m/>
    <m/>
    <m/>
    <d v="2021-11-05T14:34:00"/>
    <n v="0"/>
    <n v="0"/>
    <x v="13"/>
    <n v="18"/>
  </r>
  <r>
    <n v="15265317233"/>
    <n v="10"/>
    <m/>
    <x v="15"/>
    <n v="15179701182"/>
    <x v="3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139727614"/>
    <s v="Produto 17"/>
    <n v="50"/>
    <n v="23.7"/>
    <n v="0"/>
    <n v="0"/>
    <n v="1185"/>
    <n v="46"/>
    <s v="PRFL.00.0029"/>
    <n v="0"/>
    <n v="0"/>
    <s v="AMANDA HUBBE"/>
    <m/>
    <m/>
    <m/>
    <d v="2021-11-05T14:34:00"/>
    <n v="0"/>
    <n v="0"/>
    <x v="8"/>
    <n v="71"/>
  </r>
  <r>
    <n v="15265317233"/>
    <n v="10"/>
    <m/>
    <x v="15"/>
    <n v="15179701182"/>
    <x v="1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353721"/>
    <s v="Produto 01"/>
    <n v="58"/>
    <n v="7.8"/>
    <n v="0"/>
    <n v="5.58"/>
    <n v="452.4"/>
    <n v="46"/>
    <s v="PRFL.00.0002"/>
    <n v="0"/>
    <n v="0"/>
    <s v="AMANDA HUBBE"/>
    <m/>
    <m/>
    <m/>
    <d v="2021-11-05T14:34:00"/>
    <n v="0"/>
    <n v="0"/>
    <x v="7"/>
    <n v="23.200000000000003"/>
  </r>
  <r>
    <n v="15266549073"/>
    <n v="15"/>
    <m/>
    <x v="15"/>
    <n v="15266257098"/>
    <x v="2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5911944"/>
    <s v="Produto 08"/>
    <n v="6000"/>
    <n v="12.89"/>
    <n v="0"/>
    <n v="10.285"/>
    <n v="77340"/>
    <n v="63"/>
    <s v="PRFL.00.0010"/>
    <n v="0"/>
    <n v="0"/>
    <m/>
    <m/>
    <m/>
    <m/>
    <d v="2021-11-05T14:35:00"/>
    <n v="0"/>
    <n v="0"/>
    <x v="14"/>
    <n v="6600.0000000000009"/>
  </r>
  <r>
    <n v="15266549073"/>
    <n v="15"/>
    <m/>
    <x v="15"/>
    <n v="15266257098"/>
    <x v="9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6093155"/>
    <s v="Produto 05"/>
    <n v="1500"/>
    <n v="17.78"/>
    <n v="0"/>
    <n v="14.4596"/>
    <n v="26670"/>
    <n v="63"/>
    <s v="PRFL.00.0026"/>
    <n v="0"/>
    <n v="0"/>
    <m/>
    <m/>
    <m/>
    <m/>
    <d v="2021-11-05T14:35:00"/>
    <n v="0"/>
    <n v="0"/>
    <x v="5"/>
    <n v="900"/>
  </r>
  <r>
    <n v="15266549073"/>
    <n v="15"/>
    <m/>
    <x v="15"/>
    <n v="15266257098"/>
    <x v="13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6099089"/>
    <s v="Produto 11"/>
    <n v="1500"/>
    <n v="20.78"/>
    <n v="0"/>
    <n v="16.804400000000001"/>
    <n v="31170"/>
    <n v="63"/>
    <s v="PRFL.00.0027"/>
    <n v="0"/>
    <n v="0"/>
    <m/>
    <m/>
    <m/>
    <m/>
    <d v="2021-11-05T14:35:00"/>
    <n v="0"/>
    <n v="0"/>
    <x v="11"/>
    <n v="1650.0000000000002"/>
  </r>
  <r>
    <n v="15266549073"/>
    <n v="15"/>
    <m/>
    <x v="15"/>
    <n v="15266257098"/>
    <x v="12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5867005"/>
    <s v="Produto 12"/>
    <n v="900"/>
    <n v="16"/>
    <n v="0"/>
    <n v="13.763999999999999"/>
    <n v="14400"/>
    <n v="63"/>
    <s v="PRFL.00.0008"/>
    <n v="0"/>
    <n v="0"/>
    <m/>
    <m/>
    <m/>
    <m/>
    <d v="2021-11-05T14:35:00"/>
    <n v="0"/>
    <n v="0"/>
    <x v="15"/>
    <n v="1260"/>
  </r>
  <r>
    <n v="15266549073"/>
    <n v="15"/>
    <m/>
    <x v="15"/>
    <n v="15266257098"/>
    <x v="0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5886084"/>
    <s v="Produto 07"/>
    <n v="900"/>
    <n v="18.7"/>
    <n v="0"/>
    <n v="15.996"/>
    <n v="16830"/>
    <n v="63"/>
    <s v="PRFL.00.0009"/>
    <n v="0"/>
    <n v="0"/>
    <m/>
    <m/>
    <m/>
    <m/>
    <d v="2021-11-05T14:35:00"/>
    <n v="0"/>
    <n v="0"/>
    <x v="12"/>
    <n v="990.00000000000011"/>
  </r>
  <r>
    <n v="15266868549"/>
    <n v="16"/>
    <m/>
    <x v="15"/>
    <n v="15266819008"/>
    <x v="19"/>
    <s v="03.243.457/0001-15"/>
    <s v="R LRG VIRMOND DE LIMA, 83, N/A"/>
    <s v="SEMINARIO"/>
    <s v="Curitiba"/>
    <s v="80440-030"/>
    <s v="PR"/>
    <s v="Leparc@Leparc.com.br"/>
    <n v="41999473993"/>
    <n v="0"/>
    <n v="0"/>
    <m/>
    <s v="Atendido"/>
    <n v="15016043939"/>
    <s v="Produto 03"/>
    <n v="150"/>
    <n v="13.9"/>
    <n v="0"/>
    <n v="10.747"/>
    <n v="2085"/>
    <n v="64"/>
    <s v="PRFL.00.0019"/>
    <n v="0"/>
    <n v="0"/>
    <m/>
    <m/>
    <m/>
    <m/>
    <d v="2021-11-05T14:35:00"/>
    <n v="0"/>
    <n v="0"/>
    <x v="13"/>
    <n v="90"/>
  </r>
  <r>
    <n v="15266868549"/>
    <n v="16"/>
    <m/>
    <x v="15"/>
    <n v="15266819008"/>
    <x v="12"/>
    <s v="03.243.457/0001-15"/>
    <s v="R LRG VIRMOND DE LIMA, 83, N/A"/>
    <s v="SEMINARIO"/>
    <s v="Curitiba"/>
    <s v="80440-030"/>
    <s v="PR"/>
    <s v="Leparc@Leparc.com.br"/>
    <n v="41999473993"/>
    <n v="0"/>
    <n v="0"/>
    <m/>
    <s v="Atendido"/>
    <n v="15015918644"/>
    <s v="Produto 15"/>
    <n v="100"/>
    <n v="8.1999999999999993"/>
    <n v="0"/>
    <n v="5.61"/>
    <n v="820"/>
    <n v="64"/>
    <s v="PRFL.00.0011"/>
    <n v="0"/>
    <n v="0"/>
    <m/>
    <m/>
    <m/>
    <m/>
    <d v="2021-11-05T14:35:00"/>
    <n v="0"/>
    <n v="0"/>
    <x v="16"/>
    <n v="142"/>
  </r>
  <r>
    <n v="15266868549"/>
    <n v="16"/>
    <m/>
    <x v="15"/>
    <n v="15266819008"/>
    <x v="15"/>
    <s v="03.243.457/0001-15"/>
    <s v="R LRG VIRMOND DE LIMA, 83, N/A"/>
    <s v="SEMINARIO"/>
    <s v="Curitiba"/>
    <s v="80440-030"/>
    <s v="PR"/>
    <s v="Leparc@Leparc.com.br"/>
    <n v="41999473993"/>
    <n v="0"/>
    <n v="0"/>
    <m/>
    <s v="Atendido"/>
    <n v="15015511068"/>
    <s v="Produto 09"/>
    <n v="70"/>
    <n v="16.2"/>
    <n v="0"/>
    <n v="10.23"/>
    <n v="1134"/>
    <n v="64"/>
    <s v="PRFL.00.0005"/>
    <n v="0"/>
    <n v="0"/>
    <m/>
    <m/>
    <m/>
    <m/>
    <d v="2021-11-05T14:35:00"/>
    <n v="0"/>
    <n v="0"/>
    <x v="4"/>
    <n v="77"/>
  </r>
  <r>
    <n v="15276601028"/>
    <n v="56"/>
    <m/>
    <x v="15"/>
    <n v="15276535450"/>
    <x v="13"/>
    <s v="03.389.734/0001-00"/>
    <s v="AV GETULIO VARGAS, 3454, SALA 01"/>
    <s v="CENTRO"/>
    <s v="Santo Ângelo"/>
    <n v="98802356"/>
    <s v="RS"/>
    <m/>
    <m/>
    <n v="0"/>
    <n v="0"/>
    <m/>
    <s v="Atendido"/>
    <n v="15016099089"/>
    <s v="Produto 12"/>
    <n v="900"/>
    <n v="21.3"/>
    <n v="0"/>
    <n v="16.804400000000001"/>
    <n v="19170"/>
    <n v="66"/>
    <s v="PRFL.00.0027"/>
    <n v="0"/>
    <n v="0"/>
    <m/>
    <m/>
    <m/>
    <m/>
    <d v="2021-11-05T14:33:00"/>
    <n v="0"/>
    <n v="0"/>
    <x v="15"/>
    <n v="1260"/>
  </r>
  <r>
    <n v="15276601028"/>
    <n v="56"/>
    <m/>
    <x v="15"/>
    <n v="15276535450"/>
    <x v="12"/>
    <s v="03.389.734/0001-00"/>
    <s v="AV GETULIO VARGAS, 3454, SALA 01"/>
    <s v="CENTRO"/>
    <s v="Santo Ângelo"/>
    <n v="98802356"/>
    <s v="RS"/>
    <m/>
    <m/>
    <n v="0"/>
    <n v="0"/>
    <m/>
    <s v="Atendido"/>
    <n v="15016087271"/>
    <s v="Produto 05"/>
    <n v="600"/>
    <n v="18.2"/>
    <n v="0"/>
    <n v="14.4596"/>
    <n v="10920"/>
    <n v="66"/>
    <s v="PRFL.00.0025"/>
    <n v="0"/>
    <n v="0"/>
    <m/>
    <m/>
    <m/>
    <m/>
    <d v="2021-11-05T14:33:00"/>
    <n v="0"/>
    <n v="0"/>
    <x v="5"/>
    <n v="360"/>
  </r>
  <r>
    <n v="15276601028"/>
    <n v="56"/>
    <m/>
    <x v="15"/>
    <n v="15276535450"/>
    <x v="3"/>
    <s v="03.389.734/0001-00"/>
    <s v="AV GETULIO VARGAS, 3454, SALA 01"/>
    <s v="CENTRO"/>
    <s v="Santo Ângelo"/>
    <n v="98802356"/>
    <s v="RS"/>
    <m/>
    <m/>
    <n v="0"/>
    <n v="0"/>
    <m/>
    <s v="Atendido"/>
    <n v="15016080333"/>
    <s v="Produto 10"/>
    <n v="200"/>
    <n v="18.2"/>
    <n v="0"/>
    <n v="10.747"/>
    <n v="3640"/>
    <n v="66"/>
    <s v="PRFL.00.0024"/>
    <n v="0"/>
    <n v="0"/>
    <m/>
    <m/>
    <m/>
    <m/>
    <d v="2021-11-05T14:33:00"/>
    <n v="0"/>
    <n v="0"/>
    <x v="3"/>
    <n v="220.00000000000003"/>
  </r>
  <r>
    <n v="15276601028"/>
    <n v="56"/>
    <m/>
    <x v="15"/>
    <n v="15276535450"/>
    <x v="17"/>
    <s v="03.389.734/0001-00"/>
    <s v="AV GETULIO VARGAS, 3454, SALA 01"/>
    <s v="CENTRO"/>
    <s v="Santo Ângelo"/>
    <n v="98802356"/>
    <s v="RS"/>
    <m/>
    <m/>
    <n v="0"/>
    <n v="0"/>
    <m/>
    <s v="Atendido"/>
    <n v="15015918644"/>
    <s v="Produto 13"/>
    <n v="1000"/>
    <n v="8.1999999999999993"/>
    <n v="0"/>
    <n v="5.61"/>
    <n v="8200"/>
    <n v="66"/>
    <s v="PRFL.00.0011"/>
    <n v="0"/>
    <n v="0"/>
    <m/>
    <m/>
    <m/>
    <m/>
    <d v="2021-11-05T14:33:00"/>
    <n v="0"/>
    <n v="0"/>
    <x v="2"/>
    <n v="1400"/>
  </r>
  <r>
    <n v="15276601028"/>
    <n v="56"/>
    <m/>
    <x v="15"/>
    <n v="15276535450"/>
    <x v="0"/>
    <s v="03.389.734/0001-00"/>
    <s v="AV GETULIO VARGAS, 3454, SALA 01"/>
    <s v="CENTRO"/>
    <s v="Santo Ângelo"/>
    <n v="98802356"/>
    <s v="RS"/>
    <m/>
    <m/>
    <n v="0"/>
    <n v="0"/>
    <m/>
    <s v="Atendido"/>
    <n v="15015511068"/>
    <s v="Produto 06"/>
    <n v="600"/>
    <n v="16.2"/>
    <n v="0"/>
    <n v="10.23"/>
    <n v="9720"/>
    <n v="66"/>
    <s v="PRFL.00.0005"/>
    <n v="0"/>
    <n v="0"/>
    <m/>
    <m/>
    <m/>
    <m/>
    <d v="2021-11-05T14:33:00"/>
    <n v="0"/>
    <n v="0"/>
    <x v="0"/>
    <n v="300"/>
  </r>
  <r>
    <n v="15290616139"/>
    <n v="82"/>
    <m/>
    <x v="15"/>
    <n v="15179608501"/>
    <x v="19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99089"/>
    <s v="Produto 08"/>
    <n v="150"/>
    <n v="17.75"/>
    <n v="0"/>
    <n v="16.804400000000001"/>
    <n v="2662.5"/>
    <n v="42"/>
    <s v="PRFL.00.0027"/>
    <n v="0"/>
    <n v="0"/>
    <s v="AMANDA HUBBE"/>
    <m/>
    <m/>
    <m/>
    <d v="2021-11-05T10:33:00"/>
    <n v="0"/>
    <n v="0"/>
    <x v="14"/>
    <n v="165"/>
  </r>
  <r>
    <n v="15267394942"/>
    <n v="20"/>
    <m/>
    <x v="16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15"/>
    <n v="150"/>
    <n v="20.6"/>
    <n v="0"/>
    <n v="16.804400000000001"/>
    <n v="3090"/>
    <n v="41"/>
    <s v="PRFL.00.0027"/>
    <n v="0"/>
    <n v="0"/>
    <m/>
    <m/>
    <m/>
    <m/>
    <d v="2021-11-08T14:40:00"/>
    <n v="0"/>
    <n v="0"/>
    <x v="16"/>
    <n v="213"/>
  </r>
  <r>
    <n v="15267394942"/>
    <n v="20"/>
    <m/>
    <x v="16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2"/>
    <n v="150"/>
    <n v="17.8"/>
    <n v="0"/>
    <n v="14.4596"/>
    <n v="2670"/>
    <n v="41"/>
    <s v="PRFL.00.0026"/>
    <n v="0"/>
    <n v="0"/>
    <m/>
    <m/>
    <m/>
    <m/>
    <d v="2021-11-08T14:40:00"/>
    <n v="0"/>
    <n v="0"/>
    <x v="6"/>
    <n v="40.5"/>
  </r>
  <r>
    <n v="15267394942"/>
    <n v="20"/>
    <m/>
    <x v="16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12"/>
    <n v="100"/>
    <n v="17.8"/>
    <n v="0"/>
    <n v="14.4596"/>
    <n v="1780"/>
    <n v="41"/>
    <s v="PRFL.00.0025"/>
    <n v="0"/>
    <n v="0"/>
    <m/>
    <m/>
    <m/>
    <m/>
    <d v="2021-11-08T14:40:00"/>
    <n v="0"/>
    <n v="0"/>
    <x v="15"/>
    <n v="140"/>
  </r>
  <r>
    <n v="15267394942"/>
    <n v="20"/>
    <m/>
    <x v="16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08"/>
    <n v="100"/>
    <n v="14"/>
    <n v="0"/>
    <n v="10.747"/>
    <n v="1400"/>
    <n v="41"/>
    <s v="PRFL.00.0024"/>
    <n v="0"/>
    <n v="0"/>
    <m/>
    <m/>
    <m/>
    <m/>
    <d v="2021-11-08T14:40:00"/>
    <n v="0"/>
    <n v="0"/>
    <x v="14"/>
    <n v="110.00000000000001"/>
  </r>
  <r>
    <n v="15267394942"/>
    <n v="20"/>
    <m/>
    <x v="16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5"/>
    <n v="200"/>
    <n v="12.9"/>
    <n v="0"/>
    <n v="10.747"/>
    <n v="2580"/>
    <n v="41"/>
    <s v="PRFL.00.0019"/>
    <n v="0"/>
    <n v="0"/>
    <m/>
    <m/>
    <m/>
    <m/>
    <d v="2021-11-08T14:40:00"/>
    <n v="0"/>
    <n v="0"/>
    <x v="5"/>
    <n v="120"/>
  </r>
  <r>
    <n v="15267394942"/>
    <n v="20"/>
    <m/>
    <x v="16"/>
    <n v="15179581888"/>
    <x v="1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67005"/>
    <s v="Produto 15"/>
    <n v="80"/>
    <n v="9.33"/>
    <n v="0"/>
    <n v="13.763999999999999"/>
    <n v="746.4"/>
    <n v="41"/>
    <s v="PRFL.00.0008"/>
    <n v="0"/>
    <n v="0"/>
    <m/>
    <m/>
    <m/>
    <m/>
    <d v="2021-11-08T14:40:00"/>
    <n v="0"/>
    <n v="0"/>
    <x v="16"/>
    <n v="113.6"/>
  </r>
  <r>
    <n v="15267394942"/>
    <n v="20"/>
    <m/>
    <x v="16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886084"/>
    <s v="Produto 13"/>
    <n v="197"/>
    <n v="10.88"/>
    <n v="0"/>
    <n v="15.996"/>
    <n v="2143.36"/>
    <n v="41"/>
    <s v="PRFL.00.0009"/>
    <n v="0"/>
    <n v="0"/>
    <m/>
    <m/>
    <m/>
    <m/>
    <d v="2021-11-08T14:40:00"/>
    <n v="0"/>
    <n v="0"/>
    <x v="2"/>
    <n v="275.79999999999995"/>
  </r>
  <r>
    <n v="15267394942"/>
    <n v="20"/>
    <m/>
    <x v="16"/>
    <n v="15179581888"/>
    <x v="1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085610"/>
    <s v="Produto 15"/>
    <n v="10"/>
    <n v="7.12"/>
    <n v="0"/>
    <n v="10.23"/>
    <n v="71.2"/>
    <n v="41"/>
    <s v="PRFL.00.0001"/>
    <n v="0"/>
    <n v="0"/>
    <m/>
    <m/>
    <m/>
    <m/>
    <d v="2021-11-08T14:40:00"/>
    <n v="0"/>
    <n v="0"/>
    <x v="16"/>
    <n v="14.2"/>
  </r>
  <r>
    <n v="15267394942"/>
    <n v="20"/>
    <m/>
    <x v="16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66088"/>
    <s v="Produto 04"/>
    <n v="75"/>
    <n v="8.35"/>
    <n v="0"/>
    <n v="10.747"/>
    <n v="626.25"/>
    <n v="41"/>
    <s v="PRFL.00.0022"/>
    <n v="0"/>
    <n v="0"/>
    <m/>
    <m/>
    <m/>
    <m/>
    <d v="2021-11-08T14:40:00"/>
    <n v="0"/>
    <n v="0"/>
    <x v="10"/>
    <n v="45"/>
  </r>
  <r>
    <n v="15267394942"/>
    <n v="20"/>
    <m/>
    <x v="16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4"/>
    <n v="2"/>
    <n v="4.1900000000000004"/>
    <n v="0"/>
    <n v="5.61"/>
    <n v="8.3800000000000008"/>
    <n v="41"/>
    <s v="PRFL.00.0011"/>
    <n v="0"/>
    <n v="0"/>
    <m/>
    <m/>
    <m/>
    <m/>
    <d v="2021-11-08T14:40:00"/>
    <n v="0"/>
    <n v="0"/>
    <x v="10"/>
    <n v="1.2"/>
  </r>
  <r>
    <n v="15293297297"/>
    <n v="99"/>
    <m/>
    <x v="16"/>
    <n v="15291803674"/>
    <x v="1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80333"/>
    <s v="Produto 04"/>
    <n v="600"/>
    <n v="14.1"/>
    <n v="0"/>
    <n v="10.747"/>
    <n v="8460"/>
    <n v="73"/>
    <s v="PRFL.00.0024"/>
    <n v="0"/>
    <n v="0"/>
    <m/>
    <m/>
    <m/>
    <m/>
    <d v="2021-11-08T17:10:00"/>
    <n v="0"/>
    <n v="0"/>
    <x v="10"/>
    <n v="360"/>
  </r>
  <r>
    <n v="15265690123"/>
    <n v="12"/>
    <m/>
    <x v="17"/>
    <n v="15265449061"/>
    <x v="10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5911944"/>
    <s v="Produto 15"/>
    <n v="200"/>
    <n v="13.65"/>
    <n v="0"/>
    <n v="10.285"/>
    <n v="2730"/>
    <n v="60"/>
    <s v="PRFL.00.0010"/>
    <n v="0"/>
    <n v="0"/>
    <s v="FERNANDO CARDOSO"/>
    <m/>
    <m/>
    <m/>
    <d v="2021-11-09T14:36:00"/>
    <n v="0"/>
    <n v="0"/>
    <x v="16"/>
    <n v="284"/>
  </r>
  <r>
    <n v="15265690123"/>
    <n v="12"/>
    <m/>
    <x v="17"/>
    <n v="15265449061"/>
    <x v="10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5918644"/>
    <s v="Produto 10"/>
    <n v="200"/>
    <n v="7.9"/>
    <n v="0"/>
    <n v="5.61"/>
    <n v="1580"/>
    <n v="60"/>
    <s v="PRFL.00.0011"/>
    <n v="0"/>
    <n v="0"/>
    <s v="FERNANDO CARDOSO"/>
    <m/>
    <m/>
    <m/>
    <d v="2021-11-09T14:36:00"/>
    <n v="0"/>
    <n v="0"/>
    <x v="3"/>
    <n v="220.00000000000003"/>
  </r>
  <r>
    <n v="15265690123"/>
    <n v="12"/>
    <m/>
    <x v="17"/>
    <n v="15265449061"/>
    <x v="17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93155"/>
    <s v="Produto 12"/>
    <n v="100"/>
    <n v="18.14"/>
    <n v="0"/>
    <n v="14.4596"/>
    <n v="1814"/>
    <n v="60"/>
    <s v="PRFL.00.0026"/>
    <n v="0"/>
    <n v="0"/>
    <s v="FERNANDO CARDOSO"/>
    <m/>
    <m/>
    <m/>
    <d v="2021-11-09T14:36:00"/>
    <n v="0"/>
    <n v="0"/>
    <x v="15"/>
    <n v="140"/>
  </r>
  <r>
    <n v="15265690123"/>
    <n v="12"/>
    <m/>
    <x v="17"/>
    <n v="15265449061"/>
    <x v="5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80333"/>
    <s v="Produto 13"/>
    <n v="50"/>
    <n v="14.7"/>
    <n v="0"/>
    <n v="10.747"/>
    <n v="735"/>
    <n v="60"/>
    <s v="PRFL.00.0024"/>
    <n v="0"/>
    <n v="0"/>
    <s v="FERNANDO CARDOSO"/>
    <m/>
    <m/>
    <m/>
    <d v="2021-11-09T14:36:00"/>
    <n v="0"/>
    <n v="0"/>
    <x v="2"/>
    <n v="70"/>
  </r>
  <r>
    <n v="15290413167"/>
    <n v="79"/>
    <m/>
    <x v="17"/>
    <n v="15179803016"/>
    <x v="5"/>
    <s v="13.559.797/0001-03"/>
    <s v="AV NOE REBESCO, 1650"/>
    <s v="LAGOA"/>
    <s v="Irati"/>
    <n v="84500000"/>
    <s v="PR"/>
    <s v="Julio@Irati.com"/>
    <n v="42999250064"/>
    <n v="0"/>
    <n v="0"/>
    <m/>
    <s v="Atendido"/>
    <n v="15016043939"/>
    <s v="Produto 09"/>
    <n v="150"/>
    <n v="13.9"/>
    <n v="0"/>
    <n v="10.747"/>
    <n v="2085"/>
    <n v="50"/>
    <s v="PRFL.00.0019"/>
    <n v="0"/>
    <n v="0"/>
    <s v="AMANDA HUBBE"/>
    <m/>
    <m/>
    <m/>
    <d v="2021-11-10T10:15:00"/>
    <n v="0"/>
    <n v="0"/>
    <x v="4"/>
    <n v="165"/>
  </r>
  <r>
    <n v="15290413167"/>
    <n v="79"/>
    <m/>
    <x v="17"/>
    <n v="15179803016"/>
    <x v="16"/>
    <s v="13.559.797/0001-03"/>
    <s v="AV NOE REBESCO, 1650"/>
    <s v="LAGOA"/>
    <s v="Irati"/>
    <n v="84500000"/>
    <s v="PR"/>
    <s v="Julio@Irati.com"/>
    <n v="42999250064"/>
    <n v="0"/>
    <n v="0"/>
    <m/>
    <s v="Atendido"/>
    <n v="15016073255"/>
    <s v="Produto 05"/>
    <n v="100"/>
    <n v="16.2"/>
    <n v="0"/>
    <n v="10.747"/>
    <n v="1620"/>
    <n v="50"/>
    <s v="PRFL.00.0023"/>
    <n v="0"/>
    <n v="0"/>
    <s v="AMANDA HUBBE"/>
    <m/>
    <m/>
    <m/>
    <d v="2021-11-10T10:15:00"/>
    <n v="0"/>
    <n v="0"/>
    <x v="5"/>
    <n v="60"/>
  </r>
  <r>
    <n v="15290413167"/>
    <n v="79"/>
    <m/>
    <x v="17"/>
    <n v="15179803016"/>
    <x v="15"/>
    <s v="13.559.797/0001-03"/>
    <s v="AV NOE REBESCO, 1650"/>
    <s v="LAGOA"/>
    <s v="Irati"/>
    <n v="84500000"/>
    <s v="PR"/>
    <s v="Julio@Irati.com"/>
    <n v="42999250064"/>
    <n v="0"/>
    <n v="0"/>
    <m/>
    <s v="Atendido"/>
    <n v="15015353721"/>
    <s v="Produto 05"/>
    <n v="60"/>
    <n v="8.3000000000000007"/>
    <n v="0"/>
    <n v="5.58"/>
    <n v="498"/>
    <n v="50"/>
    <s v="PRFL.00.0002"/>
    <n v="0"/>
    <n v="0"/>
    <s v="AMANDA HUBBE"/>
    <m/>
    <m/>
    <m/>
    <d v="2021-11-10T10:15:00"/>
    <n v="0"/>
    <n v="0"/>
    <x v="5"/>
    <n v="36"/>
  </r>
  <r>
    <n v="15290848133"/>
    <n v="84"/>
    <m/>
    <x v="17"/>
    <n v="15179746175"/>
    <x v="19"/>
    <s v="27.774.006/0001-72"/>
    <s v="R JOSE LINHARES, 145"/>
    <s v="MONTE ALEGRE"/>
    <s v="TELEMACO BORBA"/>
    <n v="84266280"/>
    <s v="PR"/>
    <m/>
    <m/>
    <n v="0"/>
    <n v="0"/>
    <m/>
    <s v="Atendido"/>
    <n v="15016043939"/>
    <s v="Produto 12"/>
    <n v="150"/>
    <n v="13.6"/>
    <n v="0"/>
    <n v="10.747"/>
    <n v="2040"/>
    <n v="48"/>
    <s v="PRFL.00.0019"/>
    <n v="0"/>
    <n v="0"/>
    <s v="AMANDA HUBBE"/>
    <m/>
    <m/>
    <m/>
    <d v="2021-11-09T17:09:00"/>
    <n v="0"/>
    <n v="0"/>
    <x v="15"/>
    <n v="210"/>
  </r>
  <r>
    <n v="15290848133"/>
    <n v="84"/>
    <m/>
    <x v="17"/>
    <n v="15179746175"/>
    <x v="10"/>
    <s v="27.774.006/0001-72"/>
    <s v="R JOSE LINHARES, 145"/>
    <s v="MONTE ALEGRE"/>
    <s v="TELEMACO BORBA"/>
    <n v="84266280"/>
    <s v="PR"/>
    <m/>
    <m/>
    <n v="0"/>
    <n v="0"/>
    <m/>
    <s v="Atendido"/>
    <n v="15016099089"/>
    <s v="Produto 17"/>
    <n v="220"/>
    <n v="21.3"/>
    <n v="0"/>
    <n v="16.804400000000001"/>
    <n v="4686"/>
    <n v="48"/>
    <s v="PRFL.00.0027"/>
    <n v="0"/>
    <n v="0"/>
    <s v="AMANDA HUBBE"/>
    <m/>
    <m/>
    <m/>
    <d v="2021-11-09T17:09:00"/>
    <n v="0"/>
    <n v="0"/>
    <x v="8"/>
    <n v="312.39999999999998"/>
  </r>
  <r>
    <n v="15290848133"/>
    <n v="84"/>
    <m/>
    <x v="17"/>
    <n v="15179746175"/>
    <x v="4"/>
    <s v="27.774.006/0001-72"/>
    <s v="R JOSE LINHARES, 145"/>
    <s v="MONTE ALEGRE"/>
    <s v="TELEMACO BORBA"/>
    <n v="84266280"/>
    <s v="PR"/>
    <m/>
    <m/>
    <n v="0"/>
    <n v="0"/>
    <m/>
    <s v="Atendido"/>
    <n v="15016093155"/>
    <s v="Produto 06"/>
    <n v="80"/>
    <n v="18.2"/>
    <n v="0"/>
    <n v="14.4596"/>
    <n v="1456"/>
    <n v="48"/>
    <s v="PRFL.00.0026"/>
    <n v="0"/>
    <n v="0"/>
    <s v="AMANDA HUBBE"/>
    <m/>
    <m/>
    <m/>
    <d v="2021-11-09T17:09:00"/>
    <n v="0"/>
    <n v="0"/>
    <x v="0"/>
    <n v="40"/>
  </r>
  <r>
    <n v="15290848133"/>
    <n v="84"/>
    <m/>
    <x v="17"/>
    <n v="15179746175"/>
    <x v="18"/>
    <s v="27.774.006/0001-72"/>
    <s v="R JOSE LINHARES, 145"/>
    <s v="MONTE ALEGRE"/>
    <s v="TELEMACO BORBA"/>
    <n v="84266280"/>
    <s v="PR"/>
    <m/>
    <m/>
    <n v="0"/>
    <n v="0"/>
    <m/>
    <s v="Atendido"/>
    <n v="15016087271"/>
    <s v="Produto 08"/>
    <n v="60"/>
    <n v="18.2"/>
    <n v="0"/>
    <n v="14.4596"/>
    <n v="1092"/>
    <n v="48"/>
    <s v="PRFL.00.0025"/>
    <n v="0"/>
    <n v="0"/>
    <s v="AMANDA HUBBE"/>
    <m/>
    <m/>
    <m/>
    <d v="2021-11-09T17:09:00"/>
    <n v="0"/>
    <n v="0"/>
    <x v="14"/>
    <n v="66"/>
  </r>
  <r>
    <n v="15290848133"/>
    <n v="84"/>
    <m/>
    <x v="17"/>
    <n v="15179746175"/>
    <x v="15"/>
    <s v="27.774.006/0001-72"/>
    <s v="R JOSE LINHARES, 145"/>
    <s v="MONTE ALEGRE"/>
    <s v="TELEMACO BORBA"/>
    <n v="84266280"/>
    <s v="PR"/>
    <m/>
    <m/>
    <n v="0"/>
    <n v="0"/>
    <m/>
    <s v="Atendido"/>
    <n v="15016080333"/>
    <s v="Produto 06"/>
    <n v="40"/>
    <n v="15.2"/>
    <n v="0"/>
    <n v="10.747"/>
    <n v="608"/>
    <n v="48"/>
    <s v="PRFL.00.0024"/>
    <n v="0"/>
    <n v="0"/>
    <s v="AMANDA HUBBE"/>
    <m/>
    <m/>
    <m/>
    <d v="2021-11-09T17:09:00"/>
    <n v="0"/>
    <n v="0"/>
    <x v="0"/>
    <n v="20"/>
  </r>
  <r>
    <n v="15295274677"/>
    <n v="107"/>
    <m/>
    <x v="17"/>
    <n v="15295222146"/>
    <x v="9"/>
    <s v="23.980.813/0001-90"/>
    <s v="EST CAIUARU, 28, N/A"/>
    <s v="Pq Industrial"/>
    <s v="Nova Esperança"/>
    <s v="87600-000"/>
    <s v="PR"/>
    <m/>
    <m/>
    <n v="0"/>
    <n v="0"/>
    <m/>
    <s v="Atendido"/>
    <n v="15016043939"/>
    <s v="Produto 09"/>
    <n v="1500"/>
    <n v="13.1"/>
    <n v="0"/>
    <n v="10.747"/>
    <n v="19650"/>
    <n v="77"/>
    <s v="PRFL.00.0019"/>
    <n v="0"/>
    <n v="0"/>
    <m/>
    <m/>
    <m/>
    <m/>
    <d v="2021-11-10T08:07:00"/>
    <n v="0"/>
    <n v="0"/>
    <x v="4"/>
    <n v="1650.0000000000002"/>
  </r>
  <r>
    <n v="15295274677"/>
    <n v="107"/>
    <m/>
    <x v="17"/>
    <n v="15295222146"/>
    <x v="17"/>
    <s v="23.980.813/0001-90"/>
    <s v="EST CAIUARU, 28, N/A"/>
    <s v="Pq Industrial"/>
    <s v="Nova Esperança"/>
    <s v="87600-000"/>
    <s v="PR"/>
    <m/>
    <m/>
    <n v="0"/>
    <n v="0"/>
    <m/>
    <s v="Atendido"/>
    <n v="15015511068"/>
    <s v="Produto 05"/>
    <n v="750"/>
    <n v="15.4"/>
    <n v="0"/>
    <n v="10.23"/>
    <n v="11550"/>
    <n v="77"/>
    <s v="PRFL.00.0005"/>
    <n v="0"/>
    <n v="0"/>
    <m/>
    <m/>
    <m/>
    <m/>
    <d v="2021-11-10T08:07:00"/>
    <n v="0"/>
    <n v="0"/>
    <x v="5"/>
    <n v="450"/>
  </r>
  <r>
    <n v="15295274677"/>
    <n v="107"/>
    <m/>
    <x v="17"/>
    <n v="15295222146"/>
    <x v="4"/>
    <s v="23.980.813/0001-90"/>
    <s v="EST CAIUARU, 28, N/A"/>
    <s v="Pq Industrial"/>
    <s v="Nova Esperança"/>
    <s v="87600-000"/>
    <s v="PR"/>
    <m/>
    <m/>
    <n v="0"/>
    <n v="0"/>
    <m/>
    <s v="Atendido"/>
    <n v="15015918644"/>
    <s v="Produto 08"/>
    <n v="500"/>
    <n v="7.4"/>
    <n v="0"/>
    <n v="5.61"/>
    <n v="3700"/>
    <n v="77"/>
    <s v="PRFL.00.0011"/>
    <n v="0"/>
    <n v="0"/>
    <m/>
    <m/>
    <m/>
    <m/>
    <d v="2021-11-10T08:07:00"/>
    <n v="0"/>
    <n v="0"/>
    <x v="14"/>
    <n v="550"/>
  </r>
  <r>
    <n v="15295274677"/>
    <n v="107"/>
    <m/>
    <x v="17"/>
    <n v="15295222146"/>
    <x v="6"/>
    <s v="23.980.813/0001-90"/>
    <s v="EST CAIUARU, 28, N/A"/>
    <s v="Pq Industrial"/>
    <s v="Nova Esperança"/>
    <s v="87600-000"/>
    <s v="PR"/>
    <m/>
    <m/>
    <n v="0"/>
    <n v="0"/>
    <m/>
    <s v="Atendido"/>
    <n v="15016099089"/>
    <s v="Produto 02"/>
    <n v="350"/>
    <n v="21.3"/>
    <n v="0"/>
    <n v="16.804400000000001"/>
    <n v="7455"/>
    <n v="77"/>
    <s v="PRFL.00.0027"/>
    <n v="0"/>
    <n v="0"/>
    <m/>
    <m/>
    <m/>
    <m/>
    <d v="2021-11-10T08:07:00"/>
    <n v="0"/>
    <n v="0"/>
    <x v="6"/>
    <n v="94.5"/>
  </r>
  <r>
    <n v="15295274677"/>
    <n v="107"/>
    <m/>
    <x v="17"/>
    <n v="15295222146"/>
    <x v="2"/>
    <s v="23.980.813/0001-90"/>
    <s v="EST CAIUARU, 28, N/A"/>
    <s v="Pq Industrial"/>
    <s v="Nova Esperança"/>
    <s v="87600-000"/>
    <s v="PR"/>
    <m/>
    <m/>
    <n v="0"/>
    <n v="0"/>
    <m/>
    <s v="Atendido"/>
    <n v="15016093155"/>
    <s v="Produto 06"/>
    <n v="350"/>
    <n v="18.2"/>
    <n v="0"/>
    <n v="14.4596"/>
    <n v="6370"/>
    <n v="77"/>
    <s v="PRFL.00.0026"/>
    <n v="0"/>
    <n v="0"/>
    <m/>
    <m/>
    <m/>
    <m/>
    <d v="2021-11-10T08:07:00"/>
    <n v="0"/>
    <n v="0"/>
    <x v="0"/>
    <n v="175"/>
  </r>
  <r>
    <n v="15295274677"/>
    <n v="107"/>
    <m/>
    <x v="17"/>
    <n v="15295222146"/>
    <x v="19"/>
    <s v="23.980.813/0001-90"/>
    <s v="EST CAIUARU, 28, N/A"/>
    <s v="Pq Industrial"/>
    <s v="Nova Esperança"/>
    <s v="87600-000"/>
    <s v="PR"/>
    <m/>
    <m/>
    <n v="0"/>
    <n v="0"/>
    <m/>
    <s v="Atendido"/>
    <n v="15016080333"/>
    <s v="Produto 07"/>
    <n v="100"/>
    <n v="15.2"/>
    <n v="0"/>
    <n v="10.747"/>
    <n v="1520"/>
    <n v="77"/>
    <s v="PRFL.00.0024"/>
    <n v="0"/>
    <n v="0"/>
    <m/>
    <m/>
    <m/>
    <m/>
    <d v="2021-11-10T08:07:00"/>
    <n v="0"/>
    <n v="0"/>
    <x v="12"/>
    <n v="110.00000000000001"/>
  </r>
  <r>
    <n v="15295274677"/>
    <n v="107"/>
    <m/>
    <x v="17"/>
    <n v="15295222146"/>
    <x v="0"/>
    <s v="23.980.813/0001-90"/>
    <s v="EST CAIUARU, 28, N/A"/>
    <s v="Pq Industrial"/>
    <s v="Nova Esperança"/>
    <s v="87600-000"/>
    <s v="PR"/>
    <m/>
    <m/>
    <n v="0"/>
    <n v="0"/>
    <m/>
    <s v="Atendido"/>
    <n v="15016087271"/>
    <s v="Produto 15"/>
    <n v="100"/>
    <n v="18.2"/>
    <n v="0"/>
    <n v="14.4596"/>
    <n v="1820"/>
    <n v="77"/>
    <s v="PRFL.00.0025"/>
    <n v="0"/>
    <n v="0"/>
    <m/>
    <m/>
    <m/>
    <m/>
    <d v="2021-11-10T08:07:00"/>
    <n v="0"/>
    <n v="0"/>
    <x v="16"/>
    <n v="142"/>
  </r>
  <r>
    <n v="15290887242"/>
    <n v="85"/>
    <m/>
    <x v="18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3"/>
    <n v="100"/>
    <n v="14.1"/>
    <n v="0"/>
    <n v="10.747"/>
    <n v="1410"/>
    <n v="41"/>
    <s v="PRFL.00.0019"/>
    <n v="0"/>
    <n v="0"/>
    <s v="AMANDA HUBBE"/>
    <m/>
    <m/>
    <m/>
    <d v="2021-11-10T10:46:00"/>
    <n v="0"/>
    <n v="0"/>
    <x v="2"/>
    <n v="140"/>
  </r>
  <r>
    <n v="15290887242"/>
    <n v="85"/>
    <m/>
    <x v="18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353721"/>
    <s v="Produto 14"/>
    <n v="100"/>
    <n v="8.2799999999999994"/>
    <n v="0"/>
    <n v="5.58"/>
    <n v="828"/>
    <n v="41"/>
    <s v="PRFL.00.0002"/>
    <n v="0"/>
    <n v="0"/>
    <s v="AMANDA HUBBE"/>
    <m/>
    <m/>
    <m/>
    <d v="2021-11-10T10:46:00"/>
    <n v="0"/>
    <n v="0"/>
    <x v="1"/>
    <n v="140"/>
  </r>
  <r>
    <n v="15265085480"/>
    <n v="9"/>
    <m/>
    <x v="19"/>
    <n v="15020006032"/>
    <x v="1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93155"/>
    <s v="Produto 02"/>
    <n v="150"/>
    <n v="29.72"/>
    <n v="0"/>
    <n v="14.4596"/>
    <n v="4458"/>
    <n v="16"/>
    <s v="PRFL.00.0026"/>
    <n v="0"/>
    <n v="0"/>
    <m/>
    <m/>
    <m/>
    <m/>
    <d v="2021-11-11T14:37:00"/>
    <n v="0"/>
    <n v="0"/>
    <x v="6"/>
    <n v="40.5"/>
  </r>
  <r>
    <n v="15265620244"/>
    <n v="11"/>
    <m/>
    <x v="19"/>
    <n v="15265449061"/>
    <x v="5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5511068"/>
    <s v="Produto 05"/>
    <n v="200"/>
    <n v="16.100000000000001"/>
    <n v="0"/>
    <n v="10.23"/>
    <n v="3220"/>
    <n v="60"/>
    <s v="PRFL.00.0005"/>
    <n v="0"/>
    <n v="0"/>
    <s v="FERNANDO CARDOSO"/>
    <m/>
    <m/>
    <m/>
    <d v="2021-11-11T14:37:00"/>
    <n v="0"/>
    <n v="0"/>
    <x v="5"/>
    <n v="120"/>
  </r>
  <r>
    <n v="15265620244"/>
    <n v="11"/>
    <m/>
    <x v="19"/>
    <n v="15265449061"/>
    <x v="13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5911944"/>
    <s v="Produto 12"/>
    <n v="150"/>
    <n v="13.65"/>
    <n v="0"/>
    <n v="10.285"/>
    <n v="2047.5"/>
    <n v="60"/>
    <s v="PRFL.00.0010"/>
    <n v="0"/>
    <n v="0"/>
    <s v="FERNANDO CARDOSO"/>
    <m/>
    <m/>
    <m/>
    <d v="2021-11-11T14:37:00"/>
    <n v="0"/>
    <n v="0"/>
    <x v="15"/>
    <n v="210"/>
  </r>
  <r>
    <n v="15265620244"/>
    <n v="11"/>
    <m/>
    <x v="19"/>
    <n v="15265449061"/>
    <x v="6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93155"/>
    <s v="Produto 05"/>
    <n v="150"/>
    <n v="18.14"/>
    <n v="0"/>
    <n v="14.4596"/>
    <n v="2721"/>
    <n v="60"/>
    <s v="PRFL.00.0026"/>
    <n v="0"/>
    <n v="0"/>
    <s v="FERNANDO CARDOSO"/>
    <m/>
    <m/>
    <m/>
    <d v="2021-11-11T14:37:00"/>
    <n v="0"/>
    <n v="0"/>
    <x v="5"/>
    <n v="90"/>
  </r>
  <r>
    <n v="15265620244"/>
    <n v="11"/>
    <m/>
    <x v="19"/>
    <n v="15265449061"/>
    <x v="18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80333"/>
    <s v="Produto 13"/>
    <n v="50"/>
    <n v="14.7"/>
    <n v="0"/>
    <n v="10.747"/>
    <n v="735"/>
    <n v="60"/>
    <s v="PRFL.00.0024"/>
    <n v="0"/>
    <n v="0"/>
    <s v="FERNANDO CARDOSO"/>
    <m/>
    <m/>
    <m/>
    <d v="2021-11-11T14:37:00"/>
    <n v="0"/>
    <n v="0"/>
    <x v="2"/>
    <n v="70"/>
  </r>
  <r>
    <n v="15265620244"/>
    <n v="11"/>
    <m/>
    <x v="19"/>
    <n v="15265449061"/>
    <x v="5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87271"/>
    <s v="Produto 07"/>
    <n v="30"/>
    <n v="18.133299999999998"/>
    <n v="0"/>
    <n v="14.4596"/>
    <n v="543.99900000000002"/>
    <n v="60"/>
    <s v="PRFL.00.0025"/>
    <n v="0"/>
    <n v="0"/>
    <s v="FERNANDO CARDOSO"/>
    <m/>
    <m/>
    <m/>
    <d v="2021-11-11T14:37:00"/>
    <n v="0"/>
    <n v="0"/>
    <x v="12"/>
    <n v="33"/>
  </r>
  <r>
    <n v="15265620244"/>
    <n v="11"/>
    <m/>
    <x v="19"/>
    <n v="15265449061"/>
    <x v="11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5918644"/>
    <s v="Produto 10"/>
    <n v="150"/>
    <n v="7.9"/>
    <n v="0"/>
    <n v="5.61"/>
    <n v="1185"/>
    <n v="60"/>
    <s v="PRFL.00.0011"/>
    <n v="0"/>
    <n v="0"/>
    <s v="FERNANDO CARDOSO"/>
    <m/>
    <m/>
    <m/>
    <d v="2021-11-11T14:37:00"/>
    <n v="0"/>
    <n v="0"/>
    <x v="3"/>
    <n v="165"/>
  </r>
  <r>
    <n v="15265620244"/>
    <n v="11"/>
    <m/>
    <x v="19"/>
    <n v="15265449061"/>
    <x v="0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99089"/>
    <s v="Produto 06"/>
    <n v="50"/>
    <n v="21.1"/>
    <n v="0"/>
    <n v="16.804400000000001"/>
    <n v="1055"/>
    <n v="60"/>
    <s v="PRFL.00.0027"/>
    <n v="0"/>
    <n v="0"/>
    <s v="FERNANDO CARDOSO"/>
    <m/>
    <m/>
    <m/>
    <d v="2021-11-11T14:37:00"/>
    <n v="0"/>
    <n v="0"/>
    <x v="0"/>
    <n v="25"/>
  </r>
  <r>
    <n v="15265914621"/>
    <n v="13"/>
    <m/>
    <x v="19"/>
    <n v="15265793683"/>
    <x v="1"/>
    <s v="08.669.518/0001-24"/>
    <s v="R LEONIDAS GARCIA RODRIGUES, 270, N/A"/>
    <s v="CENTRO"/>
    <s v="Telêmaco Borba"/>
    <s v="84261-030"/>
    <s v="PR"/>
    <m/>
    <m/>
    <n v="0"/>
    <n v="350"/>
    <m/>
    <s v="Atendido"/>
    <n v="15015911944"/>
    <s v="Produto 14"/>
    <n v="350"/>
    <n v="13.95"/>
    <n v="0"/>
    <n v="10.285"/>
    <n v="4882.5"/>
    <n v="61"/>
    <s v="PRFL.00.0010"/>
    <n v="203.28"/>
    <n v="0"/>
    <s v="AMANDA HUBBE"/>
    <m/>
    <m/>
    <m/>
    <d v="2021-11-11T14:38:00"/>
    <n v="0"/>
    <n v="0"/>
    <x v="1"/>
    <n v="489.99999999999994"/>
  </r>
  <r>
    <n v="15265914621"/>
    <n v="13"/>
    <m/>
    <x v="19"/>
    <n v="15265793683"/>
    <x v="5"/>
    <s v="08.669.518/0001-24"/>
    <s v="R LEONIDAS GARCIA RODRIGUES, 270, N/A"/>
    <s v="CENTRO"/>
    <s v="Telêmaco Borba"/>
    <s v="84261-030"/>
    <s v="PR"/>
    <m/>
    <m/>
    <n v="0"/>
    <n v="350"/>
    <m/>
    <s v="Atendido"/>
    <n v="15015918644"/>
    <s v="Produto 02"/>
    <n v="200"/>
    <n v="8.1"/>
    <n v="0"/>
    <n v="5.61"/>
    <n v="1620"/>
    <n v="61"/>
    <s v="PRFL.00.0011"/>
    <n v="67.45"/>
    <n v="0"/>
    <s v="AMANDA HUBBE"/>
    <m/>
    <m/>
    <m/>
    <d v="2021-11-11T14:38:00"/>
    <n v="0"/>
    <n v="0"/>
    <x v="6"/>
    <n v="54"/>
  </r>
  <r>
    <n v="15265914621"/>
    <n v="13"/>
    <m/>
    <x v="19"/>
    <n v="15265793683"/>
    <x v="6"/>
    <s v="08.669.518/0001-24"/>
    <s v="R LEONIDAS GARCIA RODRIGUES, 270, N/A"/>
    <s v="CENTRO"/>
    <s v="Telêmaco Borba"/>
    <s v="84261-030"/>
    <s v="PR"/>
    <m/>
    <m/>
    <n v="0"/>
    <n v="350"/>
    <m/>
    <s v="Atendido"/>
    <n v="15016093155"/>
    <s v="Produto 11"/>
    <n v="80"/>
    <n v="18.100000000000001"/>
    <n v="0"/>
    <n v="14.4596"/>
    <n v="1448"/>
    <n v="61"/>
    <s v="PRFL.00.0026"/>
    <n v="60.29"/>
    <n v="0"/>
    <s v="AMANDA HUBBE"/>
    <m/>
    <m/>
    <m/>
    <d v="2021-11-11T14:38:00"/>
    <n v="0"/>
    <n v="0"/>
    <x v="11"/>
    <n v="88"/>
  </r>
  <r>
    <n v="15265914621"/>
    <n v="13"/>
    <m/>
    <x v="19"/>
    <n v="15265793683"/>
    <x v="6"/>
    <s v="08.669.518/0001-24"/>
    <s v="R LEONIDAS GARCIA RODRIGUES, 270, N/A"/>
    <s v="CENTRO"/>
    <s v="Telêmaco Borba"/>
    <s v="84261-030"/>
    <s v="PR"/>
    <m/>
    <m/>
    <n v="0"/>
    <n v="350"/>
    <m/>
    <s v="Atendido"/>
    <n v="15016080333"/>
    <s v="Produto 08"/>
    <n v="30"/>
    <n v="15.2"/>
    <n v="0"/>
    <n v="10.747"/>
    <n v="456"/>
    <n v="61"/>
    <s v="PRFL.00.0024"/>
    <n v="18.989999999999998"/>
    <n v="0"/>
    <s v="AMANDA HUBBE"/>
    <m/>
    <m/>
    <m/>
    <d v="2021-11-11T14:38:00"/>
    <n v="0"/>
    <n v="0"/>
    <x v="14"/>
    <n v="33"/>
  </r>
  <r>
    <n v="15266063318"/>
    <n v="14"/>
    <m/>
    <x v="19"/>
    <n v="15265974994"/>
    <x v="16"/>
    <s v="07.916.986/0001-93"/>
    <s v="RUA SAUL DALLAGO, 555, Nao Informado"/>
    <s v="CEDRO"/>
    <s v="Camboriú"/>
    <n v="88340001"/>
    <s v="SC"/>
    <m/>
    <m/>
    <n v="0"/>
    <n v="0"/>
    <m/>
    <s v="Atendido"/>
    <n v="15015918644"/>
    <s v="Produto 14"/>
    <n v="600"/>
    <n v="7.9"/>
    <n v="0"/>
    <n v="5.61"/>
    <n v="4740"/>
    <n v="62"/>
    <s v="PRFL.00.0011"/>
    <n v="0"/>
    <n v="0"/>
    <s v="FERNANDO CARDOSO"/>
    <m/>
    <m/>
    <m/>
    <d v="2021-11-11T14:37:00"/>
    <n v="0"/>
    <n v="0"/>
    <x v="1"/>
    <n v="840"/>
  </r>
  <r>
    <n v="15266063318"/>
    <n v="14"/>
    <m/>
    <x v="19"/>
    <n v="15265974994"/>
    <x v="2"/>
    <s v="07.916.986/0001-93"/>
    <s v="RUA SAUL DALLAGO, 555, Nao Informado"/>
    <s v="CEDRO"/>
    <s v="Camboriú"/>
    <n v="88340001"/>
    <s v="SC"/>
    <m/>
    <m/>
    <n v="0"/>
    <n v="0"/>
    <m/>
    <s v="Atendido"/>
    <n v="15016080333"/>
    <s v="Produto 14"/>
    <n v="600"/>
    <n v="14.7"/>
    <n v="0"/>
    <n v="10.747"/>
    <n v="8820"/>
    <n v="62"/>
    <s v="PRFL.00.0024"/>
    <n v="0"/>
    <n v="0"/>
    <s v="FERNANDO CARDOSO"/>
    <m/>
    <m/>
    <m/>
    <d v="2021-11-11T14:37:00"/>
    <n v="0"/>
    <n v="0"/>
    <x v="1"/>
    <n v="840"/>
  </r>
  <r>
    <n v="15267111612"/>
    <n v="17"/>
    <m/>
    <x v="19"/>
    <n v="15059049115"/>
    <x v="12"/>
    <s v="29.874.259/0001-43"/>
    <s v="RUA 408, 131, Nao Informado"/>
    <s v="MORRETES"/>
    <s v="Itapema"/>
    <n v="88220000"/>
    <s v="SC"/>
    <m/>
    <m/>
    <n v="0"/>
    <n v="0"/>
    <m/>
    <s v="Atendido"/>
    <n v="15016093155"/>
    <s v="Produto 05"/>
    <n v="200"/>
    <n v="17.899999999999999"/>
    <n v="0"/>
    <n v="14.4596"/>
    <n v="3580"/>
    <n v="29"/>
    <s v="PRFL.00.0026"/>
    <n v="0"/>
    <n v="0"/>
    <s v="FERNANDO CARDOSO"/>
    <m/>
    <m/>
    <m/>
    <d v="2021-11-11T14:42:00"/>
    <n v="0"/>
    <n v="0"/>
    <x v="5"/>
    <n v="120"/>
  </r>
  <r>
    <n v="15267111612"/>
    <n v="17"/>
    <m/>
    <x v="19"/>
    <n v="15059049115"/>
    <x v="10"/>
    <s v="29.874.259/0001-43"/>
    <s v="RUA 408, 131, Nao Informado"/>
    <s v="MORRETES"/>
    <s v="Itapema"/>
    <n v="88220000"/>
    <s v="SC"/>
    <m/>
    <m/>
    <n v="0"/>
    <n v="0"/>
    <m/>
    <s v="Atendido"/>
    <n v="15016099089"/>
    <s v="Produto 04"/>
    <n v="200"/>
    <n v="20.79"/>
    <n v="0"/>
    <n v="16.804400000000001"/>
    <n v="4158"/>
    <n v="29"/>
    <s v="PRFL.00.0027"/>
    <n v="0"/>
    <n v="0"/>
    <s v="FERNANDO CARDOSO"/>
    <m/>
    <m/>
    <m/>
    <d v="2021-11-11T14:42:00"/>
    <n v="0"/>
    <n v="0"/>
    <x v="10"/>
    <n v="120"/>
  </r>
  <r>
    <n v="15267111612"/>
    <n v="17"/>
    <m/>
    <x v="19"/>
    <n v="15059049115"/>
    <x v="13"/>
    <s v="29.874.259/0001-43"/>
    <s v="RUA 408, 131, Nao Informado"/>
    <s v="MORRETES"/>
    <s v="Itapema"/>
    <n v="88220000"/>
    <s v="SC"/>
    <m/>
    <m/>
    <n v="0"/>
    <n v="0"/>
    <m/>
    <s v="Atendido"/>
    <n v="15016087271"/>
    <s v="Produto 06"/>
    <n v="100"/>
    <n v="17.8"/>
    <n v="0"/>
    <n v="14.4596"/>
    <n v="1780"/>
    <n v="29"/>
    <s v="PRFL.00.0025"/>
    <n v="0"/>
    <n v="0"/>
    <s v="FERNANDO CARDOSO"/>
    <m/>
    <m/>
    <m/>
    <d v="2021-11-11T14:42:00"/>
    <n v="0"/>
    <n v="0"/>
    <x v="0"/>
    <n v="50"/>
  </r>
  <r>
    <n v="15267111612"/>
    <n v="17"/>
    <m/>
    <x v="19"/>
    <n v="15059049115"/>
    <x v="11"/>
    <s v="29.874.259/0001-43"/>
    <s v="RUA 408, 131, Nao Informado"/>
    <s v="MORRETES"/>
    <s v="Itapema"/>
    <n v="88220000"/>
    <s v="SC"/>
    <m/>
    <m/>
    <n v="0"/>
    <n v="0"/>
    <m/>
    <s v="Atendido"/>
    <n v="15016080333"/>
    <s v="Produto 17"/>
    <n v="100"/>
    <n v="13.95"/>
    <n v="0"/>
    <n v="10.747"/>
    <n v="1395"/>
    <n v="29"/>
    <s v="PRFL.00.0024"/>
    <n v="0"/>
    <n v="0"/>
    <s v="FERNANDO CARDOSO"/>
    <m/>
    <m/>
    <m/>
    <d v="2021-11-11T14:42:00"/>
    <n v="0"/>
    <n v="0"/>
    <x v="8"/>
    <n v="142"/>
  </r>
  <r>
    <n v="15267111612"/>
    <n v="17"/>
    <m/>
    <x v="19"/>
    <n v="15059049115"/>
    <x v="7"/>
    <s v="29.874.259/0001-43"/>
    <s v="RUA 408, 131, Nao Informado"/>
    <s v="MORRETES"/>
    <s v="Itapema"/>
    <n v="88220000"/>
    <s v="SC"/>
    <m/>
    <m/>
    <n v="0"/>
    <n v="0"/>
    <m/>
    <s v="Atendido"/>
    <n v="15015911944"/>
    <s v="Produto 17"/>
    <n v="200"/>
    <n v="13.5"/>
    <n v="0"/>
    <n v="10.285"/>
    <n v="2700"/>
    <n v="29"/>
    <s v="PRFL.00.0010"/>
    <n v="0"/>
    <n v="0"/>
    <s v="FERNANDO CARDOSO"/>
    <m/>
    <m/>
    <m/>
    <d v="2021-11-11T14:42:00"/>
    <n v="0"/>
    <n v="0"/>
    <x v="8"/>
    <n v="284"/>
  </r>
  <r>
    <n v="15267111612"/>
    <n v="17"/>
    <m/>
    <x v="19"/>
    <n v="15059049115"/>
    <x v="16"/>
    <s v="29.874.259/0001-43"/>
    <s v="RUA 408, 131, Nao Informado"/>
    <s v="MORRETES"/>
    <s v="Itapema"/>
    <n v="88220000"/>
    <s v="SC"/>
    <m/>
    <m/>
    <n v="0"/>
    <n v="0"/>
    <m/>
    <s v="Atendido"/>
    <n v="15015918644"/>
    <s v="Produto 10"/>
    <n v="210"/>
    <n v="7.9"/>
    <n v="0"/>
    <n v="5.61"/>
    <n v="1659"/>
    <n v="29"/>
    <s v="PRFL.00.0011"/>
    <n v="0"/>
    <n v="0"/>
    <s v="FERNANDO CARDOSO"/>
    <m/>
    <m/>
    <m/>
    <d v="2021-11-11T14:42:00"/>
    <n v="0"/>
    <n v="0"/>
    <x v="3"/>
    <n v="231.00000000000003"/>
  </r>
  <r>
    <n v="15291784855"/>
    <n v="91"/>
    <m/>
    <x v="19"/>
    <n v="15291726907"/>
    <x v="6"/>
    <s v="10.267.026/0001-54"/>
    <s v="RUA ADELMYR PRESSANTO, 414, SALA"/>
    <s v="CENTRO"/>
    <s v="Caçador"/>
    <n v="89500214"/>
    <s v="SC"/>
    <m/>
    <m/>
    <n v="0"/>
    <n v="0"/>
    <m/>
    <s v="Atendido"/>
    <n v="15015353721"/>
    <s v="Produto 03"/>
    <n v="50"/>
    <n v="7.9"/>
    <n v="0"/>
    <n v="5.58"/>
    <n v="395"/>
    <n v="72"/>
    <s v="PRFL.00.0002"/>
    <n v="0"/>
    <n v="0"/>
    <s v="FERNANDO CARDOSO"/>
    <m/>
    <m/>
    <m/>
    <d v="2021-11-11T14:03:00"/>
    <n v="0"/>
    <n v="0"/>
    <x v="13"/>
    <n v="30"/>
  </r>
  <r>
    <n v="15291784855"/>
    <n v="91"/>
    <m/>
    <x v="19"/>
    <n v="15291726907"/>
    <x v="9"/>
    <s v="10.267.026/0001-54"/>
    <s v="RUA ADELMYR PRESSANTO, 414, SALA"/>
    <s v="CENTRO"/>
    <s v="Caçador"/>
    <n v="89500214"/>
    <s v="SC"/>
    <m/>
    <m/>
    <n v="0"/>
    <n v="0"/>
    <m/>
    <s v="Atendido"/>
    <n v="15015511068"/>
    <s v="Produto 01"/>
    <n v="300"/>
    <n v="16.100000000000001"/>
    <n v="0"/>
    <n v="10.23"/>
    <n v="4830"/>
    <n v="72"/>
    <s v="PRFL.00.0005"/>
    <n v="0"/>
    <n v="0"/>
    <s v="FERNANDO CARDOSO"/>
    <m/>
    <m/>
    <m/>
    <d v="2021-11-11T14:03:00"/>
    <n v="0"/>
    <n v="0"/>
    <x v="7"/>
    <n v="120"/>
  </r>
  <r>
    <n v="15291784855"/>
    <n v="91"/>
    <m/>
    <x v="19"/>
    <n v="15291726907"/>
    <x v="14"/>
    <s v="10.267.026/0001-54"/>
    <s v="RUA ADELMYR PRESSANTO, 414, SALA"/>
    <s v="CENTRO"/>
    <s v="Caçador"/>
    <n v="89500214"/>
    <s v="SC"/>
    <m/>
    <m/>
    <n v="0"/>
    <n v="0"/>
    <m/>
    <s v="Atendido"/>
    <n v="15016043939"/>
    <s v="Produto 05"/>
    <n v="500"/>
    <n v="13.65"/>
    <n v="0"/>
    <n v="10.747"/>
    <n v="6825"/>
    <n v="72"/>
    <s v="PRFL.00.0019"/>
    <n v="0"/>
    <n v="0"/>
    <s v="FERNANDO CARDOSO"/>
    <m/>
    <m/>
    <m/>
    <d v="2021-11-11T14:03:00"/>
    <n v="0"/>
    <n v="0"/>
    <x v="5"/>
    <n v="300"/>
  </r>
  <r>
    <n v="15293368772"/>
    <n v="100"/>
    <m/>
    <x v="19"/>
    <n v="15293332510"/>
    <x v="16"/>
    <s v="77.110.920/0001-97"/>
    <s v="R 1338  , 34, N/A"/>
    <s v="ITAJUBA"/>
    <s v="Barra Velha"/>
    <s v="88390-000"/>
    <s v="SC"/>
    <m/>
    <m/>
    <n v="0"/>
    <n v="0"/>
    <m/>
    <s v="Atendido"/>
    <n v="15016043939"/>
    <s v="Produto 13"/>
    <n v="160"/>
    <n v="14.9"/>
    <n v="0"/>
    <n v="10.747"/>
    <n v="2384"/>
    <n v="75"/>
    <s v="PRFL.00.0019"/>
    <n v="0"/>
    <n v="0"/>
    <s v="AMANDA HUBBE"/>
    <m/>
    <m/>
    <m/>
    <d v="2021-11-11T14:10:00"/>
    <n v="0"/>
    <n v="0"/>
    <x v="2"/>
    <n v="224"/>
  </r>
  <r>
    <n v="15293368772"/>
    <n v="100"/>
    <m/>
    <x v="19"/>
    <n v="15293332510"/>
    <x v="4"/>
    <s v="77.110.920/0001-97"/>
    <s v="R 1338  , 34, N/A"/>
    <s v="ITAJUBA"/>
    <s v="Barra Velha"/>
    <s v="88390-000"/>
    <s v="SC"/>
    <m/>
    <m/>
    <n v="0"/>
    <n v="0"/>
    <m/>
    <s v="Atendido"/>
    <n v="15015353721"/>
    <s v="Produto 07"/>
    <n v="10"/>
    <n v="8.68"/>
    <n v="0"/>
    <n v="5.58"/>
    <n v="86.8"/>
    <n v="75"/>
    <s v="PRFL.00.0002"/>
    <n v="0"/>
    <n v="0"/>
    <s v="AMANDA HUBBE"/>
    <m/>
    <m/>
    <m/>
    <d v="2021-11-11T14:10:00"/>
    <n v="0"/>
    <n v="0"/>
    <x v="12"/>
    <n v="11"/>
  </r>
  <r>
    <n v="15293368772"/>
    <n v="100"/>
    <m/>
    <x v="19"/>
    <n v="15293332510"/>
    <x v="11"/>
    <s v="77.110.920/0001-97"/>
    <s v="R 1338  , 34, N/A"/>
    <s v="ITAJUBA"/>
    <s v="Barra Velha"/>
    <s v="88390-000"/>
    <s v="SC"/>
    <m/>
    <m/>
    <n v="0"/>
    <n v="0"/>
    <m/>
    <s v="Atendido"/>
    <n v="15015964159"/>
    <s v="Produto 06"/>
    <n v="35"/>
    <n v="15.7"/>
    <n v="0"/>
    <n v="10.285"/>
    <n v="549.5"/>
    <n v="75"/>
    <s v="PRFL.00.0014"/>
    <n v="0"/>
    <n v="0"/>
    <s v="AMANDA HUBBE"/>
    <m/>
    <m/>
    <m/>
    <d v="2021-11-11T14:10:00"/>
    <n v="0"/>
    <n v="0"/>
    <x v="0"/>
    <n v="17.5"/>
  </r>
  <r>
    <n v="15293368772"/>
    <n v="100"/>
    <m/>
    <x v="19"/>
    <n v="15293332510"/>
    <x v="14"/>
    <s v="77.110.920/0001-97"/>
    <s v="R 1338  , 34, N/A"/>
    <s v="ITAJUBA"/>
    <s v="Barra Velha"/>
    <s v="88390-000"/>
    <s v="SC"/>
    <m/>
    <m/>
    <n v="0"/>
    <n v="0"/>
    <m/>
    <s v="Atendido"/>
    <n v="15016099089"/>
    <s v="Produto 05"/>
    <n v="10"/>
    <n v="22.6"/>
    <n v="0"/>
    <n v="16.804400000000001"/>
    <n v="226"/>
    <n v="75"/>
    <s v="PRFL.00.0027"/>
    <n v="0"/>
    <n v="0"/>
    <s v="AMANDA HUBBE"/>
    <m/>
    <m/>
    <m/>
    <d v="2021-11-11T14:10:00"/>
    <n v="0"/>
    <n v="0"/>
    <x v="5"/>
    <n v="6"/>
  </r>
  <r>
    <n v="15293368772"/>
    <n v="100"/>
    <m/>
    <x v="19"/>
    <n v="15293332510"/>
    <x v="15"/>
    <s v="77.110.920/0001-97"/>
    <s v="R 1338  , 34, N/A"/>
    <s v="ITAJUBA"/>
    <s v="Barra Velha"/>
    <s v="88390-000"/>
    <s v="SC"/>
    <m/>
    <m/>
    <n v="0"/>
    <n v="0"/>
    <m/>
    <s v="Atendido"/>
    <n v="15015746121"/>
    <s v="Produto 13"/>
    <n v="10"/>
    <n v="19.3"/>
    <n v="0"/>
    <n v="13.763999999999999"/>
    <n v="193"/>
    <n v="75"/>
    <s v="PRFL.00.0007"/>
    <n v="0"/>
    <n v="0"/>
    <s v="AMANDA HUBBE"/>
    <m/>
    <m/>
    <m/>
    <d v="2021-11-11T14:10:00"/>
    <n v="0"/>
    <n v="0"/>
    <x v="2"/>
    <n v="14"/>
  </r>
  <r>
    <n v="15253239907"/>
    <n v="6"/>
    <m/>
    <x v="20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05"/>
    <n v="100"/>
    <n v="15.5"/>
    <n v="0"/>
    <n v="10.23"/>
    <n v="1550"/>
    <n v="41"/>
    <s v="PRFL.00.0005"/>
    <n v="0"/>
    <n v="0"/>
    <m/>
    <m/>
    <m/>
    <m/>
    <d v="2021-11-12T14:39:00"/>
    <n v="0"/>
    <n v="0"/>
    <x v="5"/>
    <n v="60"/>
  </r>
  <r>
    <n v="15264992764"/>
    <n v="8"/>
    <m/>
    <x v="20"/>
    <n v="15264888160"/>
    <x v="12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6093155"/>
    <s v="Produto 03"/>
    <n v="410"/>
    <n v="17.899999999999999"/>
    <n v="0"/>
    <n v="14.4596"/>
    <n v="7339"/>
    <n v="57"/>
    <s v="PRFL.00.0026"/>
    <n v="0"/>
    <n v="0"/>
    <m/>
    <m/>
    <m/>
    <m/>
    <d v="2021-11-12T14:38:00"/>
    <n v="0"/>
    <n v="0"/>
    <x v="13"/>
    <n v="246"/>
  </r>
  <r>
    <n v="15264992764"/>
    <n v="8"/>
    <m/>
    <x v="20"/>
    <n v="15264888160"/>
    <x v="14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6080333"/>
    <s v="Produto 02"/>
    <n v="160"/>
    <n v="13.9"/>
    <n v="0"/>
    <n v="10.747"/>
    <n v="2224"/>
    <n v="57"/>
    <s v="PRFL.00.0024"/>
    <n v="0"/>
    <n v="0"/>
    <m/>
    <m/>
    <m/>
    <m/>
    <d v="2021-11-12T14:38:00"/>
    <n v="0"/>
    <n v="0"/>
    <x v="6"/>
    <n v="43.2"/>
  </r>
  <r>
    <n v="15267185311"/>
    <n v="18"/>
    <m/>
    <x v="20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12"/>
    <n v="40"/>
    <n v="16"/>
    <n v="0"/>
    <n v="10.23"/>
    <n v="640"/>
    <n v="41"/>
    <s v="PRFL.00.0005"/>
    <n v="0"/>
    <n v="0"/>
    <m/>
    <m/>
    <m/>
    <m/>
    <d v="2021-11-12T14:43:00"/>
    <n v="0"/>
    <n v="0"/>
    <x v="15"/>
    <n v="56"/>
  </r>
  <r>
    <n v="15267185311"/>
    <n v="18"/>
    <m/>
    <x v="20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01"/>
    <n v="500"/>
    <n v="12.9"/>
    <n v="0"/>
    <n v="10.285"/>
    <n v="6450"/>
    <n v="41"/>
    <s v="PRFL.00.0010"/>
    <n v="0"/>
    <n v="0"/>
    <m/>
    <m/>
    <m/>
    <m/>
    <d v="2021-11-12T14:43:00"/>
    <n v="0"/>
    <n v="0"/>
    <x v="7"/>
    <n v="200"/>
  </r>
  <r>
    <n v="15267185311"/>
    <n v="18"/>
    <m/>
    <x v="20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6"/>
    <n v="500"/>
    <n v="7.35"/>
    <n v="0"/>
    <n v="5.61"/>
    <n v="3675"/>
    <n v="41"/>
    <s v="PRFL.00.0011"/>
    <n v="0"/>
    <n v="0"/>
    <m/>
    <m/>
    <m/>
    <m/>
    <d v="2021-11-12T14:43:00"/>
    <n v="0"/>
    <n v="0"/>
    <x v="0"/>
    <n v="250"/>
  </r>
  <r>
    <n v="15267185311"/>
    <n v="18"/>
    <m/>
    <x v="20"/>
    <n v="15179581888"/>
    <x v="1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8"/>
    <n v="130"/>
    <n v="20.6"/>
    <n v="0"/>
    <n v="16.804400000000001"/>
    <n v="2678"/>
    <n v="41"/>
    <s v="PRFL.00.0027"/>
    <n v="0"/>
    <n v="0"/>
    <m/>
    <m/>
    <m/>
    <m/>
    <d v="2021-11-12T14:43:00"/>
    <n v="0"/>
    <n v="0"/>
    <x v="14"/>
    <n v="143"/>
  </r>
  <r>
    <n v="15267185311"/>
    <n v="18"/>
    <m/>
    <x v="20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746121"/>
    <s v="Produto 11"/>
    <n v="50"/>
    <n v="17.8"/>
    <n v="0"/>
    <n v="13.763999999999999"/>
    <n v="890"/>
    <n v="41"/>
    <s v="PRFL.00.0007"/>
    <n v="0"/>
    <n v="0"/>
    <m/>
    <m/>
    <m/>
    <m/>
    <d v="2021-11-12T14:43:00"/>
    <n v="0"/>
    <n v="0"/>
    <x v="11"/>
    <n v="55.000000000000007"/>
  </r>
  <r>
    <n v="15269043462"/>
    <n v="21"/>
    <m/>
    <x v="20"/>
    <n v="15059073318"/>
    <x v="12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43939"/>
    <s v="Produto 05"/>
    <n v="150"/>
    <n v="13.65"/>
    <n v="0"/>
    <n v="10.747"/>
    <n v="2047.5"/>
    <n v="30"/>
    <s v="PRFL.00.0019"/>
    <n v="0"/>
    <n v="0"/>
    <s v="FERNANDO CARDOSO"/>
    <m/>
    <m/>
    <m/>
    <d v="2021-11-12T14:38:00"/>
    <n v="0"/>
    <n v="0"/>
    <x v="5"/>
    <n v="90"/>
  </r>
  <r>
    <n v="15269043462"/>
    <n v="21"/>
    <m/>
    <x v="20"/>
    <n v="15059073318"/>
    <x v="13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5511068"/>
    <s v="Produto 11"/>
    <n v="150"/>
    <n v="16.100000000000001"/>
    <n v="0"/>
    <n v="10.23"/>
    <n v="2415"/>
    <n v="30"/>
    <s v="PRFL.00.0005"/>
    <n v="0"/>
    <n v="0"/>
    <s v="FERNANDO CARDOSO"/>
    <m/>
    <m/>
    <m/>
    <d v="2021-11-12T14:38:00"/>
    <n v="0"/>
    <n v="0"/>
    <x v="11"/>
    <n v="165"/>
  </r>
  <r>
    <n v="15269043462"/>
    <n v="21"/>
    <m/>
    <x v="20"/>
    <n v="15059073318"/>
    <x v="18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93155"/>
    <s v="Produto 01"/>
    <n v="100"/>
    <n v="18.14"/>
    <n v="0"/>
    <n v="14.4596"/>
    <n v="1814"/>
    <n v="30"/>
    <s v="PRFL.00.0026"/>
    <n v="0"/>
    <n v="0"/>
    <s v="FERNANDO CARDOSO"/>
    <m/>
    <m/>
    <m/>
    <d v="2021-11-12T14:38:00"/>
    <n v="0"/>
    <n v="0"/>
    <x v="7"/>
    <n v="40"/>
  </r>
  <r>
    <n v="15269043462"/>
    <n v="21"/>
    <m/>
    <x v="20"/>
    <n v="15059073318"/>
    <x v="11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80333"/>
    <s v="Produto 13"/>
    <n v="50"/>
    <n v="14.7"/>
    <n v="0"/>
    <n v="10.747"/>
    <n v="735"/>
    <n v="30"/>
    <s v="PRFL.00.0024"/>
    <n v="0"/>
    <n v="0"/>
    <s v="FERNANDO CARDOSO"/>
    <m/>
    <m/>
    <m/>
    <d v="2021-11-12T14:38:00"/>
    <n v="0"/>
    <n v="0"/>
    <x v="2"/>
    <n v="70"/>
  </r>
  <r>
    <n v="15269043462"/>
    <n v="21"/>
    <m/>
    <x v="20"/>
    <n v="15059073318"/>
    <x v="12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5918644"/>
    <s v="Produto 10"/>
    <n v="30"/>
    <n v="7.7"/>
    <n v="0"/>
    <n v="5.61"/>
    <n v="231"/>
    <n v="30"/>
    <s v="PRFL.00.0011"/>
    <n v="0"/>
    <n v="0"/>
    <s v="FERNANDO CARDOSO"/>
    <m/>
    <m/>
    <m/>
    <d v="2021-11-12T14:38:00"/>
    <n v="0"/>
    <n v="0"/>
    <x v="3"/>
    <n v="33"/>
  </r>
  <r>
    <n v="15269043462"/>
    <n v="21"/>
    <m/>
    <x v="20"/>
    <n v="15059073318"/>
    <x v="8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5353721"/>
    <s v="Produto 15"/>
    <n v="50"/>
    <n v="4.25"/>
    <n v="0"/>
    <n v="5.58"/>
    <n v="212.5"/>
    <n v="30"/>
    <s v="PRFL.00.0002"/>
    <n v="0"/>
    <n v="0"/>
    <s v="FERNANDO CARDOSO"/>
    <m/>
    <m/>
    <m/>
    <d v="2021-11-12T14:38:00"/>
    <n v="0"/>
    <n v="0"/>
    <x v="16"/>
    <n v="71"/>
  </r>
  <r>
    <n v="15290703241"/>
    <n v="83"/>
    <m/>
    <x v="20"/>
    <n v="15179608501"/>
    <x v="1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43939"/>
    <s v="Produto 16"/>
    <n v="300"/>
    <n v="13.66"/>
    <n v="0"/>
    <n v="10.747"/>
    <n v="4098"/>
    <n v="42"/>
    <s v="PRFL.00.0019"/>
    <n v="0"/>
    <n v="0"/>
    <s v="AMANDA HUBBE"/>
    <m/>
    <m/>
    <m/>
    <d v="2021-11-12T17:08:00"/>
    <n v="0"/>
    <n v="0"/>
    <x v="9"/>
    <n v="381"/>
  </r>
  <r>
    <n v="15290703241"/>
    <n v="83"/>
    <m/>
    <x v="20"/>
    <n v="15179608501"/>
    <x v="12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5918644"/>
    <s v="Produto 06"/>
    <n v="200"/>
    <n v="7.9"/>
    <n v="0"/>
    <n v="5.61"/>
    <n v="1580"/>
    <n v="42"/>
    <s v="PRFL.00.0011"/>
    <n v="0"/>
    <n v="0"/>
    <s v="AMANDA HUBBE"/>
    <m/>
    <m/>
    <m/>
    <d v="2021-11-12T17:08:00"/>
    <n v="0"/>
    <n v="0"/>
    <x v="0"/>
    <n v="100"/>
  </r>
  <r>
    <n v="15290703241"/>
    <n v="83"/>
    <m/>
    <x v="20"/>
    <n v="15179608501"/>
    <x v="9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87271"/>
    <s v="Produto 15"/>
    <n v="50"/>
    <n v="18.100000000000001"/>
    <n v="0"/>
    <n v="14.4596"/>
    <n v="905"/>
    <n v="42"/>
    <s v="PRFL.00.0025"/>
    <n v="0"/>
    <n v="0"/>
    <s v="AMANDA HUBBE"/>
    <m/>
    <m/>
    <m/>
    <d v="2021-11-12T17:08:00"/>
    <n v="0"/>
    <n v="0"/>
    <x v="16"/>
    <n v="71"/>
  </r>
  <r>
    <n v="15293061912"/>
    <n v="93"/>
    <m/>
    <x v="20"/>
    <n v="15279322250"/>
    <x v="2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3939"/>
    <s v="Produto 08"/>
    <n v="330"/>
    <n v="13.19"/>
    <n v="0"/>
    <n v="10.747"/>
    <n v="4352.7"/>
    <n v="68"/>
    <s v="PRFL.00.0019"/>
    <n v="0"/>
    <n v="0"/>
    <m/>
    <m/>
    <m/>
    <m/>
    <d v="2021-11-12T17:08:00"/>
    <n v="0"/>
    <n v="0"/>
    <x v="14"/>
    <n v="363.00000000000006"/>
  </r>
  <r>
    <n v="15293061912"/>
    <n v="93"/>
    <m/>
    <x v="20"/>
    <n v="15279322250"/>
    <x v="11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9089"/>
    <s v="Produto 08"/>
    <n v="100"/>
    <n v="20.9"/>
    <n v="0"/>
    <n v="16.804400000000001"/>
    <n v="2090"/>
    <n v="68"/>
    <s v="PRFL.00.0027"/>
    <n v="0"/>
    <n v="0"/>
    <m/>
    <m/>
    <m/>
    <m/>
    <d v="2021-11-12T17:08:00"/>
    <n v="0"/>
    <n v="0"/>
    <x v="14"/>
    <n v="110.00000000000001"/>
  </r>
  <r>
    <n v="15293061912"/>
    <n v="93"/>
    <m/>
    <x v="20"/>
    <n v="15279322250"/>
    <x v="13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12"/>
    <n v="100"/>
    <n v="17.899999999999999"/>
    <n v="0"/>
    <n v="14.4596"/>
    <n v="1790"/>
    <n v="68"/>
    <s v="PRFL.00.0026"/>
    <n v="0"/>
    <n v="0"/>
    <m/>
    <m/>
    <m/>
    <m/>
    <d v="2021-11-12T17:08:00"/>
    <n v="0"/>
    <n v="0"/>
    <x v="15"/>
    <n v="140"/>
  </r>
  <r>
    <n v="15293061912"/>
    <n v="93"/>
    <m/>
    <x v="20"/>
    <n v="15279322250"/>
    <x v="10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80333"/>
    <s v="Produto 05"/>
    <n v="90"/>
    <n v="13.9"/>
    <n v="0"/>
    <n v="10.747"/>
    <n v="1251"/>
    <n v="68"/>
    <s v="PRFL.00.0024"/>
    <n v="0"/>
    <n v="0"/>
    <m/>
    <m/>
    <m/>
    <m/>
    <d v="2021-11-12T17:08:00"/>
    <n v="0"/>
    <n v="0"/>
    <x v="5"/>
    <n v="54"/>
  </r>
  <r>
    <n v="15293061912"/>
    <n v="93"/>
    <m/>
    <x v="20"/>
    <n v="15279322250"/>
    <x v="6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918644"/>
    <s v="Produto 13"/>
    <n v="300"/>
    <n v="7.6"/>
    <n v="0"/>
    <n v="5.61"/>
    <n v="2280"/>
    <n v="68"/>
    <s v="PRFL.00.0011"/>
    <n v="0"/>
    <n v="0"/>
    <m/>
    <m/>
    <m/>
    <m/>
    <d v="2021-11-12T17:08:00"/>
    <n v="0"/>
    <n v="0"/>
    <x v="2"/>
    <n v="420"/>
  </r>
  <r>
    <n v="15276999191"/>
    <n v="58"/>
    <m/>
    <x v="21"/>
    <n v="15020006032"/>
    <x v="0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99089"/>
    <s v="Produto 05"/>
    <n v="300"/>
    <n v="20.95"/>
    <n v="0"/>
    <n v="16.804400000000001"/>
    <n v="6285"/>
    <n v="16"/>
    <s v="PRFL.00.0027"/>
    <n v="0"/>
    <n v="0"/>
    <m/>
    <m/>
    <m/>
    <m/>
    <d v="2021-11-16T14:39:00"/>
    <n v="0"/>
    <n v="0"/>
    <x v="5"/>
    <n v="180"/>
  </r>
  <r>
    <n v="15276999191"/>
    <n v="58"/>
    <m/>
    <x v="21"/>
    <n v="15020006032"/>
    <x v="4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139727614"/>
    <s v="Produto 14"/>
    <n v="100"/>
    <n v="23.2"/>
    <n v="0"/>
    <n v="0"/>
    <n v="2320"/>
    <n v="16"/>
    <s v="PRFL.00.0029"/>
    <n v="0"/>
    <n v="0"/>
    <m/>
    <m/>
    <m/>
    <m/>
    <d v="2021-11-16T14:39:00"/>
    <n v="0"/>
    <n v="0"/>
    <x v="1"/>
    <n v="140"/>
  </r>
  <r>
    <n v="15276999191"/>
    <n v="58"/>
    <m/>
    <x v="21"/>
    <n v="15020006032"/>
    <x v="6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139667431"/>
    <s v="Produto 08"/>
    <n v="50"/>
    <n v="20.8"/>
    <n v="0"/>
    <n v="0"/>
    <n v="1040"/>
    <n v="16"/>
    <s v="PRFL.00.0028"/>
    <n v="0"/>
    <n v="0"/>
    <m/>
    <m/>
    <m/>
    <m/>
    <d v="2021-11-16T14:39:00"/>
    <n v="0"/>
    <n v="0"/>
    <x v="14"/>
    <n v="55.000000000000007"/>
  </r>
  <r>
    <n v="15276999191"/>
    <n v="58"/>
    <m/>
    <x v="21"/>
    <n v="15020006032"/>
    <x v="7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93155"/>
    <s v="Produto 14"/>
    <n v="200"/>
    <n v="17.899999999999999"/>
    <n v="0"/>
    <n v="14.4596"/>
    <n v="3580"/>
    <n v="16"/>
    <s v="PRFL.00.0026"/>
    <n v="0"/>
    <n v="0"/>
    <m/>
    <m/>
    <m/>
    <m/>
    <d v="2021-11-16T14:39:00"/>
    <n v="0"/>
    <n v="0"/>
    <x v="1"/>
    <n v="280"/>
  </r>
  <r>
    <n v="15295509523"/>
    <n v="108"/>
    <m/>
    <x v="21"/>
    <n v="15058698393"/>
    <x v="14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99089"/>
    <s v="Produto 10"/>
    <n v="500"/>
    <n v="20.9"/>
    <n v="0"/>
    <n v="16.804400000000001"/>
    <n v="10450"/>
    <n v="18"/>
    <s v="PRFL.00.0027"/>
    <n v="0"/>
    <n v="0"/>
    <s v="AMANDA HUBBE"/>
    <m/>
    <m/>
    <m/>
    <d v="2021-11-16T17:07:00"/>
    <n v="0"/>
    <n v="0"/>
    <x v="3"/>
    <n v="550"/>
  </r>
  <r>
    <n v="15295509523"/>
    <n v="108"/>
    <m/>
    <x v="21"/>
    <n v="15058698393"/>
    <x v="10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87271"/>
    <s v="Produto 09"/>
    <n v="200"/>
    <n v="17.899999999999999"/>
    <n v="0"/>
    <n v="14.4596"/>
    <n v="3580"/>
    <n v="18"/>
    <s v="PRFL.00.0025"/>
    <n v="0"/>
    <n v="0"/>
    <s v="AMANDA HUBBE"/>
    <m/>
    <m/>
    <m/>
    <d v="2021-11-16T17:07:00"/>
    <n v="0"/>
    <n v="0"/>
    <x v="4"/>
    <n v="220.00000000000003"/>
  </r>
  <r>
    <n v="15295509523"/>
    <n v="108"/>
    <m/>
    <x v="21"/>
    <n v="15058698393"/>
    <x v="12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80333"/>
    <s v="Produto 14"/>
    <n v="200"/>
    <n v="13.9"/>
    <n v="0"/>
    <n v="10.747"/>
    <n v="2780"/>
    <n v="18"/>
    <s v="PRFL.00.0024"/>
    <n v="0"/>
    <n v="0"/>
    <s v="AMANDA HUBBE"/>
    <m/>
    <m/>
    <m/>
    <d v="2021-11-16T17:07:00"/>
    <n v="0"/>
    <n v="0"/>
    <x v="1"/>
    <n v="280"/>
  </r>
  <r>
    <n v="15310012504"/>
    <n v="109"/>
    <m/>
    <x v="21"/>
    <n v="15295545217"/>
    <x v="15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3155"/>
    <s v="Produto 01"/>
    <n v="150"/>
    <n v="18.14"/>
    <n v="0"/>
    <n v="14.4596"/>
    <n v="2721"/>
    <n v="78"/>
    <s v="PRFL.00.0026"/>
    <n v="0"/>
    <n v="0"/>
    <m/>
    <m/>
    <m/>
    <m/>
    <d v="2021-11-17T08:32:00"/>
    <n v="0"/>
    <n v="0"/>
    <x v="7"/>
    <n v="60"/>
  </r>
  <r>
    <n v="15310012504"/>
    <n v="109"/>
    <m/>
    <x v="21"/>
    <n v="15295545217"/>
    <x v="9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9089"/>
    <s v="Produto 17"/>
    <n v="150"/>
    <n v="21.1"/>
    <n v="0"/>
    <n v="16.804400000000001"/>
    <n v="3165"/>
    <n v="78"/>
    <s v="PRFL.00.0027"/>
    <n v="0"/>
    <n v="0"/>
    <m/>
    <m/>
    <m/>
    <m/>
    <d v="2021-11-17T08:32:00"/>
    <n v="0"/>
    <n v="0"/>
    <x v="8"/>
    <n v="213"/>
  </r>
  <r>
    <n v="15310012504"/>
    <n v="109"/>
    <m/>
    <x v="21"/>
    <n v="15295545217"/>
    <x v="11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73255"/>
    <s v="Produto 13"/>
    <n v="200"/>
    <n v="16.100000000000001"/>
    <n v="0"/>
    <n v="10.747"/>
    <n v="3220"/>
    <n v="78"/>
    <s v="PRFL.00.0023"/>
    <n v="0"/>
    <n v="0"/>
    <m/>
    <m/>
    <m/>
    <m/>
    <d v="2021-11-17T08:32:00"/>
    <n v="0"/>
    <n v="0"/>
    <x v="2"/>
    <n v="280"/>
  </r>
  <r>
    <n v="15310012504"/>
    <n v="109"/>
    <m/>
    <x v="21"/>
    <n v="15295545217"/>
    <x v="8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43939"/>
    <s v="Produto 11"/>
    <n v="500"/>
    <n v="13.65"/>
    <n v="0"/>
    <n v="10.747"/>
    <n v="6825"/>
    <n v="78"/>
    <s v="PRFL.00.0019"/>
    <n v="0"/>
    <n v="0"/>
    <m/>
    <m/>
    <m/>
    <m/>
    <d v="2021-11-17T08:32:00"/>
    <n v="0"/>
    <n v="0"/>
    <x v="11"/>
    <n v="550"/>
  </r>
  <r>
    <n v="15310012504"/>
    <n v="109"/>
    <m/>
    <x v="21"/>
    <n v="15295545217"/>
    <x v="15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80333"/>
    <s v="Produto 08"/>
    <n v="120"/>
    <n v="14.7"/>
    <n v="0"/>
    <n v="10.747"/>
    <n v="1764"/>
    <n v="78"/>
    <s v="PRFL.00.0024"/>
    <n v="0"/>
    <n v="0"/>
    <m/>
    <m/>
    <m/>
    <m/>
    <d v="2021-11-17T08:32:00"/>
    <n v="0"/>
    <n v="0"/>
    <x v="14"/>
    <n v="132"/>
  </r>
  <r>
    <n v="15310012504"/>
    <n v="109"/>
    <m/>
    <x v="21"/>
    <n v="15295545217"/>
    <x v="0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87271"/>
    <s v="Produto 11"/>
    <n v="100"/>
    <n v="18.14"/>
    <n v="0"/>
    <n v="14.4596"/>
    <n v="1814"/>
    <n v="78"/>
    <s v="PRFL.00.0025"/>
    <n v="0"/>
    <n v="0"/>
    <m/>
    <m/>
    <m/>
    <m/>
    <d v="2021-11-17T08:32:00"/>
    <n v="0"/>
    <n v="0"/>
    <x v="11"/>
    <n v="110.00000000000001"/>
  </r>
  <r>
    <n v="15310012504"/>
    <n v="109"/>
    <m/>
    <x v="21"/>
    <n v="15295545217"/>
    <x v="6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918644"/>
    <s v="Produto 05"/>
    <n v="500"/>
    <n v="7.9"/>
    <n v="0"/>
    <n v="5.61"/>
    <n v="3950"/>
    <n v="78"/>
    <s v="PRFL.00.0011"/>
    <n v="0"/>
    <n v="0"/>
    <m/>
    <m/>
    <m/>
    <m/>
    <d v="2021-11-17T08:32:00"/>
    <n v="0"/>
    <n v="0"/>
    <x v="5"/>
    <n v="300"/>
  </r>
  <r>
    <n v="15310012504"/>
    <n v="109"/>
    <m/>
    <x v="21"/>
    <n v="15295545217"/>
    <x v="11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925662"/>
    <s v="Produto 17"/>
    <n v="120"/>
    <n v="7.9"/>
    <n v="0"/>
    <n v="3.74"/>
    <n v="948"/>
    <n v="78"/>
    <s v="PRFL.00.0012"/>
    <n v="0"/>
    <n v="0"/>
    <m/>
    <m/>
    <m/>
    <m/>
    <d v="2021-11-17T08:32:00"/>
    <n v="0"/>
    <n v="0"/>
    <x v="8"/>
    <n v="170.39999999999998"/>
  </r>
  <r>
    <n v="15310012504"/>
    <n v="109"/>
    <m/>
    <x v="21"/>
    <n v="15295545217"/>
    <x v="9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3155"/>
    <s v="Produto 10"/>
    <n v="150"/>
    <n v="16.93"/>
    <n v="0"/>
    <n v="14.4596"/>
    <n v="2539.5"/>
    <n v="78"/>
    <s v="PRFL.00.0026"/>
    <n v="0"/>
    <n v="0"/>
    <m/>
    <m/>
    <m/>
    <m/>
    <d v="2021-11-17T08:32:00"/>
    <n v="0"/>
    <n v="0"/>
    <x v="3"/>
    <n v="165"/>
  </r>
  <r>
    <n v="15310012504"/>
    <n v="109"/>
    <m/>
    <x v="21"/>
    <n v="15295545217"/>
    <x v="3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3155"/>
    <s v="Produto 17"/>
    <n v="150"/>
    <n v="15.11"/>
    <n v="0"/>
    <n v="14.4596"/>
    <n v="2266.5"/>
    <n v="78"/>
    <s v="PRFL.00.0026"/>
    <n v="0"/>
    <n v="0"/>
    <m/>
    <m/>
    <m/>
    <m/>
    <d v="2021-11-17T08:32:00"/>
    <n v="0"/>
    <n v="0"/>
    <x v="8"/>
    <n v="213"/>
  </r>
  <r>
    <n v="15410746195"/>
    <n v="165"/>
    <m/>
    <x v="21"/>
    <n v="15276719215"/>
    <x v="19"/>
    <s v="07.900.599/0001-69"/>
    <s v="RUA AUGUSTO DRIESSEN, 180, Nao Informado"/>
    <s v="SORGATTO"/>
    <s v="Caçador"/>
    <n v="89503358"/>
    <s v="SC"/>
    <m/>
    <m/>
    <n v="0"/>
    <n v="0"/>
    <m/>
    <s v="Atendido"/>
    <n v="15016087271"/>
    <s v="Produto 03"/>
    <n v="280"/>
    <n v="17.899999999999999"/>
    <n v="3.5"/>
    <n v="14.4596"/>
    <n v="5012"/>
    <n v="67"/>
    <s v="PRFL.00.0025"/>
    <n v="0"/>
    <n v="0"/>
    <s v="FERNANDO CARDOSO"/>
    <m/>
    <m/>
    <m/>
    <d v="2021-11-16T11:25:00"/>
    <n v="0"/>
    <n v="0"/>
    <x v="13"/>
    <n v="168"/>
  </r>
  <r>
    <n v="15291487565"/>
    <n v="90"/>
    <m/>
    <x v="22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1"/>
    <n v="150"/>
    <n v="20.6"/>
    <n v="0"/>
    <n v="16.804400000000001"/>
    <n v="3090"/>
    <n v="41"/>
    <s v="PRFL.00.0027"/>
    <n v="0"/>
    <n v="0"/>
    <m/>
    <m/>
    <m/>
    <m/>
    <d v="2021-11-17T17:06:00"/>
    <n v="0"/>
    <n v="0"/>
    <x v="7"/>
    <n v="60"/>
  </r>
  <r>
    <n v="15291487565"/>
    <n v="90"/>
    <m/>
    <x v="22"/>
    <n v="15179581888"/>
    <x v="1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14"/>
    <n v="100"/>
    <n v="17.8"/>
    <n v="0"/>
    <n v="14.4596"/>
    <n v="1780"/>
    <n v="41"/>
    <s v="PRFL.00.0025"/>
    <n v="0"/>
    <n v="0"/>
    <m/>
    <m/>
    <m/>
    <m/>
    <d v="2021-11-17T17:06:00"/>
    <n v="0"/>
    <n v="0"/>
    <x v="1"/>
    <n v="140"/>
  </r>
  <r>
    <n v="15291487565"/>
    <n v="90"/>
    <m/>
    <x v="22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2"/>
    <n v="500"/>
    <n v="12.9"/>
    <n v="0"/>
    <n v="10.747"/>
    <n v="6450"/>
    <n v="41"/>
    <s v="PRFL.00.0019"/>
    <n v="0"/>
    <n v="0"/>
    <m/>
    <m/>
    <m/>
    <m/>
    <d v="2021-11-17T17:06:00"/>
    <n v="0"/>
    <n v="0"/>
    <x v="15"/>
    <n v="700"/>
  </r>
  <r>
    <n v="15291487565"/>
    <n v="90"/>
    <m/>
    <x v="22"/>
    <n v="15179581888"/>
    <x v="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73255"/>
    <s v="Produto 02"/>
    <n v="100"/>
    <n v="15.5"/>
    <n v="0"/>
    <n v="10.747"/>
    <n v="1550"/>
    <n v="41"/>
    <s v="PRFL.00.0023"/>
    <n v="0"/>
    <n v="0"/>
    <m/>
    <m/>
    <m/>
    <m/>
    <d v="2021-11-17T17:06:00"/>
    <n v="0"/>
    <n v="0"/>
    <x v="6"/>
    <n v="27"/>
  </r>
  <r>
    <n v="15291487565"/>
    <n v="90"/>
    <m/>
    <x v="22"/>
    <n v="15179581888"/>
    <x v="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14"/>
    <n v="200"/>
    <n v="7.35"/>
    <n v="0"/>
    <n v="5.61"/>
    <n v="1470"/>
    <n v="41"/>
    <s v="PRFL.00.0011"/>
    <n v="0"/>
    <n v="0"/>
    <m/>
    <m/>
    <m/>
    <m/>
    <d v="2021-11-17T17:06:00"/>
    <n v="0"/>
    <n v="0"/>
    <x v="1"/>
    <n v="280"/>
  </r>
  <r>
    <n v="15293092499"/>
    <n v="94"/>
    <m/>
    <x v="22"/>
    <n v="15279322250"/>
    <x v="5"/>
    <s v="15.651.626/0001-35"/>
    <s v="RUA BRIGADEIRO FRANCO, 5024, LOJA 01"/>
    <s v="REBOUCAS"/>
    <s v="Curitiba"/>
    <n v="80220100"/>
    <s v="PR"/>
    <s v="Diego@Drywall.com.br"/>
    <n v="41993330017"/>
    <n v="0"/>
    <n v="0"/>
    <s v="."/>
    <s v="Atendido"/>
    <n v="15016043939"/>
    <s v="Produto 14"/>
    <n v="500"/>
    <n v="13.19"/>
    <n v="0"/>
    <n v="10.747"/>
    <n v="6595"/>
    <n v="68"/>
    <s v="PRFL.00.0019"/>
    <n v="0"/>
    <n v="0"/>
    <m/>
    <m/>
    <m/>
    <m/>
    <d v="2021-11-17T17:05:00"/>
    <n v="0"/>
    <n v="0"/>
    <x v="1"/>
    <n v="700"/>
  </r>
  <r>
    <n v="15293092499"/>
    <n v="94"/>
    <m/>
    <x v="22"/>
    <n v="15279322250"/>
    <x v="13"/>
    <s v="15.651.626/0001-35"/>
    <s v="RUA BRIGADEIRO FRANCO, 5024, LOJA 01"/>
    <s v="REBOUCAS"/>
    <s v="Curitiba"/>
    <n v="80220100"/>
    <s v="PR"/>
    <s v="Diego@Drywall.com.br"/>
    <n v="41993330017"/>
    <n v="0"/>
    <n v="0"/>
    <s v="."/>
    <s v="Atendido"/>
    <n v="15015918644"/>
    <s v="Produto 16"/>
    <n v="300"/>
    <n v="7.6"/>
    <n v="0"/>
    <n v="5.61"/>
    <n v="2280"/>
    <n v="68"/>
    <s v="PRFL.00.0011"/>
    <n v="0"/>
    <n v="0"/>
    <m/>
    <m/>
    <m/>
    <m/>
    <d v="2021-11-17T17:05:00"/>
    <n v="0"/>
    <n v="0"/>
    <x v="9"/>
    <n v="381"/>
  </r>
  <r>
    <n v="15310095294"/>
    <n v="110"/>
    <m/>
    <x v="22"/>
    <n v="15295556615"/>
    <x v="0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43939"/>
    <s v="Produto 09"/>
    <n v="100"/>
    <n v="14.25"/>
    <n v="0"/>
    <n v="10.747"/>
    <n v="1425"/>
    <n v="79"/>
    <s v="PRFL.00.0019"/>
    <n v="0"/>
    <n v="0"/>
    <s v="AMANDA HUBBE"/>
    <m/>
    <m/>
    <m/>
    <d v="2021-11-18T08:17:00"/>
    <n v="0"/>
    <n v="0"/>
    <x v="4"/>
    <n v="110.00000000000001"/>
  </r>
  <r>
    <n v="15310095294"/>
    <n v="110"/>
    <m/>
    <x v="22"/>
    <n v="15295556615"/>
    <x v="4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99089"/>
    <s v="Produto 09"/>
    <n v="80"/>
    <n v="21.75"/>
    <n v="0"/>
    <n v="16.804400000000001"/>
    <n v="1740"/>
    <n v="79"/>
    <s v="PRFL.00.0027"/>
    <n v="0"/>
    <n v="0"/>
    <s v="AMANDA HUBBE"/>
    <m/>
    <m/>
    <m/>
    <d v="2021-11-18T08:17:00"/>
    <n v="0"/>
    <n v="0"/>
    <x v="4"/>
    <n v="88"/>
  </r>
  <r>
    <n v="15310095294"/>
    <n v="110"/>
    <m/>
    <x v="22"/>
    <n v="15295556615"/>
    <x v="12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87271"/>
    <s v="Produto 01"/>
    <n v="50"/>
    <n v="18.649999999999999"/>
    <n v="0"/>
    <n v="14.4596"/>
    <n v="932.5"/>
    <n v="79"/>
    <s v="PRFL.00.0025"/>
    <n v="0"/>
    <n v="0"/>
    <s v="AMANDA HUBBE"/>
    <m/>
    <m/>
    <m/>
    <d v="2021-11-18T08:17:00"/>
    <n v="0"/>
    <n v="0"/>
    <x v="7"/>
    <n v="20"/>
  </r>
  <r>
    <n v="15310095294"/>
    <n v="110"/>
    <m/>
    <x v="22"/>
    <n v="15295556615"/>
    <x v="8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93155"/>
    <s v="Produto 17"/>
    <n v="100"/>
    <n v="18.649999999999999"/>
    <n v="0"/>
    <n v="14.4596"/>
    <n v="1865"/>
    <n v="79"/>
    <s v="PRFL.00.0026"/>
    <n v="0"/>
    <n v="0"/>
    <s v="AMANDA HUBBE"/>
    <m/>
    <m/>
    <m/>
    <d v="2021-11-18T08:17:00"/>
    <n v="0"/>
    <n v="0"/>
    <x v="8"/>
    <n v="142"/>
  </r>
  <r>
    <n v="15310095294"/>
    <n v="110"/>
    <m/>
    <x v="22"/>
    <n v="15295556615"/>
    <x v="16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5918644"/>
    <s v="Produto 16"/>
    <n v="100"/>
    <n v="8.3800000000000008"/>
    <n v="0"/>
    <n v="5.61"/>
    <n v="838"/>
    <n v="79"/>
    <s v="PRFL.00.0011"/>
    <n v="0"/>
    <n v="0"/>
    <s v="AMANDA HUBBE"/>
    <m/>
    <m/>
    <m/>
    <d v="2021-11-18T08:17:00"/>
    <n v="0"/>
    <n v="0"/>
    <x v="9"/>
    <n v="127"/>
  </r>
  <r>
    <n v="15310095294"/>
    <n v="110"/>
    <m/>
    <x v="22"/>
    <n v="15295556615"/>
    <x v="10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80333"/>
    <s v="Produto 08"/>
    <n v="50"/>
    <n v="15.5"/>
    <n v="0"/>
    <n v="10.747"/>
    <n v="775"/>
    <n v="79"/>
    <s v="PRFL.00.0024"/>
    <n v="0"/>
    <n v="0"/>
    <s v="AMANDA HUBBE"/>
    <m/>
    <m/>
    <m/>
    <d v="2021-11-18T08:17:00"/>
    <n v="0"/>
    <n v="0"/>
    <x v="14"/>
    <n v="55.000000000000007"/>
  </r>
  <r>
    <n v="15310095294"/>
    <n v="110"/>
    <m/>
    <x v="22"/>
    <n v="15295556615"/>
    <x v="6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5925662"/>
    <s v="Produto 17"/>
    <n v="50"/>
    <n v="8.3800000000000008"/>
    <n v="0"/>
    <n v="3.74"/>
    <n v="419"/>
    <n v="79"/>
    <s v="PRFL.00.0012"/>
    <n v="0"/>
    <n v="0"/>
    <s v="AMANDA HUBBE"/>
    <m/>
    <m/>
    <m/>
    <d v="2021-11-18T08:17:00"/>
    <n v="0"/>
    <n v="0"/>
    <x v="8"/>
    <n v="71"/>
  </r>
  <r>
    <n v="15330116311"/>
    <n v="112"/>
    <m/>
    <x v="23"/>
    <n v="15179701182"/>
    <x v="14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43939"/>
    <s v="Produto 11"/>
    <n v="200"/>
    <n v="13.55"/>
    <n v="0"/>
    <n v="10.747"/>
    <n v="2710"/>
    <n v="46"/>
    <s v="PRFL.00.0019"/>
    <n v="0"/>
    <n v="0"/>
    <s v="AMANDA HUBBE"/>
    <m/>
    <m/>
    <m/>
    <d v="2021-11-18T17:04:00"/>
    <n v="0"/>
    <n v="0"/>
    <x v="11"/>
    <n v="220.00000000000003"/>
  </r>
  <r>
    <n v="15330116311"/>
    <n v="112"/>
    <m/>
    <x v="23"/>
    <n v="15179701182"/>
    <x v="13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73255"/>
    <s v="Produto 17"/>
    <n v="70"/>
    <n v="16"/>
    <n v="0"/>
    <n v="10.747"/>
    <n v="1120"/>
    <n v="46"/>
    <s v="PRFL.00.0023"/>
    <n v="0"/>
    <n v="0"/>
    <s v="AMANDA HUBBE"/>
    <m/>
    <m/>
    <m/>
    <d v="2021-11-18T17:04:00"/>
    <n v="0"/>
    <n v="0"/>
    <x v="8"/>
    <n v="99.399999999999991"/>
  </r>
  <r>
    <n v="15330116311"/>
    <n v="112"/>
    <m/>
    <x v="23"/>
    <n v="15179701182"/>
    <x v="7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87271"/>
    <s v="Produto 16"/>
    <n v="80"/>
    <n v="18.04"/>
    <n v="0"/>
    <n v="14.4596"/>
    <n v="1443.2"/>
    <n v="46"/>
    <s v="PRFL.00.0025"/>
    <n v="0"/>
    <n v="0"/>
    <s v="AMANDA HUBBE"/>
    <m/>
    <m/>
    <m/>
    <d v="2021-11-18T17:04:00"/>
    <n v="0"/>
    <n v="0"/>
    <x v="9"/>
    <n v="101.6"/>
  </r>
  <r>
    <n v="15330116311"/>
    <n v="112"/>
    <m/>
    <x v="23"/>
    <n v="15179701182"/>
    <x v="19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99089"/>
    <s v="Produto 07"/>
    <n v="200"/>
    <n v="21"/>
    <n v="0"/>
    <n v="16.804400000000001"/>
    <n v="4200"/>
    <n v="46"/>
    <s v="PRFL.00.0027"/>
    <n v="0"/>
    <n v="0"/>
    <s v="AMANDA HUBBE"/>
    <m/>
    <m/>
    <m/>
    <d v="2021-11-18T17:04:00"/>
    <n v="0"/>
    <n v="0"/>
    <x v="12"/>
    <n v="220.00000000000003"/>
  </r>
  <r>
    <n v="15330116311"/>
    <n v="112"/>
    <m/>
    <x v="23"/>
    <n v="15179701182"/>
    <x v="11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918644"/>
    <s v="Produto 09"/>
    <n v="250"/>
    <n v="7.8"/>
    <n v="0"/>
    <n v="5.61"/>
    <n v="1950"/>
    <n v="46"/>
    <s v="PRFL.00.0011"/>
    <n v="0"/>
    <n v="0"/>
    <s v="AMANDA HUBBE"/>
    <m/>
    <m/>
    <m/>
    <d v="2021-11-18T17:04:00"/>
    <n v="0"/>
    <n v="0"/>
    <x v="4"/>
    <n v="275"/>
  </r>
  <r>
    <n v="15330187506"/>
    <n v="113"/>
    <m/>
    <x v="23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4"/>
    <n v="50"/>
    <n v="19.8"/>
    <n v="0"/>
    <n v="14.4596"/>
    <n v="990"/>
    <n v="41"/>
    <s v="PRFL.00.0026"/>
    <n v="0"/>
    <n v="0"/>
    <m/>
    <m/>
    <m/>
    <m/>
    <d v="2021-11-18T17:03:00"/>
    <n v="0"/>
    <n v="0"/>
    <x v="10"/>
    <n v="30"/>
  </r>
  <r>
    <n v="15330187506"/>
    <n v="113"/>
    <m/>
    <x v="23"/>
    <n v="15179581888"/>
    <x v="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15"/>
    <n v="300"/>
    <n v="20.6"/>
    <n v="0"/>
    <n v="16.804400000000001"/>
    <n v="6180"/>
    <n v="41"/>
    <s v="PRFL.00.0027"/>
    <n v="0"/>
    <n v="0"/>
    <m/>
    <m/>
    <m/>
    <m/>
    <d v="2021-11-18T17:03:00"/>
    <n v="0"/>
    <n v="0"/>
    <x v="16"/>
    <n v="426"/>
  </r>
  <r>
    <n v="15330187506"/>
    <n v="113"/>
    <m/>
    <x v="23"/>
    <n v="15179581888"/>
    <x v="1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11"/>
    <n v="60"/>
    <n v="17.8"/>
    <n v="0"/>
    <n v="14.4596"/>
    <n v="1068"/>
    <n v="41"/>
    <s v="PRFL.00.0025"/>
    <n v="0"/>
    <n v="0"/>
    <m/>
    <m/>
    <m/>
    <m/>
    <d v="2021-11-18T17:03:00"/>
    <n v="0"/>
    <n v="0"/>
    <x v="11"/>
    <n v="66"/>
  </r>
  <r>
    <n v="15330187506"/>
    <n v="113"/>
    <m/>
    <x v="23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09"/>
    <n v="20"/>
    <n v="14"/>
    <n v="0"/>
    <n v="10.747"/>
    <n v="280"/>
    <n v="41"/>
    <s v="PRFL.00.0024"/>
    <n v="0"/>
    <n v="0"/>
    <m/>
    <m/>
    <m/>
    <m/>
    <d v="2021-11-18T17:03:00"/>
    <n v="0"/>
    <n v="0"/>
    <x v="4"/>
    <n v="22"/>
  </r>
  <r>
    <n v="15293497633"/>
    <n v="101"/>
    <m/>
    <x v="24"/>
    <n v="15293435625"/>
    <x v="13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5746121"/>
    <s v="Produto 03"/>
    <n v="200"/>
    <n v="17.8"/>
    <n v="0"/>
    <n v="13.763999999999999"/>
    <n v="3560"/>
    <n v="76"/>
    <s v="PRFL.00.0007"/>
    <n v="0"/>
    <n v="0"/>
    <s v="FERNANDO CARDOSO"/>
    <m/>
    <m/>
    <m/>
    <d v="2021-11-18T08:30:00"/>
    <n v="0"/>
    <n v="0"/>
    <x v="13"/>
    <n v="120"/>
  </r>
  <r>
    <n v="15293497633"/>
    <n v="101"/>
    <m/>
    <x v="24"/>
    <n v="15293435625"/>
    <x v="14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6099089"/>
    <s v="Produto 04"/>
    <n v="500"/>
    <n v="20.79"/>
    <n v="0"/>
    <n v="16.804400000000001"/>
    <n v="10395"/>
    <n v="76"/>
    <s v="PRFL.00.0027"/>
    <n v="0"/>
    <n v="0"/>
    <s v="FERNANDO CARDOSO"/>
    <m/>
    <m/>
    <m/>
    <d v="2021-11-18T08:30:00"/>
    <n v="0"/>
    <n v="0"/>
    <x v="10"/>
    <n v="300"/>
  </r>
  <r>
    <n v="15293497633"/>
    <n v="101"/>
    <m/>
    <x v="24"/>
    <n v="15293435625"/>
    <x v="19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6093155"/>
    <s v="Produto 15"/>
    <n v="500"/>
    <n v="17.899999999999999"/>
    <n v="0"/>
    <n v="14.4596"/>
    <n v="8950"/>
    <n v="76"/>
    <s v="PRFL.00.0026"/>
    <n v="0"/>
    <n v="0"/>
    <s v="FERNANDO CARDOSO"/>
    <m/>
    <m/>
    <m/>
    <d v="2021-11-18T08:30:00"/>
    <n v="0"/>
    <n v="0"/>
    <x v="16"/>
    <n v="710"/>
  </r>
  <r>
    <n v="15293497633"/>
    <n v="101"/>
    <m/>
    <x v="24"/>
    <n v="15293435625"/>
    <x v="5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6080333"/>
    <s v="Produto 16"/>
    <n v="200"/>
    <n v="13.95"/>
    <n v="0"/>
    <n v="10.747"/>
    <n v="2790"/>
    <n v="76"/>
    <s v="PRFL.00.0024"/>
    <n v="0"/>
    <n v="0"/>
    <s v="FERNANDO CARDOSO"/>
    <m/>
    <m/>
    <m/>
    <d v="2021-11-18T08:30:00"/>
    <n v="0"/>
    <n v="0"/>
    <x v="9"/>
    <n v="254"/>
  </r>
  <r>
    <n v="15293497633"/>
    <n v="101"/>
    <m/>
    <x v="24"/>
    <n v="15293435625"/>
    <x v="12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6093155"/>
    <s v="Produto 14"/>
    <n v="200"/>
    <n v="16.7"/>
    <n v="0"/>
    <n v="14.4596"/>
    <n v="3340"/>
    <n v="76"/>
    <s v="PRFL.00.0026"/>
    <n v="0"/>
    <n v="0"/>
    <s v="FERNANDO CARDOSO"/>
    <m/>
    <m/>
    <m/>
    <d v="2021-11-18T08:30:00"/>
    <n v="0"/>
    <n v="0"/>
    <x v="1"/>
    <n v="280"/>
  </r>
  <r>
    <n v="15293497633"/>
    <n v="101"/>
    <m/>
    <x v="24"/>
    <n v="15293435625"/>
    <x v="11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5925662"/>
    <s v="Produto 05"/>
    <n v="1000"/>
    <n v="7.7"/>
    <n v="0"/>
    <n v="3.74"/>
    <n v="7700"/>
    <n v="76"/>
    <s v="PRFL.00.0012"/>
    <n v="0"/>
    <n v="0"/>
    <s v="FERNANDO CARDOSO"/>
    <m/>
    <m/>
    <m/>
    <d v="2021-11-18T08:30:00"/>
    <n v="0"/>
    <n v="0"/>
    <x v="5"/>
    <n v="600"/>
  </r>
  <r>
    <n v="15293497633"/>
    <n v="101"/>
    <m/>
    <x v="24"/>
    <n v="15293435625"/>
    <x v="8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5918644"/>
    <s v="Produto 08"/>
    <n v="1000"/>
    <n v="7.9"/>
    <n v="0"/>
    <n v="5.61"/>
    <n v="7900"/>
    <n v="76"/>
    <s v="PRFL.00.0011"/>
    <n v="0"/>
    <n v="0"/>
    <s v="FERNANDO CARDOSO"/>
    <m/>
    <m/>
    <m/>
    <d v="2021-11-18T08:30:00"/>
    <n v="0"/>
    <n v="0"/>
    <x v="14"/>
    <n v="1100"/>
  </r>
  <r>
    <n v="15330432201"/>
    <n v="114"/>
    <m/>
    <x v="24"/>
    <n v="15291803674"/>
    <x v="1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5918644"/>
    <s v="Produto 14"/>
    <n v="1000"/>
    <n v="7.5"/>
    <n v="0"/>
    <n v="5.61"/>
    <n v="7500"/>
    <n v="73"/>
    <s v="PRFL.00.0011"/>
    <n v="0"/>
    <n v="0"/>
    <m/>
    <m/>
    <m/>
    <m/>
    <d v="2021-11-19T15:27:00"/>
    <n v="0"/>
    <n v="0"/>
    <x v="1"/>
    <n v="1400"/>
  </r>
  <r>
    <n v="15330552244"/>
    <n v="115"/>
    <m/>
    <x v="24"/>
    <n v="15339582855"/>
    <x v="1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9089"/>
    <s v="Produto 14"/>
    <n v="500"/>
    <n v="17.97"/>
    <n v="0"/>
    <n v="16.804400000000001"/>
    <n v="8985"/>
    <n v="83"/>
    <s v="PRFL.00.0027"/>
    <n v="0"/>
    <n v="0"/>
    <s v="HENRIQUE"/>
    <m/>
    <m/>
    <m/>
    <d v="2021-11-20T08:27:00"/>
    <n v="0"/>
    <n v="0"/>
    <x v="1"/>
    <n v="700"/>
  </r>
  <r>
    <n v="15330552244"/>
    <n v="115"/>
    <m/>
    <x v="24"/>
    <n v="15339582855"/>
    <x v="2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3155"/>
    <s v="Produto 06"/>
    <n v="520"/>
    <n v="16.399999999999999"/>
    <n v="0"/>
    <n v="14.4596"/>
    <n v="8528"/>
    <n v="83"/>
    <s v="PRFL.00.0026"/>
    <n v="0"/>
    <n v="0"/>
    <s v="HENRIQUE"/>
    <m/>
    <m/>
    <m/>
    <d v="2021-11-20T08:27:00"/>
    <n v="0"/>
    <n v="0"/>
    <x v="0"/>
    <n v="260"/>
  </r>
  <r>
    <n v="15330552244"/>
    <n v="115"/>
    <m/>
    <x v="24"/>
    <n v="15339582855"/>
    <x v="10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9089"/>
    <s v="Produto 12"/>
    <n v="588"/>
    <n v="19.25"/>
    <n v="0"/>
    <n v="16.804400000000001"/>
    <n v="11319"/>
    <n v="83"/>
    <s v="PRFL.00.0027"/>
    <n v="0"/>
    <n v="0"/>
    <s v="HENRIQUE"/>
    <m/>
    <m/>
    <m/>
    <d v="2021-11-20T08:27:00"/>
    <n v="0"/>
    <n v="0"/>
    <x v="15"/>
    <n v="823.19999999999993"/>
  </r>
  <r>
    <n v="15330552244"/>
    <n v="115"/>
    <m/>
    <x v="24"/>
    <n v="15339582855"/>
    <x v="16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87271"/>
    <s v="Produto 08"/>
    <n v="273"/>
    <n v="16.64"/>
    <n v="0"/>
    <n v="14.4596"/>
    <n v="4542.72"/>
    <n v="83"/>
    <s v="PRFL.00.0025"/>
    <n v="0"/>
    <n v="0"/>
    <s v="HENRIQUE"/>
    <m/>
    <m/>
    <m/>
    <d v="2021-11-20T08:27:00"/>
    <n v="0"/>
    <n v="0"/>
    <x v="14"/>
    <n v="300.3"/>
  </r>
  <r>
    <n v="15330552244"/>
    <n v="115"/>
    <m/>
    <x v="24"/>
    <n v="15339582855"/>
    <x v="18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80333"/>
    <s v="Produto 17"/>
    <n v="70"/>
    <n v="13.4"/>
    <n v="0"/>
    <n v="10.747"/>
    <n v="938"/>
    <n v="83"/>
    <s v="PRFL.00.0024"/>
    <n v="0"/>
    <n v="0"/>
    <s v="HENRIQUE"/>
    <m/>
    <m/>
    <m/>
    <d v="2021-11-20T08:27:00"/>
    <n v="0"/>
    <n v="0"/>
    <x v="8"/>
    <n v="99.399999999999991"/>
  </r>
  <r>
    <n v="15330552244"/>
    <n v="115"/>
    <m/>
    <x v="24"/>
    <n v="15339582855"/>
    <x v="18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3155"/>
    <s v="Produto 01"/>
    <n v="500"/>
    <n v="13.66"/>
    <n v="0"/>
    <n v="14.4596"/>
    <n v="6830"/>
    <n v="83"/>
    <s v="PRFL.00.0026"/>
    <n v="0"/>
    <n v="0"/>
    <s v="HENRIQUE"/>
    <m/>
    <m/>
    <m/>
    <d v="2021-11-20T08:27:00"/>
    <n v="0"/>
    <n v="0"/>
    <x v="7"/>
    <n v="200"/>
  </r>
  <r>
    <n v="15330552244"/>
    <n v="115"/>
    <m/>
    <x v="24"/>
    <n v="15339582855"/>
    <x v="15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3155"/>
    <s v="Produto 07"/>
    <n v="500"/>
    <n v="15.3"/>
    <n v="0"/>
    <n v="14.4596"/>
    <n v="7650"/>
    <n v="83"/>
    <s v="PRFL.00.0026"/>
    <n v="0"/>
    <n v="0"/>
    <s v="HENRIQUE"/>
    <m/>
    <m/>
    <m/>
    <d v="2021-11-20T08:27:00"/>
    <n v="0"/>
    <n v="0"/>
    <x v="12"/>
    <n v="550"/>
  </r>
  <r>
    <n v="15330673193"/>
    <n v="116"/>
    <m/>
    <x v="25"/>
    <n v="15179803016"/>
    <x v="5"/>
    <s v="13.559.797/0001-03"/>
    <s v="AV NOE REBESCO, 1650"/>
    <s v="LAGOA"/>
    <s v="Irati"/>
    <n v="84500000"/>
    <s v="PR"/>
    <s v="Julio@Irati.com"/>
    <n v="42999250064"/>
    <n v="0"/>
    <n v="0"/>
    <m/>
    <s v="Atendido"/>
    <n v="15016093155"/>
    <s v="Produto 06"/>
    <n v="200"/>
    <n v="18.2"/>
    <n v="0"/>
    <n v="14.4596"/>
    <n v="3640"/>
    <n v="50"/>
    <s v="PRFL.00.0026"/>
    <n v="0"/>
    <n v="0"/>
    <s v="AMANDA HUBBE"/>
    <m/>
    <m/>
    <m/>
    <d v="2021-11-22T15:43:00"/>
    <n v="0"/>
    <n v="0"/>
    <x v="0"/>
    <n v="100"/>
  </r>
  <r>
    <n v="15330673193"/>
    <n v="116"/>
    <m/>
    <x v="25"/>
    <n v="15179803016"/>
    <x v="18"/>
    <s v="13.559.797/0001-03"/>
    <s v="AV NOE REBESCO, 1650"/>
    <s v="LAGOA"/>
    <s v="Irati"/>
    <n v="84500000"/>
    <s v="PR"/>
    <s v="Julio@Irati.com"/>
    <n v="42999250064"/>
    <n v="0"/>
    <n v="0"/>
    <m/>
    <s v="Atendido"/>
    <n v="15016080333"/>
    <s v="Produto 15"/>
    <n v="100"/>
    <n v="15.2"/>
    <n v="0"/>
    <n v="10.747"/>
    <n v="1520"/>
    <n v="50"/>
    <s v="PRFL.00.0024"/>
    <n v="0"/>
    <n v="0"/>
    <s v="AMANDA HUBBE"/>
    <m/>
    <m/>
    <m/>
    <d v="2021-11-22T15:43:00"/>
    <n v="0"/>
    <n v="0"/>
    <x v="16"/>
    <n v="142"/>
  </r>
  <r>
    <n v="15330673193"/>
    <n v="116"/>
    <m/>
    <x v="25"/>
    <n v="15179803016"/>
    <x v="7"/>
    <s v="13.559.797/0001-03"/>
    <s v="AV NOE REBESCO, 1650"/>
    <s v="LAGOA"/>
    <s v="Irati"/>
    <n v="84500000"/>
    <s v="PR"/>
    <s v="Julio@Irati.com"/>
    <n v="42999250064"/>
    <n v="0"/>
    <n v="0"/>
    <m/>
    <s v="Atendido"/>
    <n v="15016043939"/>
    <s v="Produto 04"/>
    <n v="60"/>
    <n v="13.9"/>
    <n v="0"/>
    <n v="10.747"/>
    <n v="834"/>
    <n v="50"/>
    <s v="PRFL.00.0019"/>
    <n v="0"/>
    <n v="0"/>
    <s v="AMANDA HUBBE"/>
    <m/>
    <m/>
    <m/>
    <d v="2021-11-22T15:43:00"/>
    <n v="0"/>
    <n v="0"/>
    <x v="10"/>
    <n v="36"/>
  </r>
  <r>
    <n v="15350515499"/>
    <n v="145"/>
    <m/>
    <x v="26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12"/>
    <n v="200"/>
    <n v="20.6"/>
    <n v="0"/>
    <n v="16.804400000000001"/>
    <n v="4120"/>
    <n v="41"/>
    <s v="PRFL.00.0027"/>
    <n v="0"/>
    <n v="0"/>
    <s v="HENRIQUE"/>
    <m/>
    <m/>
    <m/>
    <d v="2021-11-24T08:25:00"/>
    <n v="0"/>
    <n v="0"/>
    <x v="15"/>
    <n v="280"/>
  </r>
  <r>
    <n v="15350515499"/>
    <n v="145"/>
    <m/>
    <x v="26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6"/>
    <n v="200"/>
    <n v="12.9"/>
    <n v="0"/>
    <n v="10.747"/>
    <n v="2580"/>
    <n v="41"/>
    <s v="PRFL.00.0019"/>
    <n v="0"/>
    <n v="0"/>
    <s v="HENRIQUE"/>
    <m/>
    <m/>
    <m/>
    <d v="2021-11-24T08:25:00"/>
    <n v="0"/>
    <n v="0"/>
    <x v="0"/>
    <n v="100"/>
  </r>
  <r>
    <n v="15350515499"/>
    <n v="145"/>
    <m/>
    <x v="26"/>
    <n v="15179581888"/>
    <x v="1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10"/>
    <n v="400"/>
    <n v="7.35"/>
    <n v="0"/>
    <n v="5.61"/>
    <n v="2940"/>
    <n v="41"/>
    <s v="PRFL.00.0011"/>
    <n v="0"/>
    <n v="0"/>
    <s v="HENRIQUE"/>
    <m/>
    <m/>
    <m/>
    <d v="2021-11-24T08:25:00"/>
    <n v="0"/>
    <n v="0"/>
    <x v="3"/>
    <n v="440.00000000000006"/>
  </r>
  <r>
    <n v="15350515499"/>
    <n v="145"/>
    <m/>
    <x v="26"/>
    <n v="15179581888"/>
    <x v="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66088"/>
    <s v="Produto 13"/>
    <n v="150"/>
    <n v="15.5"/>
    <n v="0"/>
    <n v="10.747"/>
    <n v="2325"/>
    <n v="41"/>
    <s v="PRFL.00.0022"/>
    <n v="0"/>
    <n v="0"/>
    <s v="HENRIQUE"/>
    <m/>
    <m/>
    <m/>
    <d v="2021-11-24T08:25:00"/>
    <n v="0"/>
    <n v="0"/>
    <x v="2"/>
    <n v="210"/>
  </r>
  <r>
    <n v="15350515499"/>
    <n v="145"/>
    <m/>
    <x v="26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11"/>
    <n v="200"/>
    <n v="17.8"/>
    <n v="0"/>
    <n v="14.4596"/>
    <n v="3560"/>
    <n v="41"/>
    <s v="PRFL.00.0026"/>
    <n v="0"/>
    <n v="0"/>
    <s v="HENRIQUE"/>
    <m/>
    <m/>
    <m/>
    <d v="2021-11-24T08:25:00"/>
    <n v="0"/>
    <n v="0"/>
    <x v="11"/>
    <n v="220.00000000000003"/>
  </r>
  <r>
    <n v="15343757243"/>
    <n v="142"/>
    <m/>
    <x v="27"/>
    <n v="15020006032"/>
    <x v="9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93155"/>
    <s v="Produto 13"/>
    <n v="500"/>
    <n v="17.899999999999999"/>
    <n v="0"/>
    <n v="14.4596"/>
    <n v="8950"/>
    <n v="16"/>
    <s v="PRFL.00.0026"/>
    <n v="0"/>
    <n v="0"/>
    <s v="HENRIQUE"/>
    <m/>
    <m/>
    <m/>
    <d v="2021-11-25T08:02:00"/>
    <n v="0"/>
    <n v="0"/>
    <x v="2"/>
    <n v="700"/>
  </r>
  <r>
    <n v="15344142814"/>
    <n v="143"/>
    <m/>
    <x v="27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8"/>
    <n v="100"/>
    <n v="12.9"/>
    <n v="0"/>
    <n v="10.747"/>
    <n v="1290"/>
    <n v="41"/>
    <s v="PRFL.00.0019"/>
    <n v="0"/>
    <n v="0"/>
    <s v="HENRIQUE"/>
    <m/>
    <m/>
    <m/>
    <d v="2021-11-25T08:24:00"/>
    <n v="0"/>
    <n v="0"/>
    <x v="14"/>
    <n v="110.00000000000001"/>
  </r>
  <r>
    <n v="15344142814"/>
    <n v="143"/>
    <m/>
    <x v="27"/>
    <n v="15179581888"/>
    <x v="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16"/>
    <n v="130"/>
    <n v="10"/>
    <n v="0"/>
    <n v="16.804400000000001"/>
    <n v="1300"/>
    <n v="41"/>
    <s v="PRFL.00.0027"/>
    <n v="0"/>
    <n v="0"/>
    <s v="HENRIQUE"/>
    <m/>
    <m/>
    <m/>
    <d v="2021-11-25T08:24:00"/>
    <n v="0"/>
    <n v="0"/>
    <x v="9"/>
    <n v="165.1"/>
  </r>
  <r>
    <n v="15344142814"/>
    <n v="143"/>
    <m/>
    <x v="27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13"/>
    <n v="140"/>
    <n v="8"/>
    <n v="0"/>
    <n v="14.4596"/>
    <n v="1120"/>
    <n v="41"/>
    <s v="PRFL.00.0026"/>
    <n v="0"/>
    <n v="0"/>
    <s v="HENRIQUE"/>
    <m/>
    <m/>
    <m/>
    <d v="2021-11-25T08:24:00"/>
    <n v="0"/>
    <n v="0"/>
    <x v="2"/>
    <n v="196"/>
  </r>
  <r>
    <n v="15344142814"/>
    <n v="143"/>
    <m/>
    <x v="27"/>
    <n v="15179581888"/>
    <x v="1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4"/>
    <n v="98"/>
    <n v="6"/>
    <n v="0"/>
    <n v="10.747"/>
    <n v="588"/>
    <n v="41"/>
    <s v="PRFL.00.0019"/>
    <n v="0"/>
    <n v="0"/>
    <s v="HENRIQUE"/>
    <m/>
    <m/>
    <m/>
    <d v="2021-11-25T08:24:00"/>
    <n v="0"/>
    <n v="0"/>
    <x v="10"/>
    <n v="58.8"/>
  </r>
  <r>
    <n v="15344142814"/>
    <n v="143"/>
    <m/>
    <x v="27"/>
    <n v="15179581888"/>
    <x v="1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66088"/>
    <s v="Produto 08"/>
    <n v="46"/>
    <n v="6"/>
    <n v="0"/>
    <n v="10.747"/>
    <n v="276"/>
    <n v="41"/>
    <s v="PRFL.00.0022"/>
    <n v="0"/>
    <n v="0"/>
    <s v="HENRIQUE"/>
    <m/>
    <m/>
    <m/>
    <d v="2021-11-25T08:24:00"/>
    <n v="0"/>
    <n v="0"/>
    <x v="14"/>
    <n v="50.6"/>
  </r>
  <r>
    <n v="15344142814"/>
    <n v="143"/>
    <m/>
    <x v="27"/>
    <n v="15179581888"/>
    <x v="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4"/>
    <n v="200"/>
    <n v="7.35"/>
    <n v="0"/>
    <n v="5.61"/>
    <n v="1470"/>
    <n v="41"/>
    <s v="PRFL.00.0011"/>
    <n v="0"/>
    <n v="0"/>
    <s v="HENRIQUE"/>
    <m/>
    <m/>
    <m/>
    <d v="2021-11-25T08:24:00"/>
    <n v="0"/>
    <n v="0"/>
    <x v="10"/>
    <n v="120"/>
  </r>
  <r>
    <n v="15344144850"/>
    <n v="144"/>
    <m/>
    <x v="27"/>
    <n v="15179608501"/>
    <x v="19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93155"/>
    <s v="Produto 14"/>
    <n v="200"/>
    <n v="18.100000000000001"/>
    <n v="0"/>
    <n v="14.4596"/>
    <n v="3620"/>
    <n v="42"/>
    <s v="PRFL.00.0026"/>
    <n v="0"/>
    <n v="0"/>
    <s v="HENRIQUE"/>
    <m/>
    <m/>
    <m/>
    <d v="2021-11-25T08:01:00"/>
    <n v="0"/>
    <n v="0"/>
    <x v="1"/>
    <n v="280"/>
  </r>
  <r>
    <n v="15344144850"/>
    <n v="144"/>
    <m/>
    <x v="27"/>
    <n v="15179608501"/>
    <x v="4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80333"/>
    <s v="Produto 07"/>
    <n v="200"/>
    <n v="13.9"/>
    <n v="0"/>
    <n v="10.747"/>
    <n v="2780"/>
    <n v="42"/>
    <s v="PRFL.00.0024"/>
    <n v="0"/>
    <n v="0"/>
    <s v="HENRIQUE"/>
    <m/>
    <m/>
    <m/>
    <d v="2021-11-25T08:01:00"/>
    <n v="0"/>
    <n v="0"/>
    <x v="12"/>
    <n v="220.00000000000003"/>
  </r>
  <r>
    <n v="15344144850"/>
    <n v="144"/>
    <m/>
    <x v="27"/>
    <n v="15179608501"/>
    <x v="17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87271"/>
    <s v="Produto 04"/>
    <n v="200"/>
    <n v="18.100000000000001"/>
    <n v="0"/>
    <n v="14.4596"/>
    <n v="3620"/>
    <n v="42"/>
    <s v="PRFL.00.0025"/>
    <n v="0"/>
    <n v="0"/>
    <s v="HENRIQUE"/>
    <m/>
    <m/>
    <m/>
    <d v="2021-11-25T08:01:00"/>
    <n v="0"/>
    <n v="0"/>
    <x v="10"/>
    <n v="120"/>
  </r>
  <r>
    <n v="15350656598"/>
    <n v="146"/>
    <m/>
    <x v="27"/>
    <n v="15059089666"/>
    <x v="0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87271"/>
    <s v="Produto 12"/>
    <n v="100"/>
    <n v="17.8"/>
    <n v="0"/>
    <n v="14.4596"/>
    <n v="1780"/>
    <n v="31"/>
    <s v="PRFL.00.0025"/>
    <n v="0"/>
    <n v="0"/>
    <s v="FERNANDO CARDOSO"/>
    <m/>
    <m/>
    <m/>
    <d v="2021-11-24T10:10:00"/>
    <n v="0"/>
    <n v="0"/>
    <x v="15"/>
    <n v="140"/>
  </r>
  <r>
    <n v="15350656598"/>
    <n v="146"/>
    <m/>
    <x v="27"/>
    <n v="15059089666"/>
    <x v="11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99089"/>
    <s v="Produto 01"/>
    <n v="150"/>
    <n v="20.79"/>
    <n v="0"/>
    <n v="16.804400000000001"/>
    <n v="3118.5"/>
    <n v="31"/>
    <s v="PRFL.00.0027"/>
    <n v="0"/>
    <n v="0"/>
    <s v="FERNANDO CARDOSO"/>
    <m/>
    <m/>
    <m/>
    <d v="2021-11-24T10:10:00"/>
    <n v="0"/>
    <n v="0"/>
    <x v="7"/>
    <n v="60"/>
  </r>
  <r>
    <n v="15350656598"/>
    <n v="146"/>
    <m/>
    <x v="27"/>
    <n v="15059089666"/>
    <x v="13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5918644"/>
    <s v="Produto 02"/>
    <n v="90"/>
    <n v="7.9"/>
    <n v="0"/>
    <n v="5.61"/>
    <n v="711"/>
    <n v="31"/>
    <s v="PRFL.00.0011"/>
    <n v="0"/>
    <n v="0"/>
    <s v="FERNANDO CARDOSO"/>
    <m/>
    <m/>
    <m/>
    <d v="2021-11-24T10:10:00"/>
    <n v="0"/>
    <n v="0"/>
    <x v="6"/>
    <n v="24.3"/>
  </r>
  <r>
    <n v="15350656598"/>
    <n v="146"/>
    <m/>
    <x v="27"/>
    <n v="15059089666"/>
    <x v="8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43939"/>
    <s v="Produto 07"/>
    <n v="130"/>
    <n v="13.5"/>
    <n v="0"/>
    <n v="10.747"/>
    <n v="1755"/>
    <n v="31"/>
    <s v="PRFL.00.0019"/>
    <n v="0"/>
    <n v="0"/>
    <s v="FERNANDO CARDOSO"/>
    <m/>
    <m/>
    <m/>
    <d v="2021-11-24T10:10:00"/>
    <n v="0"/>
    <n v="0"/>
    <x v="12"/>
    <n v="143"/>
  </r>
  <r>
    <n v="15350656598"/>
    <n v="146"/>
    <m/>
    <x v="27"/>
    <n v="15059089666"/>
    <x v="16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5511068"/>
    <s v="Produto 13"/>
    <n v="100"/>
    <n v="16.100000000000001"/>
    <n v="0"/>
    <n v="10.23"/>
    <n v="1610"/>
    <n v="31"/>
    <s v="PRFL.00.0005"/>
    <n v="0"/>
    <n v="0"/>
    <s v="FERNANDO CARDOSO"/>
    <m/>
    <m/>
    <m/>
    <d v="2021-11-24T10:10:00"/>
    <n v="0"/>
    <n v="0"/>
    <x v="2"/>
    <n v="140"/>
  </r>
  <r>
    <n v="15350724383"/>
    <n v="147"/>
    <m/>
    <x v="27"/>
    <n v="15059049115"/>
    <x v="3"/>
    <s v="29.874.259/0001-43"/>
    <s v="RUA 408, 131, Nao Informado"/>
    <s v="MORRETES"/>
    <s v="Itapema"/>
    <n v="88220000"/>
    <s v="SC"/>
    <m/>
    <m/>
    <n v="0"/>
    <n v="0"/>
    <m/>
    <s v="Atendido"/>
    <n v="15016043939"/>
    <s v="Produto 06"/>
    <n v="800"/>
    <n v="13.5"/>
    <n v="0"/>
    <n v="10.747"/>
    <n v="10800"/>
    <n v="29"/>
    <s v="PRFL.00.0019"/>
    <n v="0"/>
    <n v="0"/>
    <s v="FERNANDO CARDOSO"/>
    <m/>
    <m/>
    <m/>
    <d v="2021-11-24T10:13:00"/>
    <n v="0"/>
    <n v="0"/>
    <x v="0"/>
    <n v="400"/>
  </r>
  <r>
    <n v="15350724383"/>
    <n v="147"/>
    <m/>
    <x v="27"/>
    <n v="15059049115"/>
    <x v="0"/>
    <s v="29.874.259/0001-43"/>
    <s v="RUA 408, 131, Nao Informado"/>
    <s v="MORRETES"/>
    <s v="Itapema"/>
    <n v="88220000"/>
    <s v="SC"/>
    <m/>
    <m/>
    <n v="0"/>
    <n v="0"/>
    <m/>
    <s v="Atendido"/>
    <n v="15016099089"/>
    <s v="Produto 14"/>
    <n v="300"/>
    <n v="20.79"/>
    <n v="0"/>
    <n v="16.804400000000001"/>
    <n v="6237"/>
    <n v="29"/>
    <s v="PRFL.00.0027"/>
    <n v="0"/>
    <n v="0"/>
    <s v="FERNANDO CARDOSO"/>
    <m/>
    <m/>
    <m/>
    <d v="2021-11-24T10:13:00"/>
    <n v="0"/>
    <n v="0"/>
    <x v="1"/>
    <n v="420"/>
  </r>
  <r>
    <n v="15350724383"/>
    <n v="147"/>
    <m/>
    <x v="27"/>
    <n v="15059049115"/>
    <x v="15"/>
    <s v="29.874.259/0001-43"/>
    <s v="RUA 408, 131, Nao Informado"/>
    <s v="MORRETES"/>
    <s v="Itapema"/>
    <n v="88220000"/>
    <s v="SC"/>
    <m/>
    <m/>
    <n v="0"/>
    <n v="0"/>
    <m/>
    <s v="Atendido"/>
    <n v="15016087271"/>
    <s v="Produto 14"/>
    <n v="100"/>
    <n v="17.8"/>
    <n v="0"/>
    <n v="14.4596"/>
    <n v="1780"/>
    <n v="29"/>
    <s v="PRFL.00.0025"/>
    <n v="0"/>
    <n v="0"/>
    <s v="FERNANDO CARDOSO"/>
    <m/>
    <m/>
    <m/>
    <d v="2021-11-24T10:13:00"/>
    <n v="0"/>
    <n v="0"/>
    <x v="1"/>
    <n v="140"/>
  </r>
  <r>
    <n v="15350908694"/>
    <n v="148"/>
    <m/>
    <x v="27"/>
    <n v="15272395368"/>
    <x v="5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5511068"/>
    <s v="Produto 09"/>
    <n v="300"/>
    <n v="16.100000000000001"/>
    <n v="0"/>
    <n v="10.23"/>
    <n v="4830"/>
    <n v="65"/>
    <s v="PRFL.00.0005"/>
    <n v="0"/>
    <n v="0"/>
    <s v="FERNANDO CARDOSO"/>
    <m/>
    <m/>
    <m/>
    <d v="2021-11-25T08:01:00"/>
    <n v="0"/>
    <n v="0"/>
    <x v="4"/>
    <n v="330"/>
  </r>
  <r>
    <n v="15350908694"/>
    <n v="148"/>
    <m/>
    <x v="27"/>
    <n v="15272395368"/>
    <x v="18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139727614"/>
    <s v="Produto 13"/>
    <n v="50"/>
    <n v="23.8"/>
    <n v="0"/>
    <n v="0"/>
    <n v="1190"/>
    <n v="65"/>
    <s v="PRFL.00.0029"/>
    <n v="0"/>
    <n v="0"/>
    <s v="FERNANDO CARDOSO"/>
    <m/>
    <m/>
    <m/>
    <d v="2021-11-25T08:01:00"/>
    <n v="0"/>
    <n v="0"/>
    <x v="2"/>
    <n v="70"/>
  </r>
  <r>
    <n v="15350908694"/>
    <n v="148"/>
    <m/>
    <x v="27"/>
    <n v="15272395368"/>
    <x v="12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6093155"/>
    <s v="Produto 11"/>
    <n v="300"/>
    <n v="17.989999999999998"/>
    <n v="0"/>
    <n v="14.4596"/>
    <n v="5397"/>
    <n v="65"/>
    <s v="PRFL.00.0026"/>
    <n v="0"/>
    <n v="0"/>
    <s v="FERNANDO CARDOSO"/>
    <m/>
    <m/>
    <m/>
    <d v="2021-11-25T08:01:00"/>
    <n v="0"/>
    <n v="0"/>
    <x v="11"/>
    <n v="330"/>
  </r>
  <r>
    <n v="15350908694"/>
    <n v="148"/>
    <m/>
    <x v="27"/>
    <n v="15272395368"/>
    <x v="3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6043939"/>
    <s v="Produto 06"/>
    <n v="120"/>
    <n v="13.55"/>
    <n v="0"/>
    <n v="10.747"/>
    <n v="1626"/>
    <n v="65"/>
    <s v="PRFL.00.0019"/>
    <n v="0"/>
    <n v="0"/>
    <s v="FERNANDO CARDOSO"/>
    <m/>
    <m/>
    <m/>
    <d v="2021-11-25T08:01:00"/>
    <n v="0"/>
    <n v="0"/>
    <x v="0"/>
    <n v="60"/>
  </r>
  <r>
    <n v="15350908694"/>
    <n v="148"/>
    <m/>
    <x v="27"/>
    <n v="15272395368"/>
    <x v="18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6049144"/>
    <s v="Produto 04"/>
    <n v="301"/>
    <n v="4.29"/>
    <n v="48.19"/>
    <n v="5.8620000000000001"/>
    <n v="1291.29"/>
    <n v="65"/>
    <s v="PRFL.00.0020"/>
    <n v="0"/>
    <n v="0"/>
    <s v="FERNANDO CARDOSO"/>
    <m/>
    <m/>
    <m/>
    <d v="2021-11-25T08:01:00"/>
    <n v="0"/>
    <n v="0"/>
    <x v="10"/>
    <n v="180.6"/>
  </r>
  <r>
    <n v="15441535817"/>
    <n v="179"/>
    <m/>
    <x v="27"/>
    <n v="15291803674"/>
    <x v="3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5085610"/>
    <s v="Produto 12"/>
    <n v="1000"/>
    <n v="13"/>
    <n v="7.8"/>
    <n v="10.23"/>
    <n v="13000"/>
    <n v="73"/>
    <s v="PRFL.00.0001"/>
    <n v="0"/>
    <n v="0"/>
    <m/>
    <m/>
    <m/>
    <m/>
    <d v="2021-11-24T13:54:00"/>
    <n v="0"/>
    <n v="0"/>
    <x v="15"/>
    <n v="1400"/>
  </r>
  <r>
    <n v="15441535817"/>
    <n v="179"/>
    <m/>
    <x v="27"/>
    <n v="15291803674"/>
    <x v="3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93155"/>
    <s v="Produto 05"/>
    <n v="600"/>
    <n v="17.899999999999999"/>
    <n v="4.0199999999999996"/>
    <n v="14.4596"/>
    <n v="10740"/>
    <n v="73"/>
    <s v="PRFL.00.0026"/>
    <n v="0"/>
    <n v="0"/>
    <m/>
    <m/>
    <m/>
    <m/>
    <d v="2021-11-24T13:54:00"/>
    <n v="0"/>
    <n v="0"/>
    <x v="5"/>
    <n v="360"/>
  </r>
  <r>
    <n v="15441535817"/>
    <n v="179"/>
    <m/>
    <x v="27"/>
    <n v="15291803674"/>
    <x v="19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80333"/>
    <s v="Produto 13"/>
    <n v="300"/>
    <n v="13.9"/>
    <n v="9.15"/>
    <n v="10.747"/>
    <n v="4170"/>
    <n v="73"/>
    <s v="PRFL.00.0024"/>
    <n v="0"/>
    <n v="0"/>
    <m/>
    <m/>
    <m/>
    <m/>
    <d v="2021-11-24T13:54:00"/>
    <n v="0"/>
    <n v="0"/>
    <x v="2"/>
    <n v="420"/>
  </r>
  <r>
    <n v="15441535817"/>
    <n v="179"/>
    <m/>
    <x v="27"/>
    <n v="15291803674"/>
    <x v="12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87271"/>
    <s v="Produto 10"/>
    <n v="300"/>
    <n v="17.899999999999999"/>
    <n v="3.5"/>
    <n v="14.4596"/>
    <n v="5370"/>
    <n v="73"/>
    <s v="PRFL.00.0025"/>
    <n v="0"/>
    <n v="0"/>
    <m/>
    <m/>
    <m/>
    <m/>
    <d v="2021-11-24T13:54:00"/>
    <n v="0"/>
    <n v="0"/>
    <x v="3"/>
    <n v="330"/>
  </r>
  <r>
    <n v="15356098509"/>
    <n v="149"/>
    <m/>
    <x v="28"/>
    <n v="15266819008"/>
    <x v="16"/>
    <s v="03.243.457/0001-15"/>
    <s v="R LRG VIRMOND DE LIMA, 83, N/A"/>
    <s v="SEMINARIO"/>
    <s v="Curitiba"/>
    <s v="80440-030"/>
    <s v="PR"/>
    <s v="Leparc@Leparc.com.br"/>
    <n v="41999473993"/>
    <n v="0"/>
    <n v="0"/>
    <m/>
    <s v="Atendido"/>
    <n v="15016043939"/>
    <s v="Produto 15"/>
    <n v="100"/>
    <n v="13.9"/>
    <n v="0"/>
    <n v="10.747"/>
    <n v="1390"/>
    <n v="64"/>
    <s v="PRFL.00.0019"/>
    <n v="0"/>
    <n v="0"/>
    <s v="HENRIQUE"/>
    <m/>
    <m/>
    <m/>
    <d v="2021-11-26T08:22:00"/>
    <n v="0"/>
    <n v="0"/>
    <x v="16"/>
    <n v="142"/>
  </r>
  <r>
    <n v="15356098509"/>
    <n v="149"/>
    <m/>
    <x v="28"/>
    <n v="15266819008"/>
    <x v="1"/>
    <s v="03.243.457/0001-15"/>
    <s v="R LRG VIRMOND DE LIMA, 83, N/A"/>
    <s v="SEMINARIO"/>
    <s v="Curitiba"/>
    <s v="80440-030"/>
    <s v="PR"/>
    <s v="Leparc@Leparc.com.br"/>
    <n v="41999473993"/>
    <n v="0"/>
    <n v="0"/>
    <m/>
    <s v="Atendido"/>
    <n v="15015918644"/>
    <s v="Produto 13"/>
    <n v="40"/>
    <n v="8.1999999999999993"/>
    <n v="0"/>
    <n v="5.61"/>
    <n v="328"/>
    <n v="64"/>
    <s v="PRFL.00.0011"/>
    <n v="0"/>
    <n v="0"/>
    <s v="HENRIQUE"/>
    <m/>
    <m/>
    <m/>
    <d v="2021-11-26T08:22:00"/>
    <n v="0"/>
    <n v="0"/>
    <x v="2"/>
    <n v="56"/>
  </r>
  <r>
    <n v="15356130311"/>
    <n v="150"/>
    <m/>
    <x v="28"/>
    <n v="15179701182"/>
    <x v="0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43939"/>
    <s v="Produto 17"/>
    <n v="30"/>
    <n v="13.55"/>
    <n v="0"/>
    <n v="10.747"/>
    <n v="406.5"/>
    <n v="46"/>
    <s v="PRFL.00.0019"/>
    <n v="0"/>
    <n v="0"/>
    <s v="HENRIQUE"/>
    <m/>
    <m/>
    <m/>
    <d v="2021-11-26T08:21:00"/>
    <n v="0"/>
    <n v="0"/>
    <x v="8"/>
    <n v="42.599999999999994"/>
  </r>
  <r>
    <n v="15356130311"/>
    <n v="150"/>
    <m/>
    <x v="28"/>
    <n v="15179701182"/>
    <x v="3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93155"/>
    <s v="Produto 07"/>
    <n v="90"/>
    <n v="18.04"/>
    <n v="0"/>
    <n v="14.4596"/>
    <n v="1623.6"/>
    <n v="46"/>
    <s v="PRFL.00.0026"/>
    <n v="0"/>
    <n v="0"/>
    <s v="HENRIQUE"/>
    <m/>
    <m/>
    <m/>
    <d v="2021-11-26T08:21:00"/>
    <n v="0"/>
    <n v="0"/>
    <x v="12"/>
    <n v="99.000000000000014"/>
  </r>
  <r>
    <n v="15356130311"/>
    <n v="150"/>
    <m/>
    <x v="28"/>
    <n v="15179701182"/>
    <x v="19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80333"/>
    <s v="Produto 03"/>
    <n v="30"/>
    <n v="14.6"/>
    <n v="0"/>
    <n v="10.747"/>
    <n v="438"/>
    <n v="46"/>
    <s v="PRFL.00.0024"/>
    <n v="0"/>
    <n v="0"/>
    <s v="HENRIQUE"/>
    <m/>
    <m/>
    <m/>
    <d v="2021-11-26T08:21:00"/>
    <n v="0"/>
    <n v="0"/>
    <x v="13"/>
    <n v="18"/>
  </r>
  <r>
    <n v="15356130311"/>
    <n v="150"/>
    <m/>
    <x v="28"/>
    <n v="15179701182"/>
    <x v="19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918644"/>
    <s v="Produto 17"/>
    <n v="20"/>
    <n v="7.8"/>
    <n v="0"/>
    <n v="5.61"/>
    <n v="156"/>
    <n v="46"/>
    <s v="PRFL.00.0011"/>
    <n v="0"/>
    <n v="0"/>
    <s v="HENRIQUE"/>
    <m/>
    <m/>
    <m/>
    <d v="2021-11-26T08:21:00"/>
    <n v="0"/>
    <n v="0"/>
    <x v="8"/>
    <n v="28.4"/>
  </r>
  <r>
    <n v="15356222813"/>
    <n v="151"/>
    <m/>
    <x v="28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0"/>
    <n v="500"/>
    <n v="12.9"/>
    <n v="0"/>
    <n v="10.747"/>
    <n v="6450"/>
    <n v="41"/>
    <s v="PRFL.00.0019"/>
    <n v="0"/>
    <n v="0"/>
    <s v="HENRIQUE"/>
    <m/>
    <m/>
    <m/>
    <d v="2021-11-26T08:20:00"/>
    <n v="0"/>
    <n v="0"/>
    <x v="3"/>
    <n v="550"/>
  </r>
  <r>
    <n v="15356222813"/>
    <n v="151"/>
    <m/>
    <x v="28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73255"/>
    <s v="Produto 07"/>
    <n v="500"/>
    <n v="15.5"/>
    <n v="0"/>
    <n v="10.747"/>
    <n v="7750"/>
    <n v="41"/>
    <s v="PRFL.00.0023"/>
    <n v="0"/>
    <n v="0"/>
    <s v="HENRIQUE"/>
    <m/>
    <m/>
    <m/>
    <d v="2021-11-26T08:20:00"/>
    <n v="0"/>
    <n v="0"/>
    <x v="12"/>
    <n v="550"/>
  </r>
  <r>
    <n v="15356222813"/>
    <n v="151"/>
    <m/>
    <x v="28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15"/>
    <n v="100"/>
    <n v="17.8"/>
    <n v="0"/>
    <n v="14.4596"/>
    <n v="1780"/>
    <n v="41"/>
    <s v="PRFL.00.0026"/>
    <n v="0"/>
    <n v="0"/>
    <s v="HENRIQUE"/>
    <m/>
    <m/>
    <m/>
    <d v="2021-11-26T08:20:00"/>
    <n v="0"/>
    <n v="0"/>
    <x v="16"/>
    <n v="142"/>
  </r>
  <r>
    <n v="15356222813"/>
    <n v="151"/>
    <m/>
    <x v="28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10"/>
    <n v="100"/>
    <n v="14"/>
    <n v="0"/>
    <n v="10.747"/>
    <n v="1400"/>
    <n v="41"/>
    <s v="PRFL.00.0024"/>
    <n v="0"/>
    <n v="0"/>
    <s v="HENRIQUE"/>
    <m/>
    <m/>
    <m/>
    <d v="2021-11-26T08:20:00"/>
    <n v="0"/>
    <n v="0"/>
    <x v="3"/>
    <n v="110.00000000000001"/>
  </r>
  <r>
    <n v="15356222813"/>
    <n v="151"/>
    <m/>
    <x v="28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12"/>
    <n v="500"/>
    <n v="7.35"/>
    <n v="0"/>
    <n v="5.61"/>
    <n v="3675"/>
    <n v="41"/>
    <s v="PRFL.00.0011"/>
    <n v="0"/>
    <n v="0"/>
    <s v="HENRIQUE"/>
    <m/>
    <m/>
    <m/>
    <d v="2021-11-26T08:20:00"/>
    <n v="0"/>
    <n v="0"/>
    <x v="15"/>
    <n v="700"/>
  </r>
  <r>
    <n v="15368580747"/>
    <n v="157"/>
    <m/>
    <x v="28"/>
    <n v="15293238499"/>
    <x v="16"/>
    <s v="31.186.898/0001-68"/>
    <s v="R CURIO , 222, N/A"/>
    <s v="Colonia Dona Luiza"/>
    <s v="Ponta Grossa"/>
    <s v="84043-270"/>
    <s v="PR"/>
    <m/>
    <m/>
    <n v="0"/>
    <n v="0"/>
    <m/>
    <s v="Atendido"/>
    <n v="15016099089"/>
    <s v="Produto 15"/>
    <n v="150"/>
    <n v="21.75"/>
    <n v="0"/>
    <n v="16.804400000000001"/>
    <n v="3262.5"/>
    <n v="74"/>
    <s v="PRFL.00.0027"/>
    <n v="0"/>
    <n v="0"/>
    <s v="AMANDA HUBBE"/>
    <m/>
    <m/>
    <m/>
    <d v="2021-11-26T13:48:00"/>
    <n v="0"/>
    <n v="0"/>
    <x v="16"/>
    <n v="213"/>
  </r>
  <r>
    <n v="15368580747"/>
    <n v="157"/>
    <m/>
    <x v="28"/>
    <n v="15293238499"/>
    <x v="12"/>
    <s v="31.186.898/0001-68"/>
    <s v="R CURIO , 222, N/A"/>
    <s v="Colonia Dona Luiza"/>
    <s v="Ponta Grossa"/>
    <s v="84043-270"/>
    <s v="PR"/>
    <m/>
    <m/>
    <n v="0"/>
    <n v="0"/>
    <m/>
    <s v="Atendido"/>
    <n v="15015746121"/>
    <s v="Produto 05"/>
    <n v="40"/>
    <n v="18.649999999999999"/>
    <n v="0"/>
    <n v="13.763999999999999"/>
    <n v="746"/>
    <n v="74"/>
    <s v="PRFL.00.0007"/>
    <n v="0"/>
    <n v="0"/>
    <s v="AMANDA HUBBE"/>
    <m/>
    <m/>
    <m/>
    <d v="2021-11-26T13:48:00"/>
    <n v="0"/>
    <n v="0"/>
    <x v="5"/>
    <n v="24"/>
  </r>
  <r>
    <n v="15368580747"/>
    <n v="157"/>
    <m/>
    <x v="28"/>
    <n v="15293238499"/>
    <x v="2"/>
    <s v="31.186.898/0001-68"/>
    <s v="R CURIO , 222, N/A"/>
    <s v="Colonia Dona Luiza"/>
    <s v="Ponta Grossa"/>
    <s v="84043-270"/>
    <s v="PR"/>
    <m/>
    <m/>
    <n v="0"/>
    <n v="0"/>
    <m/>
    <s v="Atendido"/>
    <n v="15016073255"/>
    <s v="Produto 06"/>
    <n v="50"/>
    <n v="16.7"/>
    <n v="0"/>
    <n v="10.747"/>
    <n v="835"/>
    <n v="74"/>
    <s v="PRFL.00.0023"/>
    <n v="0"/>
    <n v="0"/>
    <s v="AMANDA HUBBE"/>
    <m/>
    <m/>
    <m/>
    <d v="2021-11-26T13:48:00"/>
    <n v="0"/>
    <n v="0"/>
    <x v="0"/>
    <n v="25"/>
  </r>
  <r>
    <n v="15368580747"/>
    <n v="157"/>
    <m/>
    <x v="28"/>
    <n v="15293238499"/>
    <x v="13"/>
    <s v="31.186.898/0001-68"/>
    <s v="R CURIO , 222, N/A"/>
    <s v="Colonia Dona Luiza"/>
    <s v="Ponta Grossa"/>
    <s v="84043-270"/>
    <s v="PR"/>
    <m/>
    <m/>
    <n v="0"/>
    <n v="0"/>
    <m/>
    <s v="Atendido"/>
    <n v="15016043939"/>
    <s v="Produto 07"/>
    <n v="120"/>
    <n v="14.25"/>
    <n v="0"/>
    <n v="10.747"/>
    <n v="1710"/>
    <n v="74"/>
    <s v="PRFL.00.0019"/>
    <n v="0"/>
    <n v="0"/>
    <s v="AMANDA HUBBE"/>
    <m/>
    <m/>
    <m/>
    <d v="2021-11-26T13:48:00"/>
    <n v="0"/>
    <n v="0"/>
    <x v="12"/>
    <n v="132"/>
  </r>
  <r>
    <n v="15368689318"/>
    <n v="158"/>
    <m/>
    <x v="28"/>
    <n v="15295556615"/>
    <x v="16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43939"/>
    <s v="Produto 09"/>
    <n v="500"/>
    <n v="14.1"/>
    <n v="0"/>
    <n v="10.747"/>
    <n v="7050"/>
    <n v="79"/>
    <s v="PRFL.00.0019"/>
    <n v="0"/>
    <n v="0"/>
    <s v="AMANDA HUBBE"/>
    <m/>
    <m/>
    <m/>
    <d v="2021-11-26T08:00:00"/>
    <n v="0"/>
    <n v="0"/>
    <x v="4"/>
    <n v="550"/>
  </r>
  <r>
    <n v="15368689318"/>
    <n v="158"/>
    <m/>
    <x v="28"/>
    <n v="15295556615"/>
    <x v="10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99089"/>
    <s v="Produto 17"/>
    <n v="60"/>
    <n v="21.65"/>
    <n v="0"/>
    <n v="16.804400000000001"/>
    <n v="1299"/>
    <n v="79"/>
    <s v="PRFL.00.0027"/>
    <n v="0"/>
    <n v="0"/>
    <s v="AMANDA HUBBE"/>
    <m/>
    <m/>
    <m/>
    <d v="2021-11-26T08:00:00"/>
    <n v="0"/>
    <n v="0"/>
    <x v="8"/>
    <n v="85.199999999999989"/>
  </r>
  <r>
    <n v="15368689318"/>
    <n v="158"/>
    <m/>
    <x v="28"/>
    <n v="15295556615"/>
    <x v="15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87271"/>
    <s v="Produto 06"/>
    <n v="20"/>
    <n v="18.55"/>
    <n v="0"/>
    <n v="14.4596"/>
    <n v="371"/>
    <n v="79"/>
    <s v="PRFL.00.0025"/>
    <n v="0"/>
    <n v="0"/>
    <s v="AMANDA HUBBE"/>
    <m/>
    <m/>
    <m/>
    <d v="2021-11-26T08:00:00"/>
    <n v="0"/>
    <n v="0"/>
    <x v="0"/>
    <n v="10"/>
  </r>
  <r>
    <n v="15368689318"/>
    <n v="158"/>
    <m/>
    <x v="28"/>
    <n v="15295556615"/>
    <x v="16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5918644"/>
    <s v="Produto 16"/>
    <n v="300"/>
    <n v="8.18"/>
    <n v="0"/>
    <n v="5.61"/>
    <n v="2454"/>
    <n v="79"/>
    <s v="PRFL.00.0011"/>
    <n v="0"/>
    <n v="0"/>
    <s v="AMANDA HUBBE"/>
    <m/>
    <m/>
    <m/>
    <d v="2021-11-26T08:00:00"/>
    <n v="0"/>
    <n v="0"/>
    <x v="9"/>
    <n v="381"/>
  </r>
  <r>
    <n v="15368689318"/>
    <n v="158"/>
    <m/>
    <x v="28"/>
    <n v="15295556615"/>
    <x v="8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93155"/>
    <s v="Produto 02"/>
    <n v="40"/>
    <n v="18.649999999999999"/>
    <n v="0"/>
    <n v="14.4596"/>
    <n v="746"/>
    <n v="79"/>
    <s v="PRFL.00.0026"/>
    <n v="0"/>
    <n v="0"/>
    <s v="AMANDA HUBBE"/>
    <m/>
    <m/>
    <m/>
    <d v="2021-11-26T08:00:00"/>
    <n v="0"/>
    <n v="0"/>
    <x v="6"/>
    <n v="10.8"/>
  </r>
  <r>
    <n v="15368689318"/>
    <n v="158"/>
    <m/>
    <x v="28"/>
    <n v="15295556615"/>
    <x v="17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80333"/>
    <s v="Produto 11"/>
    <n v="10"/>
    <n v="15.3"/>
    <n v="0"/>
    <n v="10.747"/>
    <n v="153"/>
    <n v="79"/>
    <s v="PRFL.00.0024"/>
    <n v="0"/>
    <n v="0"/>
    <s v="AMANDA HUBBE"/>
    <m/>
    <m/>
    <m/>
    <d v="2021-11-26T08:00:00"/>
    <n v="0"/>
    <n v="0"/>
    <x v="11"/>
    <n v="11"/>
  </r>
  <r>
    <n v="15368689318"/>
    <n v="158"/>
    <m/>
    <x v="28"/>
    <n v="15295556615"/>
    <x v="4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73255"/>
    <s v="Produto 09"/>
    <n v="300"/>
    <n v="16.600000000000001"/>
    <n v="0"/>
    <n v="10.747"/>
    <n v="4980"/>
    <n v="79"/>
    <s v="PRFL.00.0023"/>
    <n v="0"/>
    <n v="0"/>
    <s v="AMANDA HUBBE"/>
    <m/>
    <m/>
    <m/>
    <d v="2021-11-26T08:00:00"/>
    <n v="0"/>
    <n v="0"/>
    <x v="4"/>
    <n v="330"/>
  </r>
  <r>
    <n v="15369395138"/>
    <n v="160"/>
    <m/>
    <x v="28"/>
    <n v="15291803674"/>
    <x v="17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93155"/>
    <s v="Produto 01"/>
    <n v="1000"/>
    <n v="17.899999999999999"/>
    <n v="0"/>
    <n v="14.4596"/>
    <n v="17900"/>
    <n v="73"/>
    <s v="PRFL.00.0026"/>
    <n v="0"/>
    <n v="0"/>
    <s v="FERNANDO CARDOSO"/>
    <m/>
    <m/>
    <m/>
    <d v="2021-11-26T07:59:00"/>
    <n v="0"/>
    <n v="0"/>
    <x v="7"/>
    <n v="400"/>
  </r>
  <r>
    <n v="15369450181"/>
    <n v="161"/>
    <m/>
    <x v="28"/>
    <n v="15058719469"/>
    <x v="17"/>
    <s v="30.641.041/0001-28"/>
    <s v="RUA LEONARDO NOVICKI, 1554"/>
    <s v="CAJURU"/>
    <s v="Curitiba"/>
    <n v="82930548"/>
    <s v="PR"/>
    <m/>
    <m/>
    <n v="0"/>
    <n v="0"/>
    <m/>
    <s v="Atendido"/>
    <n v="15015085610"/>
    <s v="Produto 14"/>
    <n v="100"/>
    <n v="14.25"/>
    <n v="0"/>
    <n v="10.23"/>
    <n v="1425"/>
    <n v="19"/>
    <s v="PRFL.00.0001"/>
    <n v="0"/>
    <n v="0"/>
    <s v="AMANDA HUBBE"/>
    <m/>
    <m/>
    <m/>
    <d v="2021-11-26T07:59:00"/>
    <n v="0"/>
    <n v="0"/>
    <x v="1"/>
    <n v="140"/>
  </r>
  <r>
    <n v="15369450181"/>
    <n v="161"/>
    <m/>
    <x v="28"/>
    <n v="15058719469"/>
    <x v="15"/>
    <s v="30.641.041/0001-28"/>
    <s v="RUA LEONARDO NOVICKI, 1554"/>
    <s v="CAJURU"/>
    <s v="Curitiba"/>
    <n v="82930548"/>
    <s v="PR"/>
    <m/>
    <m/>
    <n v="0"/>
    <n v="0"/>
    <m/>
    <s v="Atendido"/>
    <n v="15015964159"/>
    <s v="Produto 14"/>
    <n v="60"/>
    <n v="16.7"/>
    <n v="0"/>
    <n v="10.285"/>
    <n v="1002"/>
    <n v="19"/>
    <s v="PRFL.00.0014"/>
    <n v="0"/>
    <n v="0"/>
    <s v="AMANDA HUBBE"/>
    <m/>
    <m/>
    <m/>
    <d v="2021-11-26T07:59:00"/>
    <n v="0"/>
    <n v="0"/>
    <x v="1"/>
    <n v="84"/>
  </r>
  <r>
    <n v="15369450181"/>
    <n v="161"/>
    <m/>
    <x v="28"/>
    <n v="15058719469"/>
    <x v="7"/>
    <s v="30.641.041/0001-28"/>
    <s v="RUA LEONARDO NOVICKI, 1554"/>
    <s v="CAJURU"/>
    <s v="Curitiba"/>
    <n v="82930548"/>
    <s v="PR"/>
    <m/>
    <m/>
    <n v="0"/>
    <n v="0"/>
    <m/>
    <s v="Atendido"/>
    <n v="15015918644"/>
    <s v="Produto 01"/>
    <n v="60"/>
    <n v="8.3800000000000008"/>
    <n v="0"/>
    <n v="5.61"/>
    <n v="502.8"/>
    <n v="19"/>
    <s v="PRFL.00.0011"/>
    <n v="0"/>
    <n v="0"/>
    <s v="AMANDA HUBBE"/>
    <m/>
    <m/>
    <m/>
    <d v="2021-11-26T07:59:00"/>
    <n v="0"/>
    <n v="0"/>
    <x v="7"/>
    <n v="24"/>
  </r>
  <r>
    <n v="15364391836"/>
    <n v="154"/>
    <m/>
    <x v="29"/>
    <n v="15339582855"/>
    <x v="15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43939"/>
    <s v="Produto 14"/>
    <n v="4000"/>
    <n v="12.5"/>
    <n v="0"/>
    <n v="10.747"/>
    <n v="50000"/>
    <n v="83"/>
    <s v="PRFL.00.0019"/>
    <n v="0"/>
    <n v="0"/>
    <s v="HENRIQUE"/>
    <m/>
    <m/>
    <m/>
    <d v="2021-11-26T13:41:00"/>
    <n v="0"/>
    <n v="0"/>
    <x v="1"/>
    <n v="5600"/>
  </r>
  <r>
    <n v="15364394161"/>
    <n v="155"/>
    <m/>
    <x v="29"/>
    <n v="15339582855"/>
    <x v="1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5918644"/>
    <s v="Produto 14"/>
    <n v="4000"/>
    <n v="7.18"/>
    <n v="0"/>
    <n v="5.61"/>
    <n v="28720"/>
    <n v="83"/>
    <s v="PRFL.00.0011"/>
    <n v="0"/>
    <n v="0"/>
    <s v="HENRIQUE"/>
    <m/>
    <m/>
    <m/>
    <d v="2021-11-26T10:10:00"/>
    <n v="0"/>
    <n v="0"/>
    <x v="1"/>
    <n v="5600"/>
  </r>
  <r>
    <n v="15364439659"/>
    <n v="156"/>
    <m/>
    <x v="29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2"/>
    <n v="162"/>
    <n v="12.7"/>
    <n v="0"/>
    <n v="10.747"/>
    <n v="2057.4"/>
    <n v="41"/>
    <s v="PRFL.00.0019"/>
    <n v="0"/>
    <n v="0"/>
    <s v="HENRIQUE"/>
    <m/>
    <m/>
    <m/>
    <d v="2021-11-30T10:15:00"/>
    <n v="0"/>
    <n v="0"/>
    <x v="6"/>
    <n v="43.74"/>
  </r>
  <r>
    <n v="15364439659"/>
    <n v="156"/>
    <m/>
    <x v="29"/>
    <n v="15179581888"/>
    <x v="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3"/>
    <n v="1090"/>
    <n v="7.22"/>
    <n v="0"/>
    <n v="5.61"/>
    <n v="7869.8"/>
    <n v="41"/>
    <s v="PRFL.00.0011"/>
    <n v="0"/>
    <n v="0"/>
    <s v="HENRIQUE"/>
    <m/>
    <m/>
    <m/>
    <d v="2021-11-30T10:15:00"/>
    <n v="0"/>
    <n v="0"/>
    <x v="13"/>
    <n v="654"/>
  </r>
  <r>
    <n v="15364439659"/>
    <n v="156"/>
    <m/>
    <x v="29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085610"/>
    <s v="Produto 17"/>
    <n v="261"/>
    <n v="12.7"/>
    <n v="9.93"/>
    <n v="10.23"/>
    <n v="3314.7"/>
    <n v="41"/>
    <s v="PRFL.00.0001"/>
    <n v="0"/>
    <n v="0"/>
    <s v="HENRIQUE"/>
    <m/>
    <m/>
    <m/>
    <d v="2021-11-30T10:15:00"/>
    <n v="0"/>
    <n v="0"/>
    <x v="8"/>
    <n v="370.62"/>
  </r>
  <r>
    <n v="15364439659"/>
    <n v="156"/>
    <m/>
    <x v="29"/>
    <n v="15179581888"/>
    <x v="1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03"/>
    <n v="577"/>
    <n v="12.7"/>
    <n v="0"/>
    <n v="10.285"/>
    <n v="7327.9"/>
    <n v="41"/>
    <s v="PRFL.00.0010"/>
    <n v="0"/>
    <n v="0"/>
    <s v="HENRIQUE"/>
    <m/>
    <m/>
    <m/>
    <d v="2021-11-30T10:15:00"/>
    <n v="0"/>
    <n v="0"/>
    <x v="13"/>
    <n v="346.2"/>
  </r>
  <r>
    <n v="15369362911"/>
    <n v="159"/>
    <m/>
    <x v="29"/>
    <n v="15279322250"/>
    <x v="19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3939"/>
    <s v="Produto 12"/>
    <n v="500"/>
    <n v="13.19"/>
    <n v="0"/>
    <n v="10.747"/>
    <n v="6595"/>
    <n v="68"/>
    <s v="PRFL.00.0019"/>
    <n v="0"/>
    <n v="0"/>
    <m/>
    <m/>
    <m/>
    <m/>
    <d v="2021-11-30T10:15:00"/>
    <n v="0"/>
    <n v="0"/>
    <x v="15"/>
    <n v="700"/>
  </r>
  <r>
    <n v="15369362911"/>
    <n v="159"/>
    <m/>
    <x v="29"/>
    <n v="15279322250"/>
    <x v="2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07"/>
    <n v="200"/>
    <n v="17.899999999999999"/>
    <n v="0"/>
    <n v="14.4596"/>
    <n v="3580"/>
    <n v="68"/>
    <s v="PRFL.00.0026"/>
    <n v="0"/>
    <n v="0"/>
    <m/>
    <m/>
    <m/>
    <m/>
    <d v="2021-11-30T10:15:00"/>
    <n v="0"/>
    <n v="0"/>
    <x v="12"/>
    <n v="220.00000000000003"/>
  </r>
  <r>
    <n v="15394322040"/>
    <n v="162"/>
    <m/>
    <x v="30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73255"/>
    <s v="Produto 09"/>
    <n v="650"/>
    <n v="15"/>
    <n v="0"/>
    <n v="10.747"/>
    <n v="9750"/>
    <n v="41"/>
    <s v="PRFL.00.0023"/>
    <n v="0"/>
    <n v="0"/>
    <s v="HENRIQUE"/>
    <m/>
    <m/>
    <m/>
    <d v="2021-11-30T10:15:00"/>
    <n v="0"/>
    <n v="0"/>
    <x v="4"/>
    <n v="715.00000000000011"/>
  </r>
  <r>
    <n v="15394322040"/>
    <n v="162"/>
    <m/>
    <x v="30"/>
    <n v="15179581888"/>
    <x v="1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04"/>
    <n v="100"/>
    <n v="13.4"/>
    <n v="0"/>
    <n v="10.747"/>
    <n v="1340"/>
    <n v="41"/>
    <s v="PRFL.00.0024"/>
    <n v="0"/>
    <n v="0"/>
    <s v="HENRIQUE"/>
    <m/>
    <m/>
    <m/>
    <d v="2021-11-30T10:15:00"/>
    <n v="0"/>
    <n v="0"/>
    <x v="10"/>
    <n v="60"/>
  </r>
  <r>
    <n v="15394322040"/>
    <n v="162"/>
    <m/>
    <x v="30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02"/>
    <n v="50"/>
    <n v="17.600000000000001"/>
    <n v="0"/>
    <n v="14.4596"/>
    <n v="880"/>
    <n v="41"/>
    <s v="PRFL.00.0025"/>
    <n v="0"/>
    <n v="0"/>
    <s v="HENRIQUE"/>
    <m/>
    <m/>
    <m/>
    <d v="2021-11-30T10:15:00"/>
    <n v="0"/>
    <n v="0"/>
    <x v="6"/>
    <n v="13.5"/>
  </r>
  <r>
    <n v="15394322040"/>
    <n v="162"/>
    <m/>
    <x v="30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8"/>
    <n v="100"/>
    <n v="20.399999999999999"/>
    <n v="0"/>
    <n v="16.804400000000001"/>
    <n v="2040"/>
    <n v="41"/>
    <s v="PRFL.00.0027"/>
    <n v="0"/>
    <n v="0"/>
    <s v="HENRIQUE"/>
    <m/>
    <m/>
    <m/>
    <d v="2021-11-30T10:15:00"/>
    <n v="0"/>
    <n v="0"/>
    <x v="14"/>
    <n v="110.00000000000001"/>
  </r>
  <r>
    <n v="15394322040"/>
    <n v="162"/>
    <m/>
    <x v="30"/>
    <n v="15179581888"/>
    <x v="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11"/>
    <n v="650"/>
    <n v="12.7"/>
    <n v="9.93"/>
    <n v="10.285"/>
    <n v="8255"/>
    <n v="41"/>
    <s v="PRFL.00.0010"/>
    <n v="0"/>
    <n v="0"/>
    <s v="HENRIQUE"/>
    <m/>
    <m/>
    <m/>
    <d v="2021-11-30T10:15:00"/>
    <n v="0"/>
    <n v="0"/>
    <x v="11"/>
    <n v="715.00000000000011"/>
  </r>
  <r>
    <n v="15394322040"/>
    <n v="162"/>
    <m/>
    <x v="30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1"/>
    <n v="650"/>
    <n v="7.22"/>
    <n v="12.8"/>
    <n v="5.61"/>
    <n v="4693"/>
    <n v="41"/>
    <s v="PRFL.00.0011"/>
    <n v="0"/>
    <n v="0"/>
    <s v="HENRIQUE"/>
    <m/>
    <m/>
    <m/>
    <d v="2021-11-30T10:15:00"/>
    <n v="0"/>
    <n v="0"/>
    <x v="7"/>
    <n v="260"/>
  </r>
  <r>
    <n v="15396399078"/>
    <n v="163"/>
    <m/>
    <x v="30"/>
    <n v="15179724225"/>
    <x v="19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139667431"/>
    <s v="Produto 12"/>
    <n v="20"/>
    <n v="21.1"/>
    <n v="0"/>
    <n v="0"/>
    <n v="422"/>
    <n v="47"/>
    <s v="PRFL.00.0028"/>
    <n v="0"/>
    <n v="0"/>
    <s v="AMANDA HUBBE"/>
    <m/>
    <m/>
    <m/>
    <d v="2021-11-29T10:11:00"/>
    <n v="0"/>
    <n v="0"/>
    <x v="15"/>
    <n v="28"/>
  </r>
  <r>
    <n v="15396399078"/>
    <n v="163"/>
    <m/>
    <x v="30"/>
    <n v="15179724225"/>
    <x v="6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139727614"/>
    <s v="Produto 13"/>
    <n v="30"/>
    <n v="23.95"/>
    <n v="0"/>
    <n v="0"/>
    <n v="718.5"/>
    <n v="47"/>
    <s v="PRFL.00.0029"/>
    <n v="0"/>
    <n v="0"/>
    <s v="AMANDA HUBBE"/>
    <m/>
    <m/>
    <m/>
    <d v="2021-11-29T10:11:00"/>
    <n v="0"/>
    <n v="0"/>
    <x v="2"/>
    <n v="42"/>
  </r>
  <r>
    <n v="15396399078"/>
    <n v="163"/>
    <m/>
    <x v="30"/>
    <n v="15179724225"/>
    <x v="8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80333"/>
    <s v="Produto 09"/>
    <n v="20"/>
    <n v="15.3"/>
    <n v="0"/>
    <n v="10.747"/>
    <n v="306"/>
    <n v="47"/>
    <s v="PRFL.00.0024"/>
    <n v="0"/>
    <n v="0"/>
    <s v="AMANDA HUBBE"/>
    <m/>
    <m/>
    <m/>
    <d v="2021-11-29T10:11:00"/>
    <n v="0"/>
    <n v="0"/>
    <x v="4"/>
    <n v="22"/>
  </r>
  <r>
    <n v="15396399078"/>
    <n v="163"/>
    <m/>
    <x v="30"/>
    <n v="15179724225"/>
    <x v="19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93155"/>
    <s v="Produto 16"/>
    <n v="30"/>
    <n v="18.649999999999999"/>
    <n v="0"/>
    <n v="14.4596"/>
    <n v="559.5"/>
    <n v="47"/>
    <s v="PRFL.00.0026"/>
    <n v="0"/>
    <n v="0"/>
    <s v="AMANDA HUBBE"/>
    <m/>
    <m/>
    <m/>
    <d v="2021-11-29T10:11:00"/>
    <n v="0"/>
    <n v="0"/>
    <x v="9"/>
    <n v="38.1"/>
  </r>
  <r>
    <n v="15396399078"/>
    <n v="163"/>
    <m/>
    <x v="30"/>
    <n v="15179724225"/>
    <x v="16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911944"/>
    <s v="Produto 16"/>
    <n v="50"/>
    <n v="14.1"/>
    <n v="0"/>
    <n v="10.285"/>
    <n v="705"/>
    <n v="47"/>
    <s v="PRFL.00.0010"/>
    <n v="0"/>
    <n v="0"/>
    <s v="AMANDA HUBBE"/>
    <m/>
    <m/>
    <m/>
    <d v="2021-11-29T10:11:00"/>
    <n v="0"/>
    <n v="0"/>
    <x v="9"/>
    <n v="63.5"/>
  </r>
  <r>
    <n v="15396399078"/>
    <n v="163"/>
    <m/>
    <x v="30"/>
    <n v="15179724225"/>
    <x v="3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918644"/>
    <s v="Produto 01"/>
    <n v="60"/>
    <n v="8.2799999999999994"/>
    <n v="0"/>
    <n v="5.61"/>
    <n v="496.8"/>
    <n v="47"/>
    <s v="PRFL.00.0011"/>
    <n v="0"/>
    <n v="0"/>
    <s v="AMANDA HUBBE"/>
    <m/>
    <m/>
    <m/>
    <d v="2021-11-29T10:11:00"/>
    <n v="0"/>
    <n v="0"/>
    <x v="7"/>
    <n v="24"/>
  </r>
  <r>
    <n v="15396399078"/>
    <n v="163"/>
    <m/>
    <x v="30"/>
    <n v="15179724225"/>
    <x v="0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918644"/>
    <s v="Produto 07"/>
    <n v="40"/>
    <n v="8.2799999999999994"/>
    <n v="0"/>
    <n v="5.61"/>
    <n v="331.2"/>
    <n v="47"/>
    <s v="PRFL.00.0011"/>
    <n v="0"/>
    <n v="0"/>
    <s v="AMANDA HUBBE"/>
    <m/>
    <m/>
    <m/>
    <d v="2021-11-29T10:11:00"/>
    <n v="0"/>
    <n v="0"/>
    <x v="12"/>
    <n v="44"/>
  </r>
  <r>
    <n v="15401870509"/>
    <n v="164"/>
    <m/>
    <x v="30"/>
    <n v="15339582855"/>
    <x v="5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3155"/>
    <s v="Produto 06"/>
    <n v="1500"/>
    <n v="16.399999999999999"/>
    <n v="0"/>
    <n v="14.4596"/>
    <n v="24600"/>
    <n v="83"/>
    <s v="PRFL.00.0026"/>
    <n v="0"/>
    <n v="0"/>
    <s v="HENRIQUE"/>
    <m/>
    <m/>
    <m/>
    <d v="2021-11-29T08:28:00"/>
    <n v="0"/>
    <n v="0"/>
    <x v="0"/>
    <n v="750"/>
  </r>
  <r>
    <n v="15401870509"/>
    <n v="164"/>
    <m/>
    <x v="30"/>
    <n v="15339582855"/>
    <x v="14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9089"/>
    <s v="Produto 11"/>
    <n v="1500"/>
    <n v="19.25"/>
    <n v="0"/>
    <n v="16.804400000000001"/>
    <n v="28875"/>
    <n v="83"/>
    <s v="PRFL.00.0027"/>
    <n v="0"/>
    <n v="0"/>
    <s v="HENRIQUE"/>
    <m/>
    <m/>
    <m/>
    <d v="2021-11-29T08:28:00"/>
    <n v="0"/>
    <n v="0"/>
    <x v="11"/>
    <n v="1650.0000000000002"/>
  </r>
  <r>
    <n v="15401870509"/>
    <n v="164"/>
    <m/>
    <x v="30"/>
    <n v="15339582855"/>
    <x v="14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80333"/>
    <s v="Produto 17"/>
    <n v="500"/>
    <n v="13.4"/>
    <n v="0"/>
    <n v="10.747"/>
    <n v="6700"/>
    <n v="83"/>
    <s v="PRFL.00.0024"/>
    <n v="0"/>
    <n v="0"/>
    <s v="HENRIQUE"/>
    <m/>
    <m/>
    <m/>
    <d v="2021-11-29T08:28:00"/>
    <n v="0"/>
    <n v="0"/>
    <x v="8"/>
    <n v="710"/>
  </r>
  <r>
    <n v="15401870509"/>
    <n v="164"/>
    <m/>
    <x v="30"/>
    <n v="15339582855"/>
    <x v="17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87271"/>
    <s v="Produto 16"/>
    <n v="500"/>
    <n v="16.64"/>
    <n v="0"/>
    <n v="14.4596"/>
    <n v="8320"/>
    <n v="83"/>
    <s v="PRFL.00.0025"/>
    <n v="0"/>
    <n v="0"/>
    <s v="HENRIQUE"/>
    <m/>
    <m/>
    <m/>
    <d v="2021-11-29T08:28:00"/>
    <n v="0"/>
    <n v="0"/>
    <x v="9"/>
    <n v="635"/>
  </r>
  <r>
    <n v="15401870509"/>
    <n v="164"/>
    <m/>
    <x v="30"/>
    <n v="15339582855"/>
    <x v="2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5911944"/>
    <s v="Produto 09"/>
    <n v="3000"/>
    <n v="12.45"/>
    <n v="11.7"/>
    <n v="10.285"/>
    <n v="37350"/>
    <n v="83"/>
    <s v="PRFL.00.0010"/>
    <n v="0"/>
    <n v="0"/>
    <s v="HENRIQUE"/>
    <m/>
    <m/>
    <m/>
    <d v="2021-11-29T08:28:00"/>
    <n v="0"/>
    <n v="0"/>
    <x v="4"/>
    <n v="3300.0000000000005"/>
  </r>
  <r>
    <n v="15401870509"/>
    <n v="164"/>
    <m/>
    <x v="30"/>
    <n v="15339582855"/>
    <x v="16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5918644"/>
    <s v="Produto 11"/>
    <n v="3000"/>
    <n v="7.18"/>
    <n v="13.29"/>
    <n v="5.61"/>
    <n v="21540"/>
    <n v="83"/>
    <s v="PRFL.00.0011"/>
    <n v="0"/>
    <n v="0"/>
    <s v="HENRIQUE"/>
    <m/>
    <m/>
    <m/>
    <d v="2021-11-29T08:28:00"/>
    <n v="0"/>
    <n v="0"/>
    <x v="11"/>
    <n v="3300.0000000000005"/>
  </r>
  <r>
    <n v="15410912628"/>
    <n v="166"/>
    <m/>
    <x v="31"/>
    <n v="15179608501"/>
    <x v="18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5911944"/>
    <s v="Produto 12"/>
    <n v="400"/>
    <n v="13.33"/>
    <n v="5.46"/>
    <n v="10.285"/>
    <n v="5332"/>
    <n v="42"/>
    <s v="PRFL.00.0010"/>
    <n v="0"/>
    <n v="0"/>
    <s v="HENRIQUE"/>
    <m/>
    <m/>
    <m/>
    <d v="2021-11-30T08:29:00"/>
    <n v="0"/>
    <n v="0"/>
    <x v="15"/>
    <n v="560"/>
  </r>
  <r>
    <n v="15410912628"/>
    <n v="166"/>
    <m/>
    <x v="31"/>
    <n v="15179608501"/>
    <x v="18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5918644"/>
    <s v="Produto 13"/>
    <n v="100"/>
    <n v="7.6"/>
    <n v="8.2100000000000009"/>
    <n v="5.61"/>
    <n v="760"/>
    <n v="42"/>
    <s v="PRFL.00.0011"/>
    <n v="0"/>
    <n v="0"/>
    <s v="HENRIQUE"/>
    <m/>
    <m/>
    <m/>
    <d v="2021-11-30T08:29:00"/>
    <n v="0"/>
    <n v="0"/>
    <x v="2"/>
    <n v="140"/>
  </r>
  <r>
    <n v="15414408564"/>
    <n v="167"/>
    <m/>
    <x v="31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73255"/>
    <s v="Produto 01"/>
    <n v="400"/>
    <n v="14.9"/>
    <n v="0"/>
    <n v="10.747"/>
    <n v="5960"/>
    <n v="41"/>
    <s v="PRFL.00.0023"/>
    <n v="0"/>
    <n v="0"/>
    <s v="HENRIQUE"/>
    <m/>
    <m/>
    <m/>
    <d v="2021-11-30T08:29:00"/>
    <n v="0"/>
    <n v="0"/>
    <x v="7"/>
    <n v="160"/>
  </r>
  <r>
    <n v="15414408564"/>
    <n v="167"/>
    <m/>
    <x v="31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1944"/>
    <s v="Produto 12"/>
    <n v="700"/>
    <n v="12.38"/>
    <n v="12.2"/>
    <n v="10.285"/>
    <n v="8666"/>
    <n v="41"/>
    <s v="PRFL.00.0010"/>
    <n v="0"/>
    <n v="0"/>
    <s v="HENRIQUE"/>
    <m/>
    <m/>
    <m/>
    <d v="2021-11-30T08:29:00"/>
    <n v="0"/>
    <n v="0"/>
    <x v="15"/>
    <n v="979.99999999999989"/>
  </r>
  <r>
    <n v="15414408564"/>
    <n v="167"/>
    <m/>
    <x v="31"/>
    <n v="15179581888"/>
    <x v="1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3"/>
    <n v="700"/>
    <n v="7.04"/>
    <n v="14.98"/>
    <n v="5.61"/>
    <n v="4928"/>
    <n v="41"/>
    <s v="PRFL.00.0011"/>
    <n v="0"/>
    <n v="0"/>
    <s v="HENRIQUE"/>
    <m/>
    <m/>
    <m/>
    <d v="2021-11-30T08:29:00"/>
    <n v="0"/>
    <n v="0"/>
    <x v="13"/>
    <n v="420"/>
  </r>
  <r>
    <n v="15415183511"/>
    <n v="168"/>
    <m/>
    <x v="31"/>
    <n v="15266819008"/>
    <x v="14"/>
    <s v="03.243.457/0001-15"/>
    <s v="R LRG VIRMOND DE LIMA, 83, N/A"/>
    <s v="SEMINARIO"/>
    <s v="Curitiba"/>
    <s v="80440-030"/>
    <s v="PR"/>
    <s v="Leparc@Leparc.com.br"/>
    <n v="41999473993"/>
    <n v="0"/>
    <n v="0"/>
    <m/>
    <s v="Atendido"/>
    <n v="15015911944"/>
    <s v="Produto 02"/>
    <n v="40"/>
    <n v="13.9"/>
    <n v="1.42"/>
    <n v="10.285"/>
    <n v="556"/>
    <n v="64"/>
    <s v="PRFL.00.0010"/>
    <n v="0"/>
    <n v="0"/>
    <s v="HENRIQUE"/>
    <m/>
    <m/>
    <m/>
    <d v="2021-11-30T08:29:00"/>
    <n v="0"/>
    <n v="0"/>
    <x v="6"/>
    <n v="10.8"/>
  </r>
  <r>
    <n v="15415183511"/>
    <n v="168"/>
    <m/>
    <x v="31"/>
    <n v="15266819008"/>
    <x v="2"/>
    <s v="03.243.457/0001-15"/>
    <s v="R LRG VIRMOND DE LIMA, 83, N/A"/>
    <s v="SEMINARIO"/>
    <s v="Curitiba"/>
    <s v="80440-030"/>
    <s v="PR"/>
    <s v="Leparc@Leparc.com.br"/>
    <n v="41999473993"/>
    <n v="0"/>
    <n v="0"/>
    <m/>
    <s v="Atendido"/>
    <n v="15015918644"/>
    <s v="Produto 15"/>
    <n v="50"/>
    <n v="8.1999999999999993"/>
    <n v="0.97"/>
    <n v="5.61"/>
    <n v="410"/>
    <n v="64"/>
    <s v="PRFL.00.0011"/>
    <n v="0"/>
    <n v="0"/>
    <s v="HENRIQUE"/>
    <m/>
    <m/>
    <m/>
    <d v="2021-11-30T08:29:00"/>
    <n v="0"/>
    <n v="0"/>
    <x v="16"/>
    <n v="71"/>
  </r>
  <r>
    <n v="15416428423"/>
    <n v="169"/>
    <m/>
    <x v="31"/>
    <n v="15179803016"/>
    <x v="0"/>
    <s v="13.559.797/0001-03"/>
    <s v="AV NOE REBESCO, 1650"/>
    <s v="LAGOA"/>
    <s v="Irati"/>
    <n v="84500000"/>
    <s v="PR"/>
    <s v="Julio@Irati.com"/>
    <n v="42999250064"/>
    <n v="0"/>
    <n v="0"/>
    <m/>
    <s v="Atendido"/>
    <n v="15016073255"/>
    <s v="Produto 12"/>
    <n v="90"/>
    <n v="16"/>
    <n v="0"/>
    <n v="10.747"/>
    <n v="1440"/>
    <n v="50"/>
    <s v="PRFL.00.0023"/>
    <n v="0"/>
    <n v="0"/>
    <s v="HENRIQUE"/>
    <m/>
    <m/>
    <m/>
    <d v="2021-11-30T08:29:00"/>
    <n v="0"/>
    <n v="0"/>
    <x v="15"/>
    <n v="125.99999999999999"/>
  </r>
  <r>
    <n v="15416428423"/>
    <n v="169"/>
    <m/>
    <x v="31"/>
    <n v="15179803016"/>
    <x v="3"/>
    <s v="13.559.797/0001-03"/>
    <s v="AV NOE REBESCO, 1650"/>
    <s v="LAGOA"/>
    <s v="Irati"/>
    <n v="84500000"/>
    <s v="PR"/>
    <s v="Julio@Irati.com"/>
    <n v="42999250064"/>
    <n v="0"/>
    <n v="0"/>
    <m/>
    <s v="Atendido"/>
    <n v="15395751673"/>
    <s v="Produto 11"/>
    <n v="60"/>
    <n v="7.85"/>
    <n v="0"/>
    <n v="5.8620000000000001"/>
    <n v="471"/>
    <n v="50"/>
    <s v="PRFL.00.0039"/>
    <n v="0"/>
    <n v="0"/>
    <s v="HENRIQUE"/>
    <m/>
    <m/>
    <m/>
    <d v="2021-11-30T08:29:00"/>
    <n v="0"/>
    <n v="0"/>
    <x v="11"/>
    <n v="66"/>
  </r>
  <r>
    <n v="15416428423"/>
    <n v="169"/>
    <m/>
    <x v="31"/>
    <n v="15179803016"/>
    <x v="12"/>
    <s v="13.559.797/0001-03"/>
    <s v="AV NOE REBESCO, 1650"/>
    <s v="LAGOA"/>
    <s v="Irati"/>
    <n v="84500000"/>
    <s v="PR"/>
    <s v="Julio@Irati.com"/>
    <n v="42999250064"/>
    <n v="0"/>
    <n v="0"/>
    <m/>
    <s v="Atendido"/>
    <n v="15015911944"/>
    <s v="Produto 11"/>
    <n v="120"/>
    <n v="13.55"/>
    <n v="3.9"/>
    <n v="10.285"/>
    <n v="1626"/>
    <n v="50"/>
    <s v="PRFL.00.0010"/>
    <n v="0"/>
    <n v="0"/>
    <s v="HENRIQUE"/>
    <m/>
    <m/>
    <m/>
    <d v="2021-11-30T08:29:00"/>
    <n v="0"/>
    <n v="0"/>
    <x v="11"/>
    <n v="132"/>
  </r>
  <r>
    <n v="15416428423"/>
    <n v="169"/>
    <m/>
    <x v="31"/>
    <n v="15179803016"/>
    <x v="8"/>
    <s v="13.559.797/0001-03"/>
    <s v="AV NOE REBESCO, 1650"/>
    <s v="LAGOA"/>
    <s v="Irati"/>
    <n v="84500000"/>
    <s v="PR"/>
    <s v="Julio@Irati.com"/>
    <n v="42999250064"/>
    <n v="0"/>
    <n v="0"/>
    <m/>
    <s v="Atendido"/>
    <n v="15015918644"/>
    <s v="Produto 13"/>
    <n v="60"/>
    <n v="7.85"/>
    <n v="5.19"/>
    <n v="5.61"/>
    <n v="471"/>
    <n v="50"/>
    <s v="PRFL.00.0011"/>
    <n v="0"/>
    <n v="0"/>
    <s v="HENRIQUE"/>
    <m/>
    <m/>
    <m/>
    <d v="2021-11-30T08:29:00"/>
    <n v="0"/>
    <n v="0"/>
    <x v="2"/>
    <n v="84"/>
  </r>
  <r>
    <n v="15492086925"/>
    <n v="190"/>
    <m/>
    <x v="31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13"/>
    <n v="30"/>
    <n v="21.7"/>
    <n v="0"/>
    <n v="16.804400000000001"/>
    <n v="651"/>
    <n v="41"/>
    <s v="PRFL.00.0027"/>
    <n v="0"/>
    <n v="0"/>
    <s v="AMANDA HUBBE"/>
    <m/>
    <m/>
    <m/>
    <d v="2021-11-30T13:50:00"/>
    <n v="0"/>
    <n v="0"/>
    <x v="2"/>
    <n v="42"/>
  </r>
  <r>
    <n v="15492086925"/>
    <n v="190"/>
    <m/>
    <x v="31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06"/>
    <n v="10"/>
    <n v="18.2"/>
    <n v="1.89"/>
    <n v="14.4596"/>
    <n v="182"/>
    <n v="41"/>
    <s v="PRFL.00.0025"/>
    <n v="0"/>
    <n v="0"/>
    <s v="AMANDA HUBBE"/>
    <m/>
    <m/>
    <m/>
    <d v="2021-11-30T13:50:00"/>
    <n v="0"/>
    <n v="0"/>
    <x v="0"/>
    <n v="5"/>
  </r>
  <r>
    <n v="15492086925"/>
    <n v="190"/>
    <m/>
    <x v="31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7"/>
    <n v="70"/>
    <n v="8.4"/>
    <n v="0"/>
    <n v="5.61"/>
    <n v="588"/>
    <n v="41"/>
    <s v="PRFL.00.0011"/>
    <n v="0"/>
    <n v="0"/>
    <s v="AMANDA HUBBE"/>
    <m/>
    <m/>
    <m/>
    <d v="2021-11-30T13:50:00"/>
    <n v="0"/>
    <n v="0"/>
    <x v="12"/>
    <n v="77"/>
  </r>
  <r>
    <n v="15492086925"/>
    <n v="190"/>
    <m/>
    <x v="31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4"/>
    <n v="40"/>
    <n v="14.3"/>
    <n v="0"/>
    <n v="10.747"/>
    <n v="572"/>
    <n v="41"/>
    <s v="PRFL.00.0019"/>
    <n v="0"/>
    <n v="0"/>
    <s v="AMANDA HUBBE"/>
    <m/>
    <m/>
    <m/>
    <d v="2021-11-30T13:50:00"/>
    <n v="0"/>
    <n v="0"/>
    <x v="1"/>
    <n v="56"/>
  </r>
  <r>
    <n v="15424375191"/>
    <n v="170"/>
    <m/>
    <x v="32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085610"/>
    <s v="Produto 01"/>
    <n v="500"/>
    <n v="12.38"/>
    <n v="12.2"/>
    <n v="10.23"/>
    <n v="6190"/>
    <n v="41"/>
    <s v="PRFL.00.0001"/>
    <n v="0"/>
    <n v="0"/>
    <s v="HENRIQUE"/>
    <m/>
    <m/>
    <m/>
    <d v="2021-12-01T08:01:00"/>
    <n v="0"/>
    <n v="0"/>
    <x v="7"/>
    <n v="200"/>
  </r>
  <r>
    <n v="15424375191"/>
    <n v="170"/>
    <m/>
    <x v="32"/>
    <n v="15179581888"/>
    <x v="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918644"/>
    <s v="Produto 08"/>
    <n v="150"/>
    <n v="7.04"/>
    <n v="14.98"/>
    <n v="5.61"/>
    <n v="1056"/>
    <n v="41"/>
    <s v="PRFL.00.0011"/>
    <n v="0"/>
    <n v="0"/>
    <s v="HENRIQUE"/>
    <m/>
    <m/>
    <m/>
    <d v="2021-12-01T08:01:00"/>
    <n v="0"/>
    <n v="0"/>
    <x v="14"/>
    <n v="165"/>
  </r>
  <r>
    <n v="15425311842"/>
    <n v="171"/>
    <m/>
    <x v="32"/>
    <n v="15295545217"/>
    <x v="2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80333"/>
    <s v="Produto 12"/>
    <n v="200"/>
    <n v="13.9"/>
    <n v="0"/>
    <n v="10.747"/>
    <n v="2780"/>
    <n v="78"/>
    <s v="PRFL.00.0024"/>
    <n v="0"/>
    <n v="0"/>
    <s v="HENRIQUE"/>
    <m/>
    <m/>
    <m/>
    <d v="2021-12-01T11:06:00"/>
    <n v="0"/>
    <n v="0"/>
    <x v="15"/>
    <n v="280"/>
  </r>
  <r>
    <n v="15425311842"/>
    <n v="171"/>
    <m/>
    <x v="32"/>
    <n v="15295545217"/>
    <x v="6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6093155"/>
    <s v="Produto 15"/>
    <n v="200"/>
    <n v="17.899999999999999"/>
    <n v="0"/>
    <n v="14.4596"/>
    <n v="3580"/>
    <n v="78"/>
    <s v="PRFL.00.0026"/>
    <n v="0"/>
    <n v="0"/>
    <s v="HENRIQUE"/>
    <m/>
    <m/>
    <m/>
    <d v="2021-12-01T11:06:00"/>
    <n v="0"/>
    <n v="0"/>
    <x v="16"/>
    <n v="284"/>
  </r>
  <r>
    <n v="15425311842"/>
    <n v="171"/>
    <m/>
    <x v="32"/>
    <n v="15295545217"/>
    <x v="9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395564051"/>
    <s v="Produto 14"/>
    <n v="200"/>
    <n v="14.92"/>
    <n v="0"/>
    <n v="12.017099999999999"/>
    <n v="2984"/>
    <n v="78"/>
    <s v="PRFL.00.0033"/>
    <n v="0"/>
    <n v="0"/>
    <s v="HENRIQUE"/>
    <m/>
    <m/>
    <m/>
    <d v="2021-12-01T11:06:00"/>
    <n v="0"/>
    <n v="0"/>
    <x v="1"/>
    <n v="280"/>
  </r>
  <r>
    <n v="15425311842"/>
    <n v="171"/>
    <m/>
    <x v="32"/>
    <n v="15295545217"/>
    <x v="10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918644"/>
    <s v="Produto 15"/>
    <n v="1000"/>
    <n v="7.6"/>
    <n v="8.2100000000000009"/>
    <n v="5.61"/>
    <n v="7600"/>
    <n v="78"/>
    <s v="PRFL.00.0011"/>
    <n v="0"/>
    <n v="0"/>
    <s v="HENRIQUE"/>
    <m/>
    <m/>
    <m/>
    <d v="2021-12-01T11:06:00"/>
    <n v="0"/>
    <n v="0"/>
    <x v="16"/>
    <n v="1420"/>
  </r>
  <r>
    <n v="15425311842"/>
    <n v="171"/>
    <m/>
    <x v="32"/>
    <n v="15295545217"/>
    <x v="11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085610"/>
    <s v="Produto 08"/>
    <n v="1000"/>
    <n v="13.19"/>
    <n v="6.45"/>
    <n v="10.23"/>
    <n v="13190"/>
    <n v="78"/>
    <s v="PRFL.00.0001"/>
    <n v="0"/>
    <n v="0"/>
    <s v="HENRIQUE"/>
    <m/>
    <m/>
    <m/>
    <d v="2021-12-01T11:06:00"/>
    <n v="0"/>
    <n v="0"/>
    <x v="14"/>
    <n v="1100"/>
  </r>
  <r>
    <n v="15425311842"/>
    <n v="171"/>
    <m/>
    <x v="32"/>
    <n v="15295545217"/>
    <x v="9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015511068"/>
    <s v="Produto 15"/>
    <n v="200"/>
    <n v="15.99"/>
    <n v="3.67"/>
    <n v="10.23"/>
    <n v="3198"/>
    <n v="78"/>
    <s v="PRFL.00.0005"/>
    <n v="0"/>
    <n v="0"/>
    <s v="HENRIQUE"/>
    <m/>
    <m/>
    <m/>
    <d v="2021-12-01T11:06:00"/>
    <n v="0"/>
    <n v="0"/>
    <x v="16"/>
    <n v="284"/>
  </r>
  <r>
    <n v="15425311842"/>
    <n v="171"/>
    <m/>
    <x v="32"/>
    <n v="15295545217"/>
    <x v="17"/>
    <s v="11.448.815/0001-54"/>
    <s v="RUA IZAAC FERREIRA DA CRUZ, 3920, FUNDOS"/>
    <s v="SITIO CERCADO"/>
    <s v="Curitiba"/>
    <n v="81910000"/>
    <s v="PR"/>
    <s v="Gesso@Alvo.com.br"/>
    <n v="41998481264"/>
    <n v="0"/>
    <n v="0"/>
    <m/>
    <s v="Atendido"/>
    <n v="15430969056"/>
    <s v="Produto 02"/>
    <n v="200"/>
    <n v="16.78"/>
    <n v="0"/>
    <n v="12.9941"/>
    <n v="3356"/>
    <n v="78"/>
    <s v="PRFL.00.0040"/>
    <n v="0"/>
    <n v="0"/>
    <s v="HENRIQUE"/>
    <m/>
    <m/>
    <m/>
    <d v="2021-12-01T11:06:00"/>
    <n v="0"/>
    <n v="0"/>
    <x v="6"/>
    <n v="54"/>
  </r>
  <r>
    <n v="15426574458"/>
    <n v="172"/>
    <m/>
    <x v="32"/>
    <n v="15058876151"/>
    <x v="15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6093155"/>
    <s v="Produto 03"/>
    <n v="150"/>
    <n v="18.649999999999999"/>
    <n v="0"/>
    <n v="14.4596"/>
    <n v="2797.5"/>
    <n v="24"/>
    <s v="PRFL.00.0026"/>
    <n v="0"/>
    <n v="0"/>
    <s v="AMANDA HUBBE"/>
    <m/>
    <m/>
    <m/>
    <d v="2021-12-01T08:31:00"/>
    <n v="0"/>
    <n v="0"/>
    <x v="13"/>
    <n v="90"/>
  </r>
  <r>
    <n v="15426574458"/>
    <n v="172"/>
    <m/>
    <x v="32"/>
    <n v="15058876151"/>
    <x v="16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5085610"/>
    <s v="Produto 09"/>
    <n v="300"/>
    <n v="14.1"/>
    <n v="0"/>
    <n v="10.23"/>
    <n v="4230"/>
    <n v="24"/>
    <s v="PRFL.00.0001"/>
    <n v="0"/>
    <n v="0"/>
    <s v="AMANDA HUBBE"/>
    <m/>
    <m/>
    <m/>
    <d v="2021-12-01T08:31:00"/>
    <n v="0"/>
    <n v="0"/>
    <x v="4"/>
    <n v="330"/>
  </r>
  <r>
    <n v="15426574458"/>
    <n v="172"/>
    <m/>
    <x v="32"/>
    <n v="15058876151"/>
    <x v="11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5511068"/>
    <s v="Produto 12"/>
    <n v="100"/>
    <n v="16.600000000000001"/>
    <n v="0"/>
    <n v="10.23"/>
    <n v="1660"/>
    <n v="24"/>
    <s v="PRFL.00.0005"/>
    <n v="0"/>
    <n v="0"/>
    <s v="AMANDA HUBBE"/>
    <m/>
    <m/>
    <m/>
    <d v="2021-12-01T08:31:00"/>
    <n v="0"/>
    <n v="0"/>
    <x v="15"/>
    <n v="140"/>
  </r>
  <r>
    <n v="15426574458"/>
    <n v="172"/>
    <m/>
    <x v="32"/>
    <n v="15058876151"/>
    <x v="11"/>
    <s v="14.709.771/0001-67"/>
    <s v="RUA SANTA TEREZINHA, 669"/>
    <s v="JD SAO RAFAEL"/>
    <s v="Londrina"/>
    <n v="86027620"/>
    <s v="PR"/>
    <s v="genio.gesso@gmail.com"/>
    <n v="43996560102"/>
    <n v="0"/>
    <n v="0"/>
    <m/>
    <s v="Atendido"/>
    <n v="15015918644"/>
    <s v="Produto 05"/>
    <n v="150"/>
    <n v="8.2799999999999994"/>
    <n v="0"/>
    <n v="5.61"/>
    <n v="1242"/>
    <n v="24"/>
    <s v="PRFL.00.0011"/>
    <n v="0"/>
    <n v="0"/>
    <s v="AMANDA HUBBE"/>
    <m/>
    <m/>
    <m/>
    <d v="2021-12-01T08:31:00"/>
    <n v="0"/>
    <n v="0"/>
    <x v="5"/>
    <n v="90"/>
  </r>
  <r>
    <n v="15428178141"/>
    <n v="173"/>
    <m/>
    <x v="32"/>
    <n v="15428133811"/>
    <x v="17"/>
    <s v="15.066.452/0001-43"/>
    <s v="RUA HERCILIO FIDES ZIMMERMANN, 501, Nao Informado"/>
    <s v="MARGEM ESQUERDA"/>
    <s v="Gaspar"/>
    <n v="89116650"/>
    <s v="SC"/>
    <m/>
    <m/>
    <n v="0"/>
    <n v="0"/>
    <m/>
    <s v="Atendido"/>
    <n v="15015085610"/>
    <s v="Produto 07"/>
    <n v="300"/>
    <n v="12.8"/>
    <n v="9.2200000000000006"/>
    <n v="10.23"/>
    <n v="3840"/>
    <n v="103"/>
    <s v="PRFL.00.0001"/>
    <n v="0"/>
    <n v="0"/>
    <s v="FERNANDO CARDOSO"/>
    <m/>
    <m/>
    <m/>
    <d v="2021-12-01T08:01:00"/>
    <n v="0"/>
    <n v="0"/>
    <x v="12"/>
    <n v="330"/>
  </r>
  <r>
    <n v="15428178141"/>
    <n v="173"/>
    <m/>
    <x v="32"/>
    <n v="15428133811"/>
    <x v="7"/>
    <s v="15.066.452/0001-43"/>
    <s v="RUA HERCILIO FIDES ZIMMERMANN, 501, Nao Informado"/>
    <s v="MARGEM ESQUERDA"/>
    <s v="Gaspar"/>
    <n v="89116650"/>
    <s v="SC"/>
    <m/>
    <m/>
    <n v="0"/>
    <n v="0"/>
    <m/>
    <s v="Atendido"/>
    <n v="15015511068"/>
    <s v="Produto 12"/>
    <n v="300"/>
    <n v="13.5"/>
    <n v="18.670000000000002"/>
    <n v="10.23"/>
    <n v="4050"/>
    <n v="103"/>
    <s v="PRFL.00.0005"/>
    <n v="0"/>
    <n v="0"/>
    <s v="FERNANDO CARDOSO"/>
    <m/>
    <m/>
    <m/>
    <d v="2021-12-01T08:01:00"/>
    <n v="0"/>
    <n v="0"/>
    <x v="15"/>
    <n v="420"/>
  </r>
  <r>
    <n v="15428422087"/>
    <n v="174"/>
    <m/>
    <x v="32"/>
    <n v="15179784707"/>
    <x v="9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6099089"/>
    <s v="Produto 15"/>
    <n v="50"/>
    <n v="21.65"/>
    <n v="0"/>
    <n v="16.804400000000001"/>
    <n v="1082.5"/>
    <n v="49"/>
    <s v="PRFL.00.0027"/>
    <n v="0"/>
    <n v="0"/>
    <s v="AMANDA HUBBE"/>
    <m/>
    <m/>
    <m/>
    <d v="2021-12-01T08:32:00"/>
    <n v="0"/>
    <n v="0"/>
    <x v="16"/>
    <n v="71"/>
  </r>
  <r>
    <n v="15428422087"/>
    <n v="174"/>
    <m/>
    <x v="32"/>
    <n v="15179784707"/>
    <x v="9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6080333"/>
    <s v="Produto 09"/>
    <n v="50"/>
    <n v="15.3"/>
    <n v="0"/>
    <n v="10.747"/>
    <n v="765"/>
    <n v="49"/>
    <s v="PRFL.00.0024"/>
    <n v="0"/>
    <n v="0"/>
    <s v="AMANDA HUBBE"/>
    <m/>
    <m/>
    <m/>
    <d v="2021-12-01T08:32:00"/>
    <n v="0"/>
    <n v="0"/>
    <x v="4"/>
    <n v="55.000000000000007"/>
  </r>
  <r>
    <n v="15428422087"/>
    <n v="174"/>
    <m/>
    <x v="32"/>
    <n v="15179784707"/>
    <x v="2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6087271"/>
    <s v="Produto 16"/>
    <n v="50"/>
    <n v="18.55"/>
    <n v="0"/>
    <n v="14.4596"/>
    <n v="927.5"/>
    <n v="49"/>
    <s v="PRFL.00.0025"/>
    <n v="0"/>
    <n v="0"/>
    <s v="AMANDA HUBBE"/>
    <m/>
    <m/>
    <m/>
    <d v="2021-12-01T08:32:00"/>
    <n v="0"/>
    <n v="0"/>
    <x v="9"/>
    <n v="63.5"/>
  </r>
  <r>
    <n v="15428422087"/>
    <n v="174"/>
    <m/>
    <x v="32"/>
    <n v="15179784707"/>
    <x v="19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5085610"/>
    <s v="Produto 03"/>
    <n v="100"/>
    <n v="14.1"/>
    <n v="0"/>
    <n v="10.23"/>
    <n v="1410"/>
    <n v="49"/>
    <s v="PRFL.00.0001"/>
    <n v="0"/>
    <n v="0"/>
    <s v="AMANDA HUBBE"/>
    <m/>
    <m/>
    <m/>
    <d v="2021-12-01T08:32:00"/>
    <n v="0"/>
    <n v="0"/>
    <x v="13"/>
    <n v="60"/>
  </r>
  <r>
    <n v="15428422087"/>
    <n v="174"/>
    <m/>
    <x v="32"/>
    <n v="15179784707"/>
    <x v="0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5511068"/>
    <s v="Produto 05"/>
    <n v="100"/>
    <n v="16.600000000000001"/>
    <n v="0"/>
    <n v="10.23"/>
    <n v="1660"/>
    <n v="49"/>
    <s v="PRFL.00.0005"/>
    <n v="0"/>
    <n v="0"/>
    <s v="AMANDA HUBBE"/>
    <m/>
    <m/>
    <m/>
    <d v="2021-12-01T08:32:00"/>
    <n v="0"/>
    <n v="0"/>
    <x v="5"/>
    <n v="60"/>
  </r>
  <r>
    <n v="15428422087"/>
    <n v="174"/>
    <m/>
    <x v="32"/>
    <n v="15179784707"/>
    <x v="11"/>
    <s v="18.552.908/0001-73"/>
    <s v="Rua Rio Tibagi, 787"/>
    <s v="Jardim Santo Amaro"/>
    <s v="Cambé"/>
    <n v="86185130"/>
    <s v="PR"/>
    <s v="amanda.hubbe@perfilar.ind.br"/>
    <n v="41996084664"/>
    <n v="0"/>
    <n v="0"/>
    <m/>
    <s v="Atendido"/>
    <n v="15016093155"/>
    <s v="Produto 03"/>
    <n v="50"/>
    <n v="18.649999999999999"/>
    <n v="0"/>
    <n v="14.4596"/>
    <n v="932.5"/>
    <n v="49"/>
    <s v="PRFL.00.0026"/>
    <n v="0"/>
    <n v="0"/>
    <s v="AMANDA HUBBE"/>
    <m/>
    <m/>
    <m/>
    <d v="2021-12-01T08:32:00"/>
    <n v="0"/>
    <n v="0"/>
    <x v="13"/>
    <n v="30"/>
  </r>
  <r>
    <n v="15439934488"/>
    <n v="177"/>
    <m/>
    <x v="33"/>
    <n v="15020006032"/>
    <x v="19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395751673"/>
    <s v="Produto 08"/>
    <n v="300"/>
    <n v="7.6"/>
    <n v="0"/>
    <n v="5.8620000000000001"/>
    <n v="2280"/>
    <n v="16"/>
    <s v="PRFL.00.0039"/>
    <n v="0"/>
    <n v="0"/>
    <s v="HENRIQUE"/>
    <m/>
    <m/>
    <m/>
    <d v="2021-12-02T08:36:00"/>
    <n v="0"/>
    <n v="0"/>
    <x v="14"/>
    <n v="330"/>
  </r>
  <r>
    <n v="15439934488"/>
    <n v="177"/>
    <m/>
    <x v="33"/>
    <n v="15020006032"/>
    <x v="10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99089"/>
    <s v="Produto 04"/>
    <n v="500"/>
    <n v="20.28"/>
    <n v="0"/>
    <n v="16.804400000000001"/>
    <n v="10140"/>
    <n v="16"/>
    <s v="PRFL.00.0027"/>
    <n v="0"/>
    <n v="0"/>
    <s v="HENRIQUE"/>
    <m/>
    <m/>
    <m/>
    <d v="2021-12-02T08:36:00"/>
    <n v="0"/>
    <n v="0"/>
    <x v="10"/>
    <n v="300"/>
  </r>
  <r>
    <n v="15439950201"/>
    <n v="178"/>
    <m/>
    <x v="33"/>
    <n v="15266257098"/>
    <x v="1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6080333"/>
    <s v="Produto 06"/>
    <n v="1800"/>
    <n v="13.33"/>
    <n v="0"/>
    <n v="10.747"/>
    <n v="23994"/>
    <n v="63"/>
    <s v="PRFL.00.0024"/>
    <n v="0"/>
    <n v="0"/>
    <s v="HENRIQUE"/>
    <m/>
    <m/>
    <m/>
    <d v="2021-12-02T08:01:00"/>
    <n v="0"/>
    <n v="0"/>
    <x v="0"/>
    <n v="900"/>
  </r>
  <r>
    <n v="15439950201"/>
    <n v="178"/>
    <m/>
    <x v="33"/>
    <n v="15266257098"/>
    <x v="18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5918644"/>
    <s v="Produto 04"/>
    <n v="4000"/>
    <n v="7.15"/>
    <n v="13.65"/>
    <n v="5.61"/>
    <n v="28600"/>
    <n v="63"/>
    <s v="PRFL.00.0011"/>
    <n v="0"/>
    <n v="0"/>
    <s v="HENRIQUE"/>
    <m/>
    <m/>
    <m/>
    <d v="2021-12-02T08:01:00"/>
    <n v="0"/>
    <n v="0"/>
    <x v="10"/>
    <n v="2400"/>
  </r>
  <r>
    <n v="15439950201"/>
    <n v="178"/>
    <m/>
    <x v="33"/>
    <n v="15266257098"/>
    <x v="9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5085610"/>
    <s v="Produto 17"/>
    <n v="1581"/>
    <n v="12.4"/>
    <n v="12.06"/>
    <n v="10.23"/>
    <n v="19604.400000000001"/>
    <n v="63"/>
    <s v="PRFL.00.0001"/>
    <n v="0"/>
    <n v="0"/>
    <s v="HENRIQUE"/>
    <m/>
    <m/>
    <m/>
    <d v="2021-12-02T08:01:00"/>
    <n v="0"/>
    <n v="0"/>
    <x v="8"/>
    <n v="2245.02"/>
  </r>
  <r>
    <n v="15439950201"/>
    <n v="178"/>
    <m/>
    <x v="33"/>
    <n v="15266257098"/>
    <x v="11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6043939"/>
    <s v="Produto 06"/>
    <n v="4179"/>
    <n v="12.4"/>
    <n v="12.06"/>
    <n v="10.747"/>
    <n v="51819.6"/>
    <n v="63"/>
    <s v="PRFL.00.0019"/>
    <n v="0"/>
    <n v="0"/>
    <s v="HENRIQUE"/>
    <m/>
    <m/>
    <m/>
    <d v="2021-12-02T08:01:00"/>
    <n v="0"/>
    <n v="0"/>
    <x v="0"/>
    <n v="2089.5"/>
  </r>
  <r>
    <n v="15439950201"/>
    <n v="178"/>
    <m/>
    <x v="33"/>
    <n v="15266257098"/>
    <x v="17"/>
    <s v="11.584.825/0001-17"/>
    <s v="RUA MINAS GERAIS, 2810, Nao Informado"/>
    <s v="NOVA BRASÍLIA"/>
    <s v="Joinville"/>
    <n v="89214600"/>
    <s v="SC"/>
    <s v="Claudinei@tecnoobras"/>
    <n v="41991696565"/>
    <n v="0"/>
    <n v="0"/>
    <m/>
    <s v="Atendido"/>
    <n v="15015911944"/>
    <s v="Produto 16"/>
    <n v="240"/>
    <n v="12.4"/>
    <n v="12.06"/>
    <n v="10.285"/>
    <n v="2976"/>
    <n v="63"/>
    <s v="PRFL.00.0010"/>
    <n v="0"/>
    <n v="0"/>
    <s v="HENRIQUE"/>
    <m/>
    <m/>
    <m/>
    <d v="2021-12-02T08:01:00"/>
    <n v="0"/>
    <n v="0"/>
    <x v="9"/>
    <n v="304.8"/>
  </r>
  <r>
    <n v="15492044171"/>
    <n v="189"/>
    <m/>
    <x v="33"/>
    <n v="15059237186"/>
    <x v="14"/>
    <s v="05.785.081/0001-04"/>
    <s v="Rua C, 65"/>
    <s v="Tijuca"/>
    <s v="Alvorada"/>
    <n v="94853120"/>
    <s v="RS"/>
    <m/>
    <m/>
    <n v="0"/>
    <n v="0"/>
    <m/>
    <s v="Atendido"/>
    <n v="15016043939"/>
    <s v="Produto 07"/>
    <n v="100"/>
    <n v="14.25"/>
    <n v="0"/>
    <n v="10.747"/>
    <n v="1425"/>
    <n v="35"/>
    <s v="PRFL.00.0019"/>
    <n v="0"/>
    <n v="0"/>
    <m/>
    <m/>
    <m/>
    <m/>
    <d v="2021-12-02T13:58:00"/>
    <n v="0"/>
    <n v="0"/>
    <x v="12"/>
    <n v="110.00000000000001"/>
  </r>
  <r>
    <n v="15492044171"/>
    <n v="189"/>
    <m/>
    <x v="33"/>
    <n v="15059237186"/>
    <x v="4"/>
    <s v="05.785.081/0001-04"/>
    <s v="Rua C, 65"/>
    <s v="Tijuca"/>
    <s v="Alvorada"/>
    <n v="94853120"/>
    <s v="RS"/>
    <m/>
    <m/>
    <n v="0"/>
    <n v="0"/>
    <m/>
    <s v="Atendido"/>
    <n v="15015511068"/>
    <s v="Produto 09"/>
    <n v="60"/>
    <n v="16.7"/>
    <n v="0"/>
    <n v="10.23"/>
    <n v="1002"/>
    <n v="35"/>
    <s v="PRFL.00.0005"/>
    <n v="0"/>
    <n v="0"/>
    <m/>
    <m/>
    <m/>
    <m/>
    <d v="2021-12-02T13:58:00"/>
    <n v="0"/>
    <n v="0"/>
    <x v="4"/>
    <n v="66"/>
  </r>
  <r>
    <n v="15492044171"/>
    <n v="189"/>
    <m/>
    <x v="33"/>
    <n v="15059237186"/>
    <x v="1"/>
    <s v="05.785.081/0001-04"/>
    <s v="Rua C, 65"/>
    <s v="Tijuca"/>
    <s v="Alvorada"/>
    <n v="94853120"/>
    <s v="RS"/>
    <m/>
    <m/>
    <n v="0"/>
    <n v="0"/>
    <m/>
    <s v="Atendido"/>
    <n v="15470874335"/>
    <s v="Produto 07"/>
    <n v="100"/>
    <n v="26.1"/>
    <n v="0"/>
    <n v="0"/>
    <n v="2610"/>
    <n v="35"/>
    <s v="PRFL.00.0041"/>
    <n v="0"/>
    <n v="0"/>
    <m/>
    <m/>
    <m/>
    <m/>
    <d v="2021-12-02T13:58:00"/>
    <n v="0"/>
    <n v="0"/>
    <x v="12"/>
    <n v="110.00000000000001"/>
  </r>
  <r>
    <n v="15492044171"/>
    <n v="189"/>
    <m/>
    <x v="33"/>
    <n v="15059237186"/>
    <x v="16"/>
    <s v="05.785.081/0001-04"/>
    <s v="Rua C, 65"/>
    <s v="Tijuca"/>
    <s v="Alvorada"/>
    <n v="94853120"/>
    <s v="RS"/>
    <m/>
    <m/>
    <n v="0"/>
    <n v="0"/>
    <m/>
    <s v="Atendido"/>
    <n v="15016087271"/>
    <s v="Produto 10"/>
    <n v="100"/>
    <n v="18.3"/>
    <n v="1.35"/>
    <n v="14.4596"/>
    <n v="1830"/>
    <n v="35"/>
    <s v="PRFL.00.0025"/>
    <n v="0"/>
    <n v="0"/>
    <m/>
    <m/>
    <m/>
    <m/>
    <d v="2021-12-02T13:58:00"/>
    <n v="0"/>
    <n v="0"/>
    <x v="3"/>
    <n v="110.00000000000001"/>
  </r>
  <r>
    <n v="15492044171"/>
    <n v="189"/>
    <m/>
    <x v="33"/>
    <n v="15059237186"/>
    <x v="7"/>
    <s v="05.785.081/0001-04"/>
    <s v="Rua C, 65"/>
    <s v="Tijuca"/>
    <s v="Alvorada"/>
    <n v="94853120"/>
    <s v="RS"/>
    <m/>
    <m/>
    <n v="0"/>
    <n v="0"/>
    <m/>
    <s v="Atendido"/>
    <n v="15139727614"/>
    <s v="Produto 14"/>
    <n v="100"/>
    <n v="23.75"/>
    <n v="0.84"/>
    <n v="0"/>
    <n v="2375"/>
    <n v="35"/>
    <s v="PRFL.00.0029"/>
    <n v="0"/>
    <n v="0"/>
    <m/>
    <m/>
    <m/>
    <m/>
    <d v="2021-12-02T13:58:00"/>
    <n v="0"/>
    <n v="0"/>
    <x v="1"/>
    <n v="140"/>
  </r>
  <r>
    <n v="15492044171"/>
    <n v="189"/>
    <m/>
    <x v="33"/>
    <n v="15059237186"/>
    <x v="10"/>
    <s v="05.785.081/0001-04"/>
    <s v="Rua C, 65"/>
    <s v="Tijuca"/>
    <s v="Alvorada"/>
    <n v="94853120"/>
    <s v="RS"/>
    <m/>
    <m/>
    <n v="0"/>
    <n v="0"/>
    <m/>
    <s v="Atendido"/>
    <n v="15139667431"/>
    <s v="Produto 15"/>
    <n v="50"/>
    <n v="20.75"/>
    <n v="1.66"/>
    <n v="0"/>
    <n v="1037.5"/>
    <n v="35"/>
    <s v="PRFL.00.0028"/>
    <n v="0"/>
    <n v="0"/>
    <m/>
    <m/>
    <m/>
    <m/>
    <d v="2021-12-02T13:58:00"/>
    <n v="0"/>
    <n v="0"/>
    <x v="16"/>
    <n v="71"/>
  </r>
  <r>
    <n v="15492044171"/>
    <n v="189"/>
    <m/>
    <x v="33"/>
    <n v="15059237186"/>
    <x v="4"/>
    <s v="05.785.081/0001-04"/>
    <s v="Rua C, 65"/>
    <s v="Tijuca"/>
    <s v="Alvorada"/>
    <n v="94853120"/>
    <s v="RS"/>
    <m/>
    <m/>
    <n v="0"/>
    <n v="0"/>
    <m/>
    <s v="Atendido"/>
    <n v="15015918644"/>
    <s v="Produto 04"/>
    <n v="200"/>
    <n v="8.3800000000000008"/>
    <n v="0"/>
    <n v="5.61"/>
    <n v="1676"/>
    <n v="35"/>
    <s v="PRFL.00.0011"/>
    <n v="0"/>
    <n v="0"/>
    <m/>
    <m/>
    <m/>
    <m/>
    <d v="2021-12-02T13:58:00"/>
    <n v="0"/>
    <n v="0"/>
    <x v="10"/>
    <n v="120"/>
  </r>
  <r>
    <n v="15492191399"/>
    <n v="191"/>
    <m/>
    <x v="33"/>
    <n v="15059073318"/>
    <x v="12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139727614"/>
    <s v="Produto 11"/>
    <n v="20"/>
    <n v="22.6"/>
    <n v="5.64"/>
    <n v="0"/>
    <n v="452"/>
    <n v="30"/>
    <s v="PRFL.00.0029"/>
    <n v="0"/>
    <n v="0"/>
    <s v="FERNANDO CARDOSO"/>
    <m/>
    <m/>
    <m/>
    <d v="2021-12-02T13:59:00"/>
    <n v="0"/>
    <n v="0"/>
    <x v="11"/>
    <n v="22"/>
  </r>
  <r>
    <n v="15492191399"/>
    <n v="191"/>
    <m/>
    <x v="33"/>
    <n v="15059073318"/>
    <x v="17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139667431"/>
    <s v="Produto 01"/>
    <n v="10"/>
    <n v="20.2"/>
    <n v="4.2699999999999996"/>
    <n v="0"/>
    <n v="202"/>
    <n v="30"/>
    <s v="PRFL.00.0028"/>
    <n v="0"/>
    <n v="0"/>
    <s v="FERNANDO CARDOSO"/>
    <m/>
    <m/>
    <m/>
    <d v="2021-12-02T13:59:00"/>
    <n v="0"/>
    <n v="0"/>
    <x v="7"/>
    <n v="4"/>
  </r>
  <r>
    <n v="15492191399"/>
    <n v="191"/>
    <m/>
    <x v="33"/>
    <n v="15059073318"/>
    <x v="14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43939"/>
    <s v="Produto 13"/>
    <n v="250"/>
    <n v="12.8"/>
    <n v="9.2200000000000006"/>
    <n v="10.747"/>
    <n v="3200"/>
    <n v="30"/>
    <s v="PRFL.00.0019"/>
    <n v="0"/>
    <n v="0"/>
    <s v="FERNANDO CARDOSO"/>
    <m/>
    <m/>
    <m/>
    <d v="2021-12-02T13:59:00"/>
    <n v="0"/>
    <n v="0"/>
    <x v="2"/>
    <n v="350"/>
  </r>
  <r>
    <n v="15492191399"/>
    <n v="191"/>
    <m/>
    <x v="33"/>
    <n v="15059073318"/>
    <x v="3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5511068"/>
    <s v="Produto 07"/>
    <n v="150"/>
    <n v="15"/>
    <n v="9.64"/>
    <n v="10.23"/>
    <n v="2250"/>
    <n v="30"/>
    <s v="PRFL.00.0005"/>
    <n v="0"/>
    <n v="0"/>
    <s v="FERNANDO CARDOSO"/>
    <m/>
    <m/>
    <m/>
    <d v="2021-12-02T13:59:00"/>
    <n v="0"/>
    <n v="0"/>
    <x v="12"/>
    <n v="165"/>
  </r>
  <r>
    <n v="15492191399"/>
    <n v="191"/>
    <m/>
    <x v="33"/>
    <n v="15059073318"/>
    <x v="5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5918644"/>
    <s v="Produto 07"/>
    <n v="300"/>
    <n v="7.3"/>
    <n v="11.84"/>
    <n v="5.61"/>
    <n v="2190"/>
    <n v="30"/>
    <s v="PRFL.00.0011"/>
    <n v="0"/>
    <n v="0"/>
    <s v="FERNANDO CARDOSO"/>
    <m/>
    <m/>
    <m/>
    <d v="2021-12-02T13:59:00"/>
    <n v="0"/>
    <n v="0"/>
    <x v="12"/>
    <n v="330"/>
  </r>
  <r>
    <n v="15492191399"/>
    <n v="191"/>
    <m/>
    <x v="33"/>
    <n v="15059073318"/>
    <x v="12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99089"/>
    <s v="Produto 02"/>
    <n v="50"/>
    <n v="20.3"/>
    <n v="6.24"/>
    <n v="16.804400000000001"/>
    <n v="1015"/>
    <n v="30"/>
    <s v="PRFL.00.0027"/>
    <n v="0"/>
    <n v="0"/>
    <s v="FERNANDO CARDOSO"/>
    <m/>
    <m/>
    <m/>
    <d v="2021-12-02T13:59:00"/>
    <n v="0"/>
    <n v="0"/>
    <x v="6"/>
    <n v="13.5"/>
  </r>
  <r>
    <n v="15492191399"/>
    <n v="191"/>
    <m/>
    <x v="33"/>
    <n v="15059073318"/>
    <x v="0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87271"/>
    <s v="Produto 11"/>
    <n v="30"/>
    <n v="17.3"/>
    <n v="6.74"/>
    <n v="14.4596"/>
    <n v="519"/>
    <n v="30"/>
    <s v="PRFL.00.0025"/>
    <n v="0"/>
    <n v="0"/>
    <s v="FERNANDO CARDOSO"/>
    <m/>
    <m/>
    <m/>
    <d v="2021-12-02T13:59:00"/>
    <n v="0"/>
    <n v="0"/>
    <x v="11"/>
    <n v="33"/>
  </r>
  <r>
    <n v="15492280489"/>
    <n v="192"/>
    <m/>
    <x v="33"/>
    <n v="15264888160"/>
    <x v="6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6043939"/>
    <s v="Produto 15"/>
    <n v="250"/>
    <n v="13.55"/>
    <n v="3.9"/>
    <n v="10.747"/>
    <n v="3387.5"/>
    <n v="57"/>
    <s v="PRFL.00.0019"/>
    <n v="0"/>
    <n v="0"/>
    <s v="FERNANDO CARDOSO"/>
    <m/>
    <m/>
    <m/>
    <d v="2021-12-02T13:59:00"/>
    <n v="0"/>
    <n v="0"/>
    <x v="16"/>
    <n v="355"/>
  </r>
  <r>
    <n v="15492280489"/>
    <n v="192"/>
    <m/>
    <x v="33"/>
    <n v="15264888160"/>
    <x v="11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6080333"/>
    <s v="Produto 08"/>
    <n v="100"/>
    <n v="14.6"/>
    <n v="4.58"/>
    <n v="10.747"/>
    <n v="1460"/>
    <n v="57"/>
    <s v="PRFL.00.0024"/>
    <n v="0"/>
    <n v="0"/>
    <s v="FERNANDO CARDOSO"/>
    <m/>
    <m/>
    <m/>
    <d v="2021-12-02T13:59:00"/>
    <n v="0"/>
    <n v="0"/>
    <x v="14"/>
    <n v="110.00000000000001"/>
  </r>
  <r>
    <n v="15492280489"/>
    <n v="192"/>
    <m/>
    <x v="33"/>
    <n v="15264888160"/>
    <x v="4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6093155"/>
    <s v="Produto 16"/>
    <n v="200"/>
    <n v="18.04"/>
    <n v="3.27"/>
    <n v="14.4596"/>
    <n v="3608"/>
    <n v="57"/>
    <s v="PRFL.00.0026"/>
    <n v="0"/>
    <n v="0"/>
    <s v="FERNANDO CARDOSO"/>
    <m/>
    <m/>
    <m/>
    <d v="2021-12-02T13:59:00"/>
    <n v="0"/>
    <n v="0"/>
    <x v="9"/>
    <n v="254"/>
  </r>
  <r>
    <n v="15492280489"/>
    <n v="192"/>
    <m/>
    <x v="33"/>
    <n v="15264888160"/>
    <x v="13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5511068"/>
    <s v="Produto 02"/>
    <n v="50"/>
    <n v="15"/>
    <n v="9.64"/>
    <n v="10.23"/>
    <n v="750"/>
    <n v="57"/>
    <s v="PRFL.00.0005"/>
    <n v="0"/>
    <n v="0"/>
    <s v="FERNANDO CARDOSO"/>
    <m/>
    <m/>
    <m/>
    <d v="2021-12-02T13:59:00"/>
    <n v="0"/>
    <n v="0"/>
    <x v="6"/>
    <n v="13.5"/>
  </r>
  <r>
    <n v="15492280489"/>
    <n v="192"/>
    <m/>
    <x v="33"/>
    <n v="15264888160"/>
    <x v="15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6099089"/>
    <s v="Produto 07"/>
    <n v="120"/>
    <n v="21.05"/>
    <n v="2.77"/>
    <n v="16.804400000000001"/>
    <n v="2526"/>
    <n v="57"/>
    <s v="PRFL.00.0027"/>
    <n v="0"/>
    <n v="0"/>
    <s v="FERNANDO CARDOSO"/>
    <m/>
    <m/>
    <m/>
    <d v="2021-12-02T13:59:00"/>
    <n v="0"/>
    <n v="0"/>
    <x v="12"/>
    <n v="132"/>
  </r>
  <r>
    <n v="15492280489"/>
    <n v="192"/>
    <m/>
    <x v="33"/>
    <n v="15264888160"/>
    <x v="13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016087271"/>
    <s v="Produto 03"/>
    <n v="60"/>
    <n v="18.100000000000001"/>
    <n v="2.4300000000000002"/>
    <n v="14.4596"/>
    <n v="1086"/>
    <n v="57"/>
    <s v="PRFL.00.0025"/>
    <n v="0"/>
    <n v="0"/>
    <s v="FERNANDO CARDOSO"/>
    <m/>
    <m/>
    <m/>
    <d v="2021-12-02T13:59:00"/>
    <n v="0"/>
    <n v="0"/>
    <x v="13"/>
    <n v="36"/>
  </r>
  <r>
    <n v="15492280489"/>
    <n v="192"/>
    <m/>
    <x v="33"/>
    <n v="15264888160"/>
    <x v="16"/>
    <s v="28.012.307/0001-21"/>
    <s v="Américo Vespucio, 560, -"/>
    <s v="Nova Brasília"/>
    <s v="Joinville"/>
    <n v="89213401"/>
    <s v="SC"/>
    <s v="vendas@engeplax.com.br"/>
    <n v="4734530505"/>
    <n v="0"/>
    <n v="0"/>
    <m/>
    <s v="Atendido"/>
    <n v="15139667431"/>
    <s v="Produto 17"/>
    <n v="20"/>
    <n v="20.8"/>
    <n v="1.42"/>
    <n v="0"/>
    <n v="416"/>
    <n v="57"/>
    <s v="PRFL.00.0028"/>
    <n v="0"/>
    <n v="0"/>
    <s v="FERNANDO CARDOSO"/>
    <m/>
    <m/>
    <m/>
    <d v="2021-12-02T13:59:00"/>
    <n v="0"/>
    <n v="0"/>
    <x v="8"/>
    <n v="28.4"/>
  </r>
  <r>
    <n v="15492323256"/>
    <n v="193"/>
    <m/>
    <x v="33"/>
    <n v="15265449061"/>
    <x v="12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43939"/>
    <s v="Produto 06"/>
    <n v="150"/>
    <n v="13.65"/>
    <n v="3.19"/>
    <n v="10.747"/>
    <n v="2047.5"/>
    <n v="60"/>
    <s v="PRFL.00.0019"/>
    <n v="0"/>
    <n v="0"/>
    <s v="FERNANDO CARDOSO"/>
    <m/>
    <m/>
    <m/>
    <d v="2021-12-02T13:59:00"/>
    <n v="0"/>
    <n v="0"/>
    <x v="0"/>
    <n v="75"/>
  </r>
  <r>
    <n v="15492323256"/>
    <n v="193"/>
    <m/>
    <x v="33"/>
    <n v="15265449061"/>
    <x v="9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93155"/>
    <s v="Produto 05"/>
    <n v="150"/>
    <n v="18.14"/>
    <n v="2.73"/>
    <n v="14.4596"/>
    <n v="2721"/>
    <n v="60"/>
    <s v="PRFL.00.0026"/>
    <n v="0"/>
    <n v="0"/>
    <s v="FERNANDO CARDOSO"/>
    <m/>
    <m/>
    <m/>
    <d v="2021-12-02T13:59:00"/>
    <n v="0"/>
    <n v="0"/>
    <x v="5"/>
    <n v="90"/>
  </r>
  <r>
    <n v="15492323256"/>
    <n v="193"/>
    <m/>
    <x v="33"/>
    <n v="15265449061"/>
    <x v="9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80333"/>
    <s v="Produto 09"/>
    <n v="70"/>
    <n v="14.7"/>
    <n v="3.92"/>
    <n v="10.747"/>
    <n v="1029"/>
    <n v="60"/>
    <s v="PRFL.00.0024"/>
    <n v="0"/>
    <n v="0"/>
    <s v="FERNANDO CARDOSO"/>
    <m/>
    <m/>
    <m/>
    <d v="2021-12-02T13:59:00"/>
    <n v="0"/>
    <n v="0"/>
    <x v="4"/>
    <n v="77"/>
  </r>
  <r>
    <n v="15451825974"/>
    <n v="180"/>
    <m/>
    <x v="34"/>
    <n v="15058959920"/>
    <x v="5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6043939"/>
    <s v="Produto 14"/>
    <n v="140"/>
    <n v="14.25"/>
    <n v="0"/>
    <n v="10.747"/>
    <n v="1995"/>
    <n v="26"/>
    <s v="PRFL.00.0019"/>
    <n v="0"/>
    <n v="0"/>
    <s v="AMANDA HUBBE"/>
    <m/>
    <m/>
    <m/>
    <d v="2021-12-03T08:30:00"/>
    <n v="0"/>
    <n v="0"/>
    <x v="1"/>
    <n v="196"/>
  </r>
  <r>
    <n v="15451825974"/>
    <n v="180"/>
    <m/>
    <x v="34"/>
    <n v="15058959920"/>
    <x v="17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6087271"/>
    <s v="Produto 14"/>
    <n v="65"/>
    <n v="18.55"/>
    <n v="0"/>
    <n v="14.4596"/>
    <n v="1205.75"/>
    <n v="26"/>
    <s v="PRFL.00.0025"/>
    <n v="0"/>
    <n v="0"/>
    <s v="AMANDA HUBBE"/>
    <m/>
    <m/>
    <m/>
    <d v="2021-12-03T08:30:00"/>
    <n v="0"/>
    <n v="0"/>
    <x v="1"/>
    <n v="91"/>
  </r>
  <r>
    <n v="15451825974"/>
    <n v="180"/>
    <m/>
    <x v="34"/>
    <n v="15058959920"/>
    <x v="2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6099089"/>
    <s v="Produto 11"/>
    <n v="185"/>
    <n v="21.65"/>
    <n v="0"/>
    <n v="16.804400000000001"/>
    <n v="4005.25"/>
    <n v="26"/>
    <s v="PRFL.00.0027"/>
    <n v="0"/>
    <n v="0"/>
    <s v="AMANDA HUBBE"/>
    <m/>
    <m/>
    <m/>
    <d v="2021-12-03T08:30:00"/>
    <n v="0"/>
    <n v="0"/>
    <x v="11"/>
    <n v="203.50000000000003"/>
  </r>
  <r>
    <n v="15451825974"/>
    <n v="180"/>
    <m/>
    <x v="34"/>
    <n v="15058959920"/>
    <x v="0"/>
    <s v="14.972.161/0001-51"/>
    <s v="Rua Poeta Carlos Drumond de Andrade, S/N, CASA B"/>
    <s v="Parque Avenida"/>
    <s v="Maringá"/>
    <n v="87025540"/>
    <s v="PR"/>
    <s v="amanda.hubbe@perfilar.ind.br"/>
    <n v="4441413353"/>
    <n v="0"/>
    <n v="0"/>
    <m/>
    <s v="Atendido"/>
    <n v="15015511068"/>
    <s v="Produto 04"/>
    <n v="25"/>
    <n v="16.7"/>
    <n v="0"/>
    <n v="10.23"/>
    <n v="417.5"/>
    <n v="26"/>
    <s v="PRFL.00.0005"/>
    <n v="0"/>
    <n v="0"/>
    <s v="AMANDA HUBBE"/>
    <m/>
    <m/>
    <m/>
    <d v="2021-12-03T08:30:00"/>
    <n v="0"/>
    <n v="0"/>
    <x v="10"/>
    <n v="15"/>
  </r>
  <r>
    <n v="15453753098"/>
    <n v="182"/>
    <m/>
    <x v="34"/>
    <n v="15279322250"/>
    <x v="13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3939"/>
    <s v="Produto 09"/>
    <n v="300"/>
    <n v="12.45"/>
    <n v="0"/>
    <n v="10.747"/>
    <n v="3735"/>
    <n v="68"/>
    <s v="PRFL.00.0019"/>
    <n v="0"/>
    <n v="0"/>
    <s v="HENRIQUE"/>
    <m/>
    <m/>
    <m/>
    <d v="2021-12-03T08:37:00"/>
    <n v="0"/>
    <n v="0"/>
    <x v="4"/>
    <n v="330"/>
  </r>
  <r>
    <n v="15453753098"/>
    <n v="182"/>
    <m/>
    <x v="34"/>
    <n v="15279322250"/>
    <x v="5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9089"/>
    <s v="Produto 11"/>
    <n v="200"/>
    <n v="19.3"/>
    <n v="0"/>
    <n v="16.804400000000001"/>
    <n v="3860"/>
    <n v="68"/>
    <s v="PRFL.00.0027"/>
    <n v="0"/>
    <n v="0"/>
    <s v="HENRIQUE"/>
    <m/>
    <m/>
    <m/>
    <d v="2021-12-03T08:37:00"/>
    <n v="0"/>
    <n v="0"/>
    <x v="11"/>
    <n v="220.00000000000003"/>
  </r>
  <r>
    <n v="15453753098"/>
    <n v="182"/>
    <m/>
    <x v="34"/>
    <n v="15279322250"/>
    <x v="2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14"/>
    <n v="200"/>
    <n v="16.7"/>
    <n v="0"/>
    <n v="14.4596"/>
    <n v="3340"/>
    <n v="68"/>
    <s v="PRFL.00.0026"/>
    <n v="0"/>
    <n v="0"/>
    <s v="HENRIQUE"/>
    <m/>
    <m/>
    <m/>
    <d v="2021-12-03T08:37:00"/>
    <n v="0"/>
    <n v="0"/>
    <x v="1"/>
    <n v="280"/>
  </r>
  <r>
    <n v="15453753098"/>
    <n v="182"/>
    <m/>
    <x v="34"/>
    <n v="15279322250"/>
    <x v="3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139727614"/>
    <s v="Produto 15"/>
    <n v="100"/>
    <n v="22.6"/>
    <n v="0"/>
    <n v="0"/>
    <n v="2260"/>
    <n v="68"/>
    <s v="PRFL.00.0029"/>
    <n v="0"/>
    <n v="0"/>
    <s v="HENRIQUE"/>
    <m/>
    <m/>
    <m/>
    <d v="2021-12-03T08:37:00"/>
    <n v="0"/>
    <n v="0"/>
    <x v="16"/>
    <n v="142"/>
  </r>
  <r>
    <n v="15453753098"/>
    <n v="182"/>
    <m/>
    <x v="34"/>
    <n v="15279322250"/>
    <x v="9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5918644"/>
    <s v="Produto 02"/>
    <n v="200"/>
    <n v="7.2"/>
    <n v="13.04"/>
    <n v="5.61"/>
    <n v="1440"/>
    <n v="68"/>
    <s v="PRFL.00.0011"/>
    <n v="0"/>
    <n v="0"/>
    <s v="HENRIQUE"/>
    <m/>
    <m/>
    <m/>
    <d v="2021-12-03T08:37:00"/>
    <n v="0"/>
    <n v="0"/>
    <x v="6"/>
    <n v="54"/>
  </r>
  <r>
    <n v="15453753098"/>
    <n v="182"/>
    <m/>
    <x v="34"/>
    <n v="15279322250"/>
    <x v="8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80333"/>
    <s v="Produto 14"/>
    <n v="200"/>
    <n v="13.5"/>
    <n v="11.76"/>
    <n v="10.747"/>
    <n v="2700"/>
    <n v="68"/>
    <s v="PRFL.00.0024"/>
    <n v="0"/>
    <n v="0"/>
    <s v="HENRIQUE"/>
    <m/>
    <m/>
    <m/>
    <d v="2021-12-03T08:37:00"/>
    <n v="0"/>
    <n v="0"/>
    <x v="1"/>
    <n v="280"/>
  </r>
  <r>
    <n v="15473720116"/>
    <n v="183"/>
    <m/>
    <x v="35"/>
    <n v="15295556615"/>
    <x v="14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99089"/>
    <s v="Produto 05"/>
    <n v="200"/>
    <n v="21.65"/>
    <n v="0"/>
    <n v="16.804400000000001"/>
    <n v="4330"/>
    <n v="79"/>
    <s v="PRFL.00.0027"/>
    <n v="0"/>
    <n v="0"/>
    <s v="AMANDA HUBBE"/>
    <m/>
    <m/>
    <m/>
    <d v="2021-12-06T14:02:00"/>
    <n v="0"/>
    <n v="0"/>
    <x v="5"/>
    <n v="120"/>
  </r>
  <r>
    <n v="15473720116"/>
    <n v="183"/>
    <m/>
    <x v="35"/>
    <n v="15295556615"/>
    <x v="13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87271"/>
    <s v="Produto 12"/>
    <n v="110"/>
    <n v="18.55"/>
    <n v="0"/>
    <n v="14.4596"/>
    <n v="2040.5"/>
    <n v="79"/>
    <s v="PRFL.00.0025"/>
    <n v="0"/>
    <n v="0"/>
    <s v="AMANDA HUBBE"/>
    <m/>
    <m/>
    <m/>
    <d v="2021-12-06T14:02:00"/>
    <n v="0"/>
    <n v="0"/>
    <x v="15"/>
    <n v="154"/>
  </r>
  <r>
    <n v="15481553915"/>
    <n v="185"/>
    <m/>
    <x v="35"/>
    <n v="15481553907"/>
    <x v="6"/>
    <s v="06.293.474/0001-55"/>
    <s v="Rodovia do papel,Pr,160, 550, N/A"/>
    <s v="AREA 01"/>
    <s v="Telêmaco Borba"/>
    <n v="0"/>
    <s v="PR"/>
    <s v="jonasdeoliver@gmail.com"/>
    <n v="4299826321"/>
    <n v="0"/>
    <n v="150"/>
    <m/>
    <s v="Atendido"/>
    <n v="15016043939"/>
    <s v="Produto 10"/>
    <n v="100"/>
    <n v="14.25"/>
    <n v="0"/>
    <n v="10.747"/>
    <n v="1425"/>
    <n v="106"/>
    <s v="PRFL.00.0019"/>
    <n v="72.959999999999994"/>
    <n v="0"/>
    <s v="AMANDA HUBBE"/>
    <m/>
    <m/>
    <m/>
    <d v="2021-12-06T10:58:00"/>
    <n v="0"/>
    <n v="0"/>
    <x v="3"/>
    <n v="110.00000000000001"/>
  </r>
  <r>
    <n v="15481553915"/>
    <n v="185"/>
    <m/>
    <x v="35"/>
    <n v="15481553907"/>
    <x v="18"/>
    <s v="06.293.474/0001-55"/>
    <s v="Rodovia do papel,Pr,160, 550, N/A"/>
    <s v="AREA 01"/>
    <s v="Telêmaco Borba"/>
    <n v="0"/>
    <s v="PR"/>
    <s v="jonasdeoliver@gmail.com"/>
    <n v="4299826321"/>
    <n v="0"/>
    <n v="150"/>
    <m/>
    <s v="Atendido"/>
    <n v="15016049144"/>
    <s v="Produto 03"/>
    <n v="60"/>
    <n v="8.3800000000000008"/>
    <n v="0"/>
    <n v="5.8620000000000001"/>
    <n v="502.8"/>
    <n v="106"/>
    <s v="PRFL.00.0020"/>
    <n v="25.74"/>
    <n v="0"/>
    <s v="AMANDA HUBBE"/>
    <m/>
    <m/>
    <m/>
    <d v="2021-12-06T10:58:00"/>
    <n v="0"/>
    <n v="0"/>
    <x v="13"/>
    <n v="36"/>
  </r>
  <r>
    <n v="15481553915"/>
    <n v="185"/>
    <m/>
    <x v="35"/>
    <n v="15481553907"/>
    <x v="11"/>
    <s v="06.293.474/0001-55"/>
    <s v="Rodovia do papel,Pr,160, 550, N/A"/>
    <s v="AREA 01"/>
    <s v="Telêmaco Borba"/>
    <n v="0"/>
    <s v="PR"/>
    <s v="jonasdeoliver@gmail.com"/>
    <n v="4299826321"/>
    <n v="0"/>
    <n v="150"/>
    <m/>
    <s v="Atendido"/>
    <n v="15015511068"/>
    <s v="Produto 08"/>
    <n v="60"/>
    <n v="16.7"/>
    <n v="0"/>
    <n v="10.23"/>
    <n v="1002"/>
    <n v="106"/>
    <s v="PRFL.00.0005"/>
    <n v="51.3"/>
    <n v="0"/>
    <s v="AMANDA HUBBE"/>
    <m/>
    <m/>
    <m/>
    <d v="2021-12-06T10:58:00"/>
    <n v="0"/>
    <n v="0"/>
    <x v="14"/>
    <n v="66"/>
  </r>
  <r>
    <n v="15492525771"/>
    <n v="194"/>
    <m/>
    <x v="35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9"/>
    <n v="200"/>
    <n v="12.38"/>
    <n v="12.2"/>
    <n v="10.747"/>
    <n v="2476"/>
    <n v="41"/>
    <s v="PRFL.00.0019"/>
    <n v="0"/>
    <n v="0"/>
    <s v="HENRIQUE"/>
    <m/>
    <m/>
    <m/>
    <d v="2021-12-06T14:01:00"/>
    <n v="0"/>
    <n v="0"/>
    <x v="4"/>
    <n v="220.00000000000003"/>
  </r>
  <r>
    <n v="15492525771"/>
    <n v="194"/>
    <m/>
    <x v="35"/>
    <n v="15179581888"/>
    <x v="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9144"/>
    <s v="Produto 12"/>
    <n v="200"/>
    <n v="7.04"/>
    <n v="14.98"/>
    <n v="5.8620000000000001"/>
    <n v="1408"/>
    <n v="41"/>
    <s v="PRFL.00.0020"/>
    <n v="0"/>
    <n v="0"/>
    <s v="HENRIQUE"/>
    <m/>
    <m/>
    <m/>
    <d v="2021-12-06T14:01:00"/>
    <n v="0"/>
    <n v="0"/>
    <x v="15"/>
    <n v="280"/>
  </r>
  <r>
    <n v="15492525771"/>
    <n v="194"/>
    <m/>
    <x v="35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03"/>
    <n v="100"/>
    <n v="14.9"/>
    <n v="10.24"/>
    <n v="10.23"/>
    <n v="1490"/>
    <n v="41"/>
    <s v="PRFL.00.0005"/>
    <n v="0"/>
    <n v="0"/>
    <s v="HENRIQUE"/>
    <m/>
    <m/>
    <m/>
    <d v="2021-12-06T14:01:00"/>
    <n v="0"/>
    <n v="0"/>
    <x v="13"/>
    <n v="60"/>
  </r>
  <r>
    <n v="15488819943"/>
    <n v="187"/>
    <m/>
    <x v="36"/>
    <n v="15488819921"/>
    <x v="13"/>
    <s v="41.513.838/0001-66"/>
    <s v="RUA TUPY, 1877"/>
    <s v="NOVA BRASILIA"/>
    <s v="Joinville"/>
    <n v="89214505"/>
    <s v="SC"/>
    <s v="adilson.moraescont@gmail.com"/>
    <n v="47996868165"/>
    <n v="0"/>
    <n v="0"/>
    <m/>
    <s v="Atendido"/>
    <n v="15016043939"/>
    <s v="Produto 03"/>
    <n v="150"/>
    <n v="12.8"/>
    <n v="0"/>
    <n v="10.747"/>
    <n v="1920"/>
    <n v="108"/>
    <s v="PRFL.00.0019"/>
    <n v="0"/>
    <n v="0"/>
    <s v="FERNANDO CARDOSO"/>
    <m/>
    <m/>
    <m/>
    <d v="2021-12-07T16:29:00"/>
    <n v="0"/>
    <n v="0"/>
    <x v="13"/>
    <n v="90"/>
  </r>
  <r>
    <n v="15488819943"/>
    <n v="187"/>
    <m/>
    <x v="36"/>
    <n v="15488819921"/>
    <x v="11"/>
    <s v="41.513.838/0001-66"/>
    <s v="RUA TUPY, 1877"/>
    <s v="NOVA BRASILIA"/>
    <s v="Joinville"/>
    <n v="89214505"/>
    <s v="SC"/>
    <s v="adilson.moraescont@gmail.com"/>
    <n v="47996868165"/>
    <n v="0"/>
    <n v="0"/>
    <m/>
    <s v="Atendido"/>
    <n v="15016093155"/>
    <s v="Produto 17"/>
    <n v="100"/>
    <n v="17.3"/>
    <n v="0"/>
    <n v="14.4596"/>
    <n v="1730"/>
    <n v="108"/>
    <s v="PRFL.00.0026"/>
    <n v="0"/>
    <n v="0"/>
    <s v="FERNANDO CARDOSO"/>
    <m/>
    <m/>
    <m/>
    <d v="2021-12-07T16:29:00"/>
    <n v="0"/>
    <n v="0"/>
    <x v="8"/>
    <n v="142"/>
  </r>
  <r>
    <n v="15488819943"/>
    <n v="187"/>
    <m/>
    <x v="36"/>
    <n v="15488819921"/>
    <x v="5"/>
    <s v="41.513.838/0001-66"/>
    <s v="RUA TUPY, 1877"/>
    <s v="NOVA BRASILIA"/>
    <s v="Joinville"/>
    <n v="89214505"/>
    <s v="SC"/>
    <s v="adilson.moraescont@gmail.com"/>
    <n v="47996868165"/>
    <n v="0"/>
    <n v="0"/>
    <m/>
    <s v="Atendido"/>
    <n v="15016080333"/>
    <s v="Produto 03"/>
    <n v="50"/>
    <n v="13.4"/>
    <n v="0"/>
    <n v="10.747"/>
    <n v="670"/>
    <n v="108"/>
    <s v="PRFL.00.0024"/>
    <n v="0"/>
    <n v="0"/>
    <s v="FERNANDO CARDOSO"/>
    <m/>
    <m/>
    <m/>
    <d v="2021-12-07T16:29:00"/>
    <n v="0"/>
    <n v="0"/>
    <x v="13"/>
    <n v="30"/>
  </r>
  <r>
    <n v="15488819943"/>
    <n v="187"/>
    <m/>
    <x v="36"/>
    <n v="15488819921"/>
    <x v="2"/>
    <s v="41.513.838/0001-66"/>
    <s v="RUA TUPY, 1877"/>
    <s v="NOVA BRASILIA"/>
    <s v="Joinville"/>
    <n v="89214505"/>
    <s v="SC"/>
    <s v="adilson.moraescont@gmail.com"/>
    <n v="47996868165"/>
    <n v="0"/>
    <n v="0"/>
    <m/>
    <s v="Atendido"/>
    <n v="15016099089"/>
    <s v="Produto 11"/>
    <n v="50"/>
    <n v="20.3"/>
    <n v="0"/>
    <n v="16.804400000000001"/>
    <n v="1015"/>
    <n v="108"/>
    <s v="PRFL.00.0027"/>
    <n v="0"/>
    <n v="0"/>
    <s v="FERNANDO CARDOSO"/>
    <m/>
    <m/>
    <m/>
    <d v="2021-12-07T16:29:00"/>
    <n v="0"/>
    <n v="0"/>
    <x v="11"/>
    <n v="55.000000000000007"/>
  </r>
  <r>
    <n v="15488819943"/>
    <n v="187"/>
    <m/>
    <x v="36"/>
    <n v="15488819921"/>
    <x v="7"/>
    <s v="41.513.838/0001-66"/>
    <s v="RUA TUPY, 1877"/>
    <s v="NOVA BRASILIA"/>
    <s v="Joinville"/>
    <n v="89214505"/>
    <s v="SC"/>
    <s v="adilson.moraescont@gmail.com"/>
    <n v="47996868165"/>
    <n v="0"/>
    <n v="0"/>
    <m/>
    <s v="Atendido"/>
    <n v="15015511068"/>
    <s v="Produto 06"/>
    <n v="100"/>
    <n v="15"/>
    <n v="0"/>
    <n v="10.23"/>
    <n v="1500"/>
    <n v="108"/>
    <s v="PRFL.00.0005"/>
    <n v="0"/>
    <n v="0"/>
    <s v="FERNANDO CARDOSO"/>
    <m/>
    <m/>
    <m/>
    <d v="2021-12-07T16:29:00"/>
    <n v="0"/>
    <n v="0"/>
    <x v="0"/>
    <n v="50"/>
  </r>
  <r>
    <n v="15488819943"/>
    <n v="187"/>
    <m/>
    <x v="36"/>
    <n v="15488819921"/>
    <x v="2"/>
    <s v="41.513.838/0001-66"/>
    <s v="RUA TUPY, 1877"/>
    <s v="NOVA BRASILIA"/>
    <s v="Joinville"/>
    <n v="89214505"/>
    <s v="SC"/>
    <s v="adilson.moraescont@gmail.com"/>
    <n v="47996868165"/>
    <n v="0"/>
    <n v="0"/>
    <m/>
    <s v="Atendido"/>
    <n v="15139727614"/>
    <s v="Produto 08"/>
    <n v="30"/>
    <n v="22.6"/>
    <n v="0"/>
    <n v="0"/>
    <n v="678"/>
    <n v="108"/>
    <s v="PRFL.00.0029"/>
    <n v="0"/>
    <n v="0"/>
    <s v="FERNANDO CARDOSO"/>
    <m/>
    <m/>
    <m/>
    <d v="2021-12-07T16:29:00"/>
    <n v="0"/>
    <n v="0"/>
    <x v="14"/>
    <n v="33"/>
  </r>
  <r>
    <n v="15488819943"/>
    <n v="187"/>
    <m/>
    <x v="36"/>
    <n v="15488819921"/>
    <x v="17"/>
    <s v="41.513.838/0001-66"/>
    <s v="RUA TUPY, 1877"/>
    <s v="NOVA BRASILIA"/>
    <s v="Joinville"/>
    <n v="89214505"/>
    <s v="SC"/>
    <s v="adilson.moraescont@gmail.com"/>
    <n v="47996868165"/>
    <n v="0"/>
    <n v="0"/>
    <m/>
    <s v="Atendido"/>
    <n v="15139667431"/>
    <s v="Produto 04"/>
    <n v="20"/>
    <n v="20.2"/>
    <n v="0"/>
    <n v="0"/>
    <n v="404"/>
    <n v="108"/>
    <s v="PRFL.00.0028"/>
    <n v="0"/>
    <n v="0"/>
    <s v="FERNANDO CARDOSO"/>
    <m/>
    <m/>
    <m/>
    <d v="2021-12-07T16:29:00"/>
    <n v="0"/>
    <n v="0"/>
    <x v="10"/>
    <n v="12"/>
  </r>
  <r>
    <n v="15490325529"/>
    <n v="188"/>
    <m/>
    <x v="36"/>
    <n v="15179701182"/>
    <x v="16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43939"/>
    <s v="Produto 13"/>
    <n v="300"/>
    <n v="12.8"/>
    <n v="0"/>
    <n v="10.747"/>
    <n v="3840"/>
    <n v="46"/>
    <s v="PRFL.00.0019"/>
    <n v="0"/>
    <n v="0"/>
    <s v="HENRIQUE"/>
    <m/>
    <m/>
    <m/>
    <d v="2021-12-07T14:00:00"/>
    <n v="0"/>
    <n v="0"/>
    <x v="2"/>
    <n v="420"/>
  </r>
  <r>
    <n v="15490325529"/>
    <n v="188"/>
    <m/>
    <x v="36"/>
    <n v="15179701182"/>
    <x v="6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80333"/>
    <s v="Produto 15"/>
    <n v="50"/>
    <n v="13.4"/>
    <n v="0"/>
    <n v="10.747"/>
    <n v="670"/>
    <n v="46"/>
    <s v="PRFL.00.0024"/>
    <n v="0"/>
    <n v="0"/>
    <s v="HENRIQUE"/>
    <m/>
    <m/>
    <m/>
    <d v="2021-12-07T14:00:00"/>
    <n v="0"/>
    <n v="0"/>
    <x v="16"/>
    <n v="71"/>
  </r>
  <r>
    <n v="15490325529"/>
    <n v="188"/>
    <m/>
    <x v="36"/>
    <n v="15179701182"/>
    <x v="1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93155"/>
    <s v="Produto 14"/>
    <n v="200"/>
    <n v="17.3"/>
    <n v="0"/>
    <n v="14.4596"/>
    <n v="3460"/>
    <n v="46"/>
    <s v="PRFL.00.0026"/>
    <n v="0"/>
    <n v="0"/>
    <s v="HENRIQUE"/>
    <m/>
    <m/>
    <m/>
    <d v="2021-12-07T14:00:00"/>
    <n v="0"/>
    <n v="0"/>
    <x v="1"/>
    <n v="280"/>
  </r>
  <r>
    <n v="15490325529"/>
    <n v="188"/>
    <m/>
    <x v="36"/>
    <n v="15179701182"/>
    <x v="12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6099089"/>
    <s v="Produto 13"/>
    <n v="120"/>
    <n v="20.3"/>
    <n v="0"/>
    <n v="16.804400000000001"/>
    <n v="2436"/>
    <n v="46"/>
    <s v="PRFL.00.0027"/>
    <n v="0"/>
    <n v="0"/>
    <s v="HENRIQUE"/>
    <m/>
    <m/>
    <m/>
    <d v="2021-12-07T14:00:00"/>
    <n v="0"/>
    <n v="0"/>
    <x v="2"/>
    <n v="168"/>
  </r>
  <r>
    <n v="15490325529"/>
    <n v="188"/>
    <m/>
    <x v="36"/>
    <n v="15179701182"/>
    <x v="18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918644"/>
    <s v="Produto 15"/>
    <n v="400"/>
    <n v="7.3"/>
    <n v="0"/>
    <n v="5.61"/>
    <n v="2920"/>
    <n v="46"/>
    <s v="PRFL.00.0011"/>
    <n v="0"/>
    <n v="0"/>
    <s v="HENRIQUE"/>
    <m/>
    <m/>
    <m/>
    <d v="2021-12-07T14:00:00"/>
    <n v="0"/>
    <n v="0"/>
    <x v="16"/>
    <n v="568"/>
  </r>
  <r>
    <n v="15490325529"/>
    <n v="188"/>
    <m/>
    <x v="36"/>
    <n v="15179701182"/>
    <x v="3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511068"/>
    <s v="Produto 02"/>
    <n v="20"/>
    <n v="15"/>
    <n v="9.64"/>
    <n v="10.23"/>
    <n v="300"/>
    <n v="46"/>
    <s v="PRFL.00.0005"/>
    <n v="0"/>
    <n v="0"/>
    <s v="HENRIQUE"/>
    <m/>
    <m/>
    <m/>
    <d v="2021-12-07T14:00:00"/>
    <n v="0"/>
    <n v="0"/>
    <x v="6"/>
    <n v="5.4"/>
  </r>
  <r>
    <n v="15490325529"/>
    <n v="188"/>
    <m/>
    <x v="36"/>
    <n v="15179701182"/>
    <x v="5"/>
    <s v="09.171.164/0001-56"/>
    <s v="RUA MARIO LIMA DOS SANTOS, 59"/>
    <s v="ESTRELA"/>
    <s v="Ponta Grossa"/>
    <n v="84050290"/>
    <s v="PR"/>
    <s v="Vilavelha@vilavelha.com"/>
    <n v="42999659968"/>
    <n v="0"/>
    <n v="0"/>
    <m/>
    <s v="Atendido"/>
    <n v="15015511068"/>
    <s v="Produto 06"/>
    <n v="100"/>
    <n v="14.5"/>
    <n v="12.65"/>
    <n v="10.23"/>
    <n v="1450"/>
    <n v="46"/>
    <s v="PRFL.00.0005"/>
    <n v="0"/>
    <n v="0"/>
    <s v="HENRIQUE"/>
    <m/>
    <m/>
    <m/>
    <d v="2021-12-07T14:00:00"/>
    <n v="0"/>
    <n v="0"/>
    <x v="0"/>
    <n v="50"/>
  </r>
  <r>
    <n v="15493515501"/>
    <n v="195"/>
    <m/>
    <x v="36"/>
    <n v="15493515488"/>
    <x v="16"/>
    <s v="30.161.967/0001-16"/>
    <s v="Av. Osvaldo Jardim, 842, -"/>
    <s v="Santa rita"/>
    <s v="Guaíba"/>
    <n v="92709625"/>
    <s v="RS"/>
    <s v="ccsgesso@gmail.com"/>
    <n v="51995483061"/>
    <n v="0"/>
    <n v="0"/>
    <m/>
    <s v="Atendido"/>
    <n v="15290493701"/>
    <s v="Produto 05"/>
    <n v="200"/>
    <n v="6.6"/>
    <n v="0"/>
    <n v="5.8620000000000001"/>
    <n v="1320"/>
    <n v="109"/>
    <s v="PRFL.00.0030"/>
    <n v="0"/>
    <n v="0"/>
    <s v="FERNANDO CARDOSO"/>
    <m/>
    <m/>
    <m/>
    <d v="2021-12-10T15:12:00"/>
    <n v="0"/>
    <n v="0"/>
    <x v="5"/>
    <n v="120"/>
  </r>
  <r>
    <n v="15493515501"/>
    <n v="195"/>
    <m/>
    <x v="36"/>
    <n v="15493515488"/>
    <x v="17"/>
    <s v="30.161.967/0001-16"/>
    <s v="Av. Osvaldo Jardim, 842, -"/>
    <s v="Santa rita"/>
    <s v="Guaíba"/>
    <n v="92709625"/>
    <s v="RS"/>
    <s v="ccsgesso@gmail.com"/>
    <n v="51995483061"/>
    <n v="0"/>
    <n v="0"/>
    <m/>
    <s v="Atendido"/>
    <n v="15016043939"/>
    <s v="Produto 04"/>
    <n v="500"/>
    <n v="12.8"/>
    <n v="0"/>
    <n v="10.747"/>
    <n v="6400"/>
    <n v="109"/>
    <s v="PRFL.00.0019"/>
    <n v="0"/>
    <n v="0"/>
    <s v="FERNANDO CARDOSO"/>
    <m/>
    <m/>
    <m/>
    <d v="2021-12-10T15:12:00"/>
    <n v="0"/>
    <n v="0"/>
    <x v="10"/>
    <n v="300"/>
  </r>
  <r>
    <n v="15493515501"/>
    <n v="195"/>
    <m/>
    <x v="36"/>
    <n v="15493515488"/>
    <x v="6"/>
    <s v="30.161.967/0001-16"/>
    <s v="Av. Osvaldo Jardim, 842, -"/>
    <s v="Santa rita"/>
    <s v="Guaíba"/>
    <n v="92709625"/>
    <s v="RS"/>
    <s v="ccsgesso@gmail.com"/>
    <n v="51995483061"/>
    <n v="0"/>
    <n v="0"/>
    <m/>
    <s v="Atendido"/>
    <n v="15016049144"/>
    <s v="Produto 12"/>
    <n v="300"/>
    <n v="7.3"/>
    <n v="0"/>
    <n v="5.8620000000000001"/>
    <n v="2190"/>
    <n v="109"/>
    <s v="PRFL.00.0020"/>
    <n v="0"/>
    <n v="0"/>
    <s v="FERNANDO CARDOSO"/>
    <m/>
    <m/>
    <m/>
    <d v="2021-12-10T15:12:00"/>
    <n v="0"/>
    <n v="0"/>
    <x v="15"/>
    <n v="420"/>
  </r>
  <r>
    <n v="15493515501"/>
    <n v="195"/>
    <m/>
    <x v="36"/>
    <n v="15493515488"/>
    <x v="18"/>
    <s v="30.161.967/0001-16"/>
    <s v="Av. Osvaldo Jardim, 842, -"/>
    <s v="Santa rita"/>
    <s v="Guaíba"/>
    <n v="92709625"/>
    <s v="RS"/>
    <s v="ccsgesso@gmail.com"/>
    <n v="51995483061"/>
    <n v="0"/>
    <n v="0"/>
    <m/>
    <s v="Atendido"/>
    <n v="15016080333"/>
    <s v="Produto 17"/>
    <n v="100"/>
    <n v="13.4"/>
    <n v="0"/>
    <n v="10.747"/>
    <n v="1340"/>
    <n v="109"/>
    <s v="PRFL.00.0024"/>
    <n v="0"/>
    <n v="0"/>
    <s v="FERNANDO CARDOSO"/>
    <m/>
    <m/>
    <m/>
    <d v="2021-12-10T15:12:00"/>
    <n v="0"/>
    <n v="0"/>
    <x v="8"/>
    <n v="142"/>
  </r>
  <r>
    <n v="15493515501"/>
    <n v="195"/>
    <m/>
    <x v="36"/>
    <n v="15493515488"/>
    <x v="2"/>
    <s v="30.161.967/0001-16"/>
    <s v="Av. Osvaldo Jardim, 842, -"/>
    <s v="Santa rita"/>
    <s v="Guaíba"/>
    <n v="92709625"/>
    <s v="RS"/>
    <s v="ccsgesso@gmail.com"/>
    <n v="51995483061"/>
    <n v="0"/>
    <n v="0"/>
    <m/>
    <s v="Atendido"/>
    <n v="15016093155"/>
    <s v="Produto 08"/>
    <n v="200"/>
    <n v="17.3"/>
    <n v="0"/>
    <n v="14.4596"/>
    <n v="3460"/>
    <n v="109"/>
    <s v="PRFL.00.0026"/>
    <n v="0"/>
    <n v="0"/>
    <s v="FERNANDO CARDOSO"/>
    <m/>
    <m/>
    <m/>
    <d v="2021-12-10T15:12:00"/>
    <n v="0"/>
    <n v="0"/>
    <x v="14"/>
    <n v="220.00000000000003"/>
  </r>
  <r>
    <n v="15493515501"/>
    <n v="195"/>
    <m/>
    <x v="36"/>
    <n v="15493515488"/>
    <x v="18"/>
    <s v="30.161.967/0001-16"/>
    <s v="Av. Osvaldo Jardim, 842, -"/>
    <s v="Santa rita"/>
    <s v="Guaíba"/>
    <n v="92709625"/>
    <s v="RS"/>
    <s v="ccsgesso@gmail.com"/>
    <n v="51995483061"/>
    <n v="0"/>
    <n v="0"/>
    <m/>
    <s v="Atendido"/>
    <n v="15016087271"/>
    <s v="Produto 12"/>
    <n v="100"/>
    <n v="17.3"/>
    <n v="0"/>
    <n v="14.4596"/>
    <n v="1730"/>
    <n v="109"/>
    <s v="PRFL.00.0025"/>
    <n v="0"/>
    <n v="0"/>
    <s v="FERNANDO CARDOSO"/>
    <m/>
    <m/>
    <m/>
    <d v="2021-12-10T15:12:00"/>
    <n v="0"/>
    <n v="0"/>
    <x v="15"/>
    <n v="140"/>
  </r>
  <r>
    <n v="15493515501"/>
    <n v="195"/>
    <m/>
    <x v="36"/>
    <n v="15493515488"/>
    <x v="12"/>
    <s v="30.161.967/0001-16"/>
    <s v="Av. Osvaldo Jardim, 842, -"/>
    <s v="Santa rita"/>
    <s v="Guaíba"/>
    <n v="92709625"/>
    <s v="RS"/>
    <s v="ccsgesso@gmail.com"/>
    <n v="51995483061"/>
    <n v="0"/>
    <n v="0"/>
    <m/>
    <s v="Atendido"/>
    <n v="15016099089"/>
    <s v="Produto 01"/>
    <n v="200"/>
    <n v="20.3"/>
    <n v="0"/>
    <n v="16.804400000000001"/>
    <n v="4060"/>
    <n v="109"/>
    <s v="PRFL.00.0027"/>
    <n v="0"/>
    <n v="0"/>
    <s v="FERNANDO CARDOSO"/>
    <m/>
    <m/>
    <m/>
    <d v="2021-12-10T15:12:00"/>
    <n v="0"/>
    <n v="0"/>
    <x v="7"/>
    <n v="80"/>
  </r>
  <r>
    <n v="15493515501"/>
    <n v="195"/>
    <m/>
    <x v="36"/>
    <n v="15493515488"/>
    <x v="1"/>
    <s v="30.161.967/0001-16"/>
    <s v="Av. Osvaldo Jardim, 842, -"/>
    <s v="Santa rita"/>
    <s v="Guaíba"/>
    <n v="92709625"/>
    <s v="RS"/>
    <s v="ccsgesso@gmail.com"/>
    <n v="51995483061"/>
    <n v="0"/>
    <n v="0"/>
    <m/>
    <s v="Atendido"/>
    <n v="15015511068"/>
    <s v="Produto 15"/>
    <n v="200"/>
    <n v="15"/>
    <n v="9.64"/>
    <n v="10.23"/>
    <n v="3000"/>
    <n v="109"/>
    <s v="PRFL.00.0005"/>
    <n v="0"/>
    <n v="0"/>
    <s v="FERNANDO CARDOSO"/>
    <m/>
    <m/>
    <m/>
    <d v="2021-12-10T15:12:00"/>
    <n v="0"/>
    <n v="0"/>
    <x v="16"/>
    <n v="284"/>
  </r>
  <r>
    <n v="15500579450"/>
    <n v="196"/>
    <m/>
    <x v="37"/>
    <n v="15058698393"/>
    <x v="18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93155"/>
    <s v="Produto 01"/>
    <n v="150"/>
    <n v="16.7"/>
    <n v="0"/>
    <n v="14.4596"/>
    <n v="2505"/>
    <n v="18"/>
    <s v="PRFL.00.0026"/>
    <n v="0"/>
    <n v="0"/>
    <s v="HENRIQUE"/>
    <m/>
    <m/>
    <m/>
    <d v="2021-12-08T13:39:00"/>
    <n v="0"/>
    <n v="0"/>
    <x v="7"/>
    <n v="60"/>
  </r>
  <r>
    <n v="15500579450"/>
    <n v="196"/>
    <m/>
    <x v="37"/>
    <n v="15058698393"/>
    <x v="14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99089"/>
    <s v="Produto 17"/>
    <n v="200"/>
    <n v="19.3"/>
    <n v="0"/>
    <n v="16.804400000000001"/>
    <n v="3860"/>
    <n v="18"/>
    <s v="PRFL.00.0027"/>
    <n v="0"/>
    <n v="0"/>
    <s v="HENRIQUE"/>
    <m/>
    <m/>
    <m/>
    <d v="2021-12-08T13:39:00"/>
    <n v="0"/>
    <n v="0"/>
    <x v="8"/>
    <n v="284"/>
  </r>
  <r>
    <n v="15500579450"/>
    <n v="196"/>
    <m/>
    <x v="37"/>
    <n v="15058698393"/>
    <x v="3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5720950"/>
    <s v="Produto 02"/>
    <n v="100"/>
    <n v="13.5"/>
    <n v="11.76"/>
    <n v="10.23"/>
    <n v="1350"/>
    <n v="18"/>
    <s v="PRFL.00.0006"/>
    <n v="0"/>
    <n v="0"/>
    <s v="HENRIQUE"/>
    <m/>
    <m/>
    <m/>
    <d v="2021-12-08T13:39:00"/>
    <n v="0"/>
    <n v="0"/>
    <x v="6"/>
    <n v="27"/>
  </r>
  <r>
    <n v="15501401513"/>
    <n v="197"/>
    <m/>
    <x v="37"/>
    <n v="15501401501"/>
    <x v="7"/>
    <s v="07.870.277/0001-14"/>
    <s v="Hirto Melegari, 370, -"/>
    <s v="Sagrado coração de Jesus"/>
    <s v="Lages"/>
    <n v="88508395"/>
    <s v="SC"/>
    <s v="gessolargesso@gmail.com"/>
    <n v="49999519233"/>
    <n v="0"/>
    <n v="700"/>
    <m/>
    <s v="Atendido"/>
    <n v="15016043939"/>
    <s v="Produto 10"/>
    <n v="200"/>
    <n v="12.8"/>
    <n v="0"/>
    <n v="10.747"/>
    <n v="2560"/>
    <n v="110"/>
    <s v="PRFL.00.0019"/>
    <n v="110.96"/>
    <n v="0"/>
    <s v="FERNANDO CARDOSO"/>
    <m/>
    <m/>
    <m/>
    <d v="2021-12-09T17:23:00"/>
    <n v="0"/>
    <n v="0"/>
    <x v="3"/>
    <n v="220.00000000000003"/>
  </r>
  <r>
    <n v="15501401513"/>
    <n v="197"/>
    <m/>
    <x v="37"/>
    <n v="15501401501"/>
    <x v="7"/>
    <s v="07.870.277/0001-14"/>
    <s v="Hirto Melegari, 370, -"/>
    <s v="Sagrado coração de Jesus"/>
    <s v="Lages"/>
    <n v="88508395"/>
    <s v="SC"/>
    <s v="gessolargesso@gmail.com"/>
    <n v="49999519233"/>
    <n v="0"/>
    <n v="700"/>
    <m/>
    <s v="Atendido"/>
    <n v="15016080333"/>
    <s v="Produto 09"/>
    <n v="100"/>
    <n v="13.4"/>
    <n v="0"/>
    <n v="10.747"/>
    <n v="1340"/>
    <n v="110"/>
    <s v="PRFL.00.0024"/>
    <n v="58.08"/>
    <n v="0"/>
    <s v="FERNANDO CARDOSO"/>
    <m/>
    <m/>
    <m/>
    <d v="2021-12-09T17:23:00"/>
    <n v="0"/>
    <n v="0"/>
    <x v="4"/>
    <n v="110.00000000000001"/>
  </r>
  <r>
    <n v="15501401513"/>
    <n v="197"/>
    <m/>
    <x v="37"/>
    <n v="15501401501"/>
    <x v="18"/>
    <s v="07.870.277/0001-14"/>
    <s v="Hirto Melegari, 370, -"/>
    <s v="Sagrado coração de Jesus"/>
    <s v="Lages"/>
    <n v="88508395"/>
    <s v="SC"/>
    <s v="gessolargesso@gmail.com"/>
    <n v="49999519233"/>
    <n v="0"/>
    <n v="700"/>
    <m/>
    <s v="Atendido"/>
    <n v="15016087271"/>
    <s v="Produto 09"/>
    <n v="150"/>
    <n v="17.3"/>
    <n v="0"/>
    <n v="14.4596"/>
    <n v="2595"/>
    <n v="110"/>
    <s v="PRFL.00.0025"/>
    <n v="112.48"/>
    <n v="0"/>
    <s v="FERNANDO CARDOSO"/>
    <m/>
    <m/>
    <m/>
    <d v="2021-12-09T17:23:00"/>
    <n v="0"/>
    <n v="0"/>
    <x v="4"/>
    <n v="165"/>
  </r>
  <r>
    <n v="15501401513"/>
    <n v="197"/>
    <m/>
    <x v="37"/>
    <n v="15501401501"/>
    <x v="18"/>
    <s v="07.870.277/0001-14"/>
    <s v="Hirto Melegari, 370, -"/>
    <s v="Sagrado coração de Jesus"/>
    <s v="Lages"/>
    <n v="88508395"/>
    <s v="SC"/>
    <s v="gessolargesso@gmail.com"/>
    <n v="49999519233"/>
    <n v="0"/>
    <n v="700"/>
    <m/>
    <s v="Atendido"/>
    <n v="15016093155"/>
    <s v="Produto 05"/>
    <n v="150"/>
    <n v="17.3"/>
    <n v="0"/>
    <n v="14.4596"/>
    <n v="2595"/>
    <n v="110"/>
    <s v="PRFL.00.0026"/>
    <n v="112.48"/>
    <n v="0"/>
    <s v="FERNANDO CARDOSO"/>
    <m/>
    <m/>
    <m/>
    <d v="2021-12-09T17:23:00"/>
    <n v="0"/>
    <n v="0"/>
    <x v="5"/>
    <n v="90"/>
  </r>
  <r>
    <n v="15501401513"/>
    <n v="197"/>
    <m/>
    <x v="37"/>
    <n v="15501401501"/>
    <x v="10"/>
    <s v="07.870.277/0001-14"/>
    <s v="Hirto Melegari, 370, -"/>
    <s v="Sagrado coração de Jesus"/>
    <s v="Lages"/>
    <n v="88508395"/>
    <s v="SC"/>
    <s v="gessolargesso@gmail.com"/>
    <n v="49999519233"/>
    <n v="0"/>
    <n v="700"/>
    <m/>
    <s v="Atendido"/>
    <n v="15016099089"/>
    <s v="Produto 11"/>
    <n v="200"/>
    <n v="20.3"/>
    <n v="0"/>
    <n v="16.804400000000001"/>
    <n v="4060"/>
    <n v="110"/>
    <s v="PRFL.00.0027"/>
    <n v="175.98"/>
    <n v="0"/>
    <s v="FERNANDO CARDOSO"/>
    <m/>
    <m/>
    <m/>
    <d v="2021-12-09T17:23:00"/>
    <n v="0"/>
    <n v="0"/>
    <x v="11"/>
    <n v="220.00000000000003"/>
  </r>
  <r>
    <n v="15501401513"/>
    <n v="197"/>
    <m/>
    <x v="37"/>
    <n v="15501401501"/>
    <x v="5"/>
    <s v="07.870.277/0001-14"/>
    <s v="Hirto Melegari, 370, -"/>
    <s v="Sagrado coração de Jesus"/>
    <s v="Lages"/>
    <n v="88508395"/>
    <s v="SC"/>
    <s v="gessolargesso@gmail.com"/>
    <n v="49999519233"/>
    <n v="0"/>
    <n v="700"/>
    <m/>
    <s v="Atendido"/>
    <n v="15015511068"/>
    <s v="Produto 01"/>
    <n v="200"/>
    <n v="15"/>
    <n v="9.64"/>
    <n v="10.23"/>
    <n v="3000"/>
    <n v="110"/>
    <s v="PRFL.00.0005"/>
    <n v="130.03"/>
    <n v="0"/>
    <s v="FERNANDO CARDOSO"/>
    <m/>
    <m/>
    <m/>
    <d v="2021-12-09T17:23:00"/>
    <n v="0"/>
    <n v="0"/>
    <x v="7"/>
    <n v="80"/>
  </r>
  <r>
    <n v="15503780912"/>
    <n v="198"/>
    <m/>
    <x v="37"/>
    <n v="15020006032"/>
    <x v="16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43939"/>
    <s v="Produto 17"/>
    <n v="1000"/>
    <n v="12.5"/>
    <n v="0"/>
    <n v="10.747"/>
    <n v="12500"/>
    <n v="16"/>
    <s v="PRFL.00.0019"/>
    <n v="0"/>
    <n v="0"/>
    <s v="HENRIQUE"/>
    <m/>
    <m/>
    <m/>
    <d v="2021-12-13T09:06:00"/>
    <n v="0"/>
    <n v="0"/>
    <x v="8"/>
    <n v="1420"/>
  </r>
  <r>
    <n v="15520519983"/>
    <n v="199"/>
    <m/>
    <x v="38"/>
    <n v="15339582855"/>
    <x v="2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3155"/>
    <s v="Produto 17"/>
    <n v="1500"/>
    <n v="16.399999999999999"/>
    <n v="0"/>
    <n v="14.4596"/>
    <n v="24600"/>
    <n v="83"/>
    <s v="PRFL.00.0026"/>
    <n v="0"/>
    <n v="0"/>
    <s v="HENRIQUE"/>
    <m/>
    <m/>
    <m/>
    <d v="2021-12-13T09:05:00"/>
    <n v="0"/>
    <n v="0"/>
    <x v="8"/>
    <n v="2130"/>
  </r>
  <r>
    <n v="15520519983"/>
    <n v="199"/>
    <m/>
    <x v="38"/>
    <n v="15339582855"/>
    <x v="13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99089"/>
    <s v="Produto 14"/>
    <n v="1500"/>
    <n v="19.25"/>
    <n v="0"/>
    <n v="16.804400000000001"/>
    <n v="28875"/>
    <n v="83"/>
    <s v="PRFL.00.0027"/>
    <n v="0"/>
    <n v="0"/>
    <s v="HENRIQUE"/>
    <m/>
    <m/>
    <m/>
    <d v="2021-12-13T09:05:00"/>
    <n v="0"/>
    <n v="0"/>
    <x v="1"/>
    <n v="2100"/>
  </r>
  <r>
    <n v="15520519983"/>
    <n v="199"/>
    <m/>
    <x v="38"/>
    <n v="15339582855"/>
    <x v="0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43939"/>
    <s v="Produto 12"/>
    <n v="3000"/>
    <n v="12.45"/>
    <n v="0"/>
    <n v="10.747"/>
    <n v="37350"/>
    <n v="83"/>
    <s v="PRFL.00.0019"/>
    <n v="0"/>
    <n v="0"/>
    <s v="HENRIQUE"/>
    <m/>
    <m/>
    <m/>
    <d v="2021-12-13T09:05:00"/>
    <n v="0"/>
    <n v="0"/>
    <x v="15"/>
    <n v="4200"/>
  </r>
  <r>
    <n v="15520519983"/>
    <n v="199"/>
    <m/>
    <x v="38"/>
    <n v="15339582855"/>
    <x v="11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49144"/>
    <s v="Produto 15"/>
    <n v="3000"/>
    <n v="7.14"/>
    <n v="0"/>
    <n v="5.8620000000000001"/>
    <n v="21420"/>
    <n v="83"/>
    <s v="PRFL.00.0020"/>
    <n v="0"/>
    <n v="0"/>
    <s v="HENRIQUE"/>
    <m/>
    <m/>
    <m/>
    <d v="2021-12-13T09:05:00"/>
    <n v="0"/>
    <n v="0"/>
    <x v="16"/>
    <n v="4260"/>
  </r>
  <r>
    <n v="15520519983"/>
    <n v="199"/>
    <m/>
    <x v="38"/>
    <n v="15339582855"/>
    <x v="6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87271"/>
    <s v="Produto 13"/>
    <n v="500"/>
    <n v="16.64"/>
    <n v="10.3"/>
    <n v="14.4596"/>
    <n v="8320"/>
    <n v="83"/>
    <s v="PRFL.00.0025"/>
    <n v="0"/>
    <n v="0"/>
    <s v="HENRIQUE"/>
    <m/>
    <m/>
    <m/>
    <d v="2021-12-13T09:05:00"/>
    <n v="0"/>
    <n v="0"/>
    <x v="2"/>
    <n v="700"/>
  </r>
  <r>
    <n v="15520519983"/>
    <n v="199"/>
    <m/>
    <x v="38"/>
    <n v="15339582855"/>
    <x v="10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5720950"/>
    <s v="Produto 17"/>
    <n v="240"/>
    <n v="13.19"/>
    <n v="13.79"/>
    <n v="10.23"/>
    <n v="3165.6"/>
    <n v="83"/>
    <s v="PRFL.00.0006"/>
    <n v="0"/>
    <n v="0"/>
    <s v="HENRIQUE"/>
    <m/>
    <m/>
    <m/>
    <d v="2021-12-13T09:05:00"/>
    <n v="0"/>
    <n v="0"/>
    <x v="8"/>
    <n v="340.79999999999995"/>
  </r>
  <r>
    <n v="15520519983"/>
    <n v="199"/>
    <m/>
    <x v="38"/>
    <n v="15339582855"/>
    <x v="2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80333"/>
    <s v="Produto 03"/>
    <n v="260"/>
    <n v="13.19"/>
    <n v="13.79"/>
    <n v="10.747"/>
    <n v="3429.4"/>
    <n v="83"/>
    <s v="PRFL.00.0024"/>
    <n v="0"/>
    <n v="0"/>
    <s v="HENRIQUE"/>
    <m/>
    <m/>
    <m/>
    <d v="2021-12-13T09:05:00"/>
    <n v="0"/>
    <n v="0"/>
    <x v="13"/>
    <n v="156"/>
  </r>
  <r>
    <n v="15520621134"/>
    <n v="200"/>
    <m/>
    <x v="38"/>
    <n v="15520621129"/>
    <x v="1"/>
    <s v="00.843.906/0001-78"/>
    <s v="AV EXPEDICIONARIO WEBER, 875"/>
    <s v="CENTRO"/>
    <s v="Santa Rosa"/>
    <n v="98900000"/>
    <s v="RS"/>
    <s v="Marcelo@rbf.com.br"/>
    <n v="55984237563"/>
    <n v="0"/>
    <n v="0"/>
    <s v="faturar em dezembro NFE 873"/>
    <s v="Atendido"/>
    <n v="15016099089"/>
    <s v="Produto 11"/>
    <n v="2800"/>
    <n v="26.91"/>
    <n v="0"/>
    <n v="16.804400000000001"/>
    <n v="75348"/>
    <n v="124"/>
    <s v="PRFL.00.0027"/>
    <n v="0"/>
    <n v="0"/>
    <s v="HENRIQUE"/>
    <m/>
    <m/>
    <m/>
    <d v="2022-01-06T09:51:00"/>
    <n v="0"/>
    <n v="0"/>
    <x v="11"/>
    <n v="3080.0000000000005"/>
  </r>
  <r>
    <n v="15520621134"/>
    <n v="200"/>
    <m/>
    <x v="38"/>
    <n v="15520621129"/>
    <x v="18"/>
    <s v="00.843.906/0001-78"/>
    <s v="AV EXPEDICIONARIO WEBER, 875"/>
    <s v="CENTRO"/>
    <s v="Santa Rosa"/>
    <n v="98900000"/>
    <s v="RS"/>
    <s v="Marcelo@rbf.com.br"/>
    <n v="55984237563"/>
    <n v="0"/>
    <n v="0"/>
    <s v="faturar em dezembro NFE 873"/>
    <s v="Atendido"/>
    <n v="15015979692"/>
    <s v="Produto 11"/>
    <n v="1150"/>
    <n v="18.09"/>
    <n v="0"/>
    <n v="13.763999999999999"/>
    <n v="20803.5"/>
    <n v="124"/>
    <s v="PRFL.00.0016"/>
    <n v="0"/>
    <n v="0"/>
    <s v="HENRIQUE"/>
    <m/>
    <m/>
    <m/>
    <d v="2022-01-06T09:51:00"/>
    <n v="0"/>
    <n v="0"/>
    <x v="11"/>
    <n v="1265"/>
  </r>
  <r>
    <n v="15520621134"/>
    <n v="200"/>
    <m/>
    <x v="38"/>
    <n v="15520621129"/>
    <x v="6"/>
    <s v="00.843.906/0001-78"/>
    <s v="AV EXPEDICIONARIO WEBER, 875"/>
    <s v="CENTRO"/>
    <s v="Santa Rosa"/>
    <n v="98900000"/>
    <s v="RS"/>
    <s v="Marcelo@rbf.com.br"/>
    <n v="55984237563"/>
    <n v="0"/>
    <n v="0"/>
    <s v="faturar em dezembro NFE 873"/>
    <s v="Atendido"/>
    <n v="15016049144"/>
    <s v="Produto 07"/>
    <n v="1050"/>
    <n v="7.8"/>
    <n v="0"/>
    <n v="5.8620000000000001"/>
    <n v="8190"/>
    <n v="124"/>
    <s v="PRFL.00.0020"/>
    <n v="0"/>
    <n v="0"/>
    <s v="HENRIQUE"/>
    <m/>
    <m/>
    <m/>
    <d v="2022-01-06T09:51:00"/>
    <n v="0"/>
    <n v="0"/>
    <x v="12"/>
    <n v="1155"/>
  </r>
  <r>
    <n v="15520864360"/>
    <n v="201"/>
    <m/>
    <x v="38"/>
    <n v="15179608501"/>
    <x v="9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49144"/>
    <s v="Produto 05"/>
    <n v="300"/>
    <n v="7.5"/>
    <n v="0"/>
    <n v="5.8620000000000001"/>
    <n v="2250"/>
    <n v="42"/>
    <s v="PRFL.00.0020"/>
    <n v="0"/>
    <n v="0"/>
    <s v="HENRIQUE"/>
    <m/>
    <m/>
    <m/>
    <d v="2021-12-10T15:11:00"/>
    <n v="0"/>
    <n v="0"/>
    <x v="5"/>
    <n v="180"/>
  </r>
  <r>
    <n v="15520864360"/>
    <n v="201"/>
    <m/>
    <x v="38"/>
    <n v="15179608501"/>
    <x v="1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5511068"/>
    <s v="Produto 02"/>
    <n v="300"/>
    <n v="15.5"/>
    <n v="6.63"/>
    <n v="10.23"/>
    <n v="4650"/>
    <n v="42"/>
    <s v="PRFL.00.0005"/>
    <n v="0"/>
    <n v="0"/>
    <s v="HENRIQUE"/>
    <m/>
    <m/>
    <m/>
    <d v="2021-12-10T15:11:00"/>
    <n v="0"/>
    <n v="0"/>
    <x v="6"/>
    <n v="81"/>
  </r>
  <r>
    <n v="15526145752"/>
    <n v="202"/>
    <m/>
    <x v="39"/>
    <n v="15339582855"/>
    <x v="16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43939"/>
    <s v="Produto 04"/>
    <n v="3000"/>
    <n v="12.45"/>
    <n v="0"/>
    <n v="10.747"/>
    <n v="37350"/>
    <n v="83"/>
    <s v="PRFL.00.0019"/>
    <n v="0"/>
    <n v="0"/>
    <s v="HENRIQUE"/>
    <m/>
    <m/>
    <m/>
    <d v="2021-12-10T15:10:00"/>
    <n v="0"/>
    <n v="0"/>
    <x v="10"/>
    <n v="1800"/>
  </r>
  <r>
    <n v="15526145752"/>
    <n v="202"/>
    <m/>
    <x v="39"/>
    <n v="15339582855"/>
    <x v="10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Atendido"/>
    <n v="15016080333"/>
    <s v="Produto 13"/>
    <n v="240"/>
    <n v="13.19"/>
    <n v="0"/>
    <n v="10.747"/>
    <n v="3165.6"/>
    <n v="83"/>
    <s v="PRFL.00.0024"/>
    <n v="0"/>
    <n v="0"/>
    <s v="HENRIQUE"/>
    <m/>
    <m/>
    <m/>
    <d v="2021-12-10T15:10:00"/>
    <n v="0"/>
    <n v="0"/>
    <x v="2"/>
    <n v="336"/>
  </r>
  <r>
    <n v="15528537276"/>
    <n v="203"/>
    <m/>
    <x v="39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4"/>
    <n v="100"/>
    <n v="12.38"/>
    <n v="0"/>
    <n v="10.747"/>
    <n v="1238"/>
    <n v="41"/>
    <s v="PRFL.00.0019"/>
    <n v="0"/>
    <n v="0"/>
    <s v="HENRIQUE"/>
    <m/>
    <m/>
    <m/>
    <d v="2021-12-16T14:01:00"/>
    <n v="0"/>
    <n v="0"/>
    <x v="10"/>
    <n v="60"/>
  </r>
  <r>
    <n v="15528537276"/>
    <n v="203"/>
    <m/>
    <x v="39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9144"/>
    <s v="Produto 02"/>
    <n v="100"/>
    <n v="7.04"/>
    <n v="0"/>
    <n v="5.8620000000000001"/>
    <n v="704"/>
    <n v="41"/>
    <s v="PRFL.00.0020"/>
    <n v="0"/>
    <n v="0"/>
    <s v="HENRIQUE"/>
    <m/>
    <m/>
    <m/>
    <d v="2021-12-16T14:01:00"/>
    <n v="0"/>
    <n v="0"/>
    <x v="6"/>
    <n v="27"/>
  </r>
  <r>
    <n v="15528537276"/>
    <n v="203"/>
    <m/>
    <x v="39"/>
    <n v="15179581888"/>
    <x v="1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14"/>
    <n v="50"/>
    <n v="16.5"/>
    <n v="0"/>
    <n v="14.4596"/>
    <n v="825"/>
    <n v="41"/>
    <s v="PRFL.00.0026"/>
    <n v="0"/>
    <n v="0"/>
    <s v="HENRIQUE"/>
    <m/>
    <m/>
    <m/>
    <d v="2021-12-16T14:01:00"/>
    <n v="0"/>
    <n v="0"/>
    <x v="1"/>
    <n v="70"/>
  </r>
  <r>
    <n v="15528537276"/>
    <n v="203"/>
    <m/>
    <x v="39"/>
    <n v="15179581888"/>
    <x v="1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01"/>
    <n v="30"/>
    <n v="13.4"/>
    <n v="0"/>
    <n v="10.747"/>
    <n v="402"/>
    <n v="41"/>
    <s v="PRFL.00.0024"/>
    <n v="0"/>
    <n v="0"/>
    <s v="HENRIQUE"/>
    <m/>
    <m/>
    <m/>
    <d v="2021-12-16T14:01:00"/>
    <n v="0"/>
    <n v="0"/>
    <x v="7"/>
    <n v="12"/>
  </r>
  <r>
    <n v="15528537276"/>
    <n v="203"/>
    <m/>
    <x v="39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1"/>
    <n v="50"/>
    <n v="19.25"/>
    <n v="0"/>
    <n v="16.804400000000001"/>
    <n v="962.5"/>
    <n v="41"/>
    <s v="PRFL.00.0027"/>
    <n v="0"/>
    <n v="0"/>
    <s v="HENRIQUE"/>
    <m/>
    <m/>
    <m/>
    <d v="2021-12-16T14:01:00"/>
    <n v="0"/>
    <n v="0"/>
    <x v="7"/>
    <n v="20"/>
  </r>
  <r>
    <n v="15528537276"/>
    <n v="203"/>
    <m/>
    <x v="39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15"/>
    <n v="50"/>
    <n v="14.9"/>
    <n v="10.24"/>
    <n v="10.23"/>
    <n v="745"/>
    <n v="41"/>
    <s v="PRFL.00.0005"/>
    <n v="0"/>
    <n v="0"/>
    <s v="HENRIQUE"/>
    <m/>
    <m/>
    <m/>
    <d v="2021-12-16T14:01:00"/>
    <n v="0"/>
    <n v="0"/>
    <x v="16"/>
    <n v="71"/>
  </r>
  <r>
    <n v="15528537276"/>
    <n v="203"/>
    <m/>
    <x v="39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13"/>
    <n v="30"/>
    <n v="16.5"/>
    <n v="11.05"/>
    <n v="14.4596"/>
    <n v="495"/>
    <n v="41"/>
    <s v="PRFL.00.0025"/>
    <n v="0"/>
    <n v="0"/>
    <s v="HENRIQUE"/>
    <m/>
    <m/>
    <m/>
    <d v="2021-12-16T14:01:00"/>
    <n v="0"/>
    <n v="0"/>
    <x v="2"/>
    <n v="42"/>
  </r>
  <r>
    <n v="15528537276"/>
    <n v="203"/>
    <m/>
    <x v="39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14"/>
    <n v="70"/>
    <n v="9"/>
    <n v="51.74"/>
    <n v="14.4596"/>
    <n v="630"/>
    <n v="41"/>
    <s v="PRFL.00.0026"/>
    <n v="0"/>
    <n v="0"/>
    <s v="HENRIQUE"/>
    <m/>
    <m/>
    <m/>
    <d v="2021-12-16T14:01:00"/>
    <n v="0"/>
    <n v="0"/>
    <x v="1"/>
    <n v="98"/>
  </r>
  <r>
    <n v="15528537276"/>
    <n v="203"/>
    <m/>
    <x v="39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0"/>
    <n v="80"/>
    <n v="7"/>
    <n v="50.35"/>
    <n v="10.747"/>
    <n v="560"/>
    <n v="41"/>
    <s v="PRFL.00.0019"/>
    <n v="0"/>
    <n v="0"/>
    <s v="HENRIQUE"/>
    <m/>
    <m/>
    <m/>
    <d v="2021-12-16T14:01:00"/>
    <n v="0"/>
    <n v="0"/>
    <x v="3"/>
    <n v="88"/>
  </r>
  <r>
    <n v="15528537276"/>
    <n v="203"/>
    <m/>
    <x v="39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14"/>
    <n v="50"/>
    <n v="9"/>
    <n v="51.48"/>
    <n v="14.4596"/>
    <n v="450"/>
    <n v="41"/>
    <s v="PRFL.00.0025"/>
    <n v="0"/>
    <n v="0"/>
    <s v="HENRIQUE"/>
    <m/>
    <m/>
    <m/>
    <d v="2021-12-16T14:01:00"/>
    <n v="0"/>
    <n v="0"/>
    <x v="1"/>
    <n v="70"/>
  </r>
  <r>
    <n v="15528537276"/>
    <n v="203"/>
    <m/>
    <x v="39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11"/>
    <n v="100"/>
    <n v="7.5"/>
    <n v="50.98"/>
    <n v="10.747"/>
    <n v="750"/>
    <n v="41"/>
    <s v="PRFL.00.0024"/>
    <n v="0"/>
    <n v="0"/>
    <s v="HENRIQUE"/>
    <m/>
    <m/>
    <m/>
    <d v="2021-12-16T14:01:00"/>
    <n v="0"/>
    <n v="0"/>
    <x v="11"/>
    <n v="110.00000000000001"/>
  </r>
  <r>
    <n v="15528537276"/>
    <n v="203"/>
    <m/>
    <x v="39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2"/>
    <n v="10"/>
    <n v="11"/>
    <n v="49.19"/>
    <n v="16.804400000000001"/>
    <n v="110"/>
    <n v="41"/>
    <s v="PRFL.00.0027"/>
    <n v="0"/>
    <n v="0"/>
    <s v="HENRIQUE"/>
    <m/>
    <m/>
    <m/>
    <d v="2021-12-16T14:01:00"/>
    <n v="0"/>
    <n v="0"/>
    <x v="6"/>
    <n v="2.7"/>
  </r>
  <r>
    <n v="15550772437"/>
    <n v="205"/>
    <m/>
    <x v="40"/>
    <n v="15291803674"/>
    <x v="2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43939"/>
    <s v="Produto 16"/>
    <n v="5000"/>
    <n v="12.4"/>
    <n v="0"/>
    <n v="10.747"/>
    <n v="62000"/>
    <n v="73"/>
    <s v="PRFL.00.0019"/>
    <n v="0"/>
    <n v="0"/>
    <s v="HENRIQUE"/>
    <m/>
    <m/>
    <m/>
    <d v="2021-12-17T16:55:00"/>
    <n v="0"/>
    <n v="0"/>
    <x v="9"/>
    <n v="6350"/>
  </r>
  <r>
    <n v="15550772437"/>
    <n v="205"/>
    <m/>
    <x v="40"/>
    <n v="15291803674"/>
    <x v="0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93155"/>
    <s v="Produto 10"/>
    <n v="1500"/>
    <n v="16.61"/>
    <n v="0"/>
    <n v="14.4596"/>
    <n v="24915"/>
    <n v="73"/>
    <s v="PRFL.00.0026"/>
    <n v="0"/>
    <n v="0"/>
    <s v="HENRIQUE"/>
    <m/>
    <m/>
    <m/>
    <d v="2021-12-17T16:55:00"/>
    <n v="0"/>
    <n v="0"/>
    <x v="3"/>
    <n v="1650.0000000000002"/>
  </r>
  <r>
    <n v="15550772437"/>
    <n v="205"/>
    <m/>
    <x v="40"/>
    <n v="15291803674"/>
    <x v="16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49144"/>
    <s v="Produto 12"/>
    <n v="2000"/>
    <n v="7.14"/>
    <n v="0"/>
    <n v="5.8620000000000001"/>
    <n v="14280"/>
    <n v="73"/>
    <s v="PRFL.00.0020"/>
    <n v="0"/>
    <n v="0"/>
    <s v="HENRIQUE"/>
    <m/>
    <m/>
    <m/>
    <d v="2021-12-17T16:55:00"/>
    <n v="0"/>
    <n v="0"/>
    <x v="15"/>
    <n v="2800"/>
  </r>
  <r>
    <n v="15550772437"/>
    <n v="205"/>
    <m/>
    <x v="40"/>
    <n v="15291803674"/>
    <x v="7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80333"/>
    <s v="Produto 11"/>
    <n v="600"/>
    <n v="13.45"/>
    <n v="0"/>
    <n v="10.747"/>
    <n v="8070"/>
    <n v="73"/>
    <s v="PRFL.00.0024"/>
    <n v="0"/>
    <n v="0"/>
    <s v="HENRIQUE"/>
    <m/>
    <m/>
    <m/>
    <d v="2021-12-17T16:55:00"/>
    <n v="0"/>
    <n v="0"/>
    <x v="11"/>
    <n v="660"/>
  </r>
  <r>
    <n v="15550772437"/>
    <n v="205"/>
    <m/>
    <x v="40"/>
    <n v="15291803674"/>
    <x v="10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87271"/>
    <s v="Produto 05"/>
    <n v="600"/>
    <n v="16.61"/>
    <n v="0"/>
    <n v="14.4596"/>
    <n v="9966"/>
    <n v="73"/>
    <s v="PRFL.00.0025"/>
    <n v="0"/>
    <n v="0"/>
    <s v="HENRIQUE"/>
    <m/>
    <m/>
    <m/>
    <d v="2021-12-17T16:55:00"/>
    <n v="0"/>
    <n v="0"/>
    <x v="5"/>
    <n v="360"/>
  </r>
  <r>
    <n v="15550772437"/>
    <n v="205"/>
    <m/>
    <x v="40"/>
    <n v="15291803674"/>
    <x v="8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5511068"/>
    <s v="Produto 15"/>
    <n v="2000"/>
    <n v="14.65"/>
    <n v="11.75"/>
    <n v="10.23"/>
    <n v="29300"/>
    <n v="73"/>
    <s v="PRFL.00.0005"/>
    <n v="0"/>
    <n v="0"/>
    <s v="HENRIQUE"/>
    <m/>
    <m/>
    <m/>
    <d v="2021-12-17T16:55:00"/>
    <n v="0"/>
    <n v="0"/>
    <x v="16"/>
    <n v="2840"/>
  </r>
  <r>
    <n v="15550772437"/>
    <n v="205"/>
    <m/>
    <x v="40"/>
    <n v="15291803674"/>
    <x v="7"/>
    <s v="42.010.522/0001-14"/>
    <s v="RUA BLUMENAU, 101, GALPAO:01"/>
    <s v="centro"/>
    <s v="Balneário Camboriú"/>
    <n v="88337440"/>
    <s v="SC"/>
    <s v="Elizeu@Decorgesso.com.br"/>
    <n v="47996529345"/>
    <n v="0"/>
    <n v="0"/>
    <m/>
    <s v="Atendido"/>
    <n v="15016099089"/>
    <s v="Produto 15"/>
    <n v="1500"/>
    <n v="19.239999999999998"/>
    <n v="11.13"/>
    <n v="16.804400000000001"/>
    <n v="28860"/>
    <n v="73"/>
    <s v="PRFL.00.0027"/>
    <n v="0"/>
    <n v="0"/>
    <s v="HENRIQUE"/>
    <m/>
    <m/>
    <m/>
    <d v="2021-12-17T16:55:00"/>
    <n v="0"/>
    <n v="0"/>
    <x v="16"/>
    <n v="2130"/>
  </r>
  <r>
    <n v="15558530697"/>
    <n v="206"/>
    <m/>
    <x v="40"/>
    <n v="15272395368"/>
    <x v="19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6043939"/>
    <s v="Produto 07"/>
    <n v="400"/>
    <n v="13.15"/>
    <n v="0"/>
    <n v="10.747"/>
    <n v="5260"/>
    <n v="65"/>
    <s v="PRFL.00.0019"/>
    <n v="0"/>
    <n v="0"/>
    <s v="FERNANDO CARDOSO"/>
    <m/>
    <m/>
    <m/>
    <d v="2021-12-22T13:59:00"/>
    <n v="0"/>
    <n v="0"/>
    <x v="12"/>
    <n v="440.00000000000006"/>
  </r>
  <r>
    <n v="15558530697"/>
    <n v="206"/>
    <m/>
    <x v="40"/>
    <n v="15272395368"/>
    <x v="4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6080333"/>
    <s v="Produto 17"/>
    <n v="400"/>
    <n v="13.75"/>
    <n v="0"/>
    <n v="10.747"/>
    <n v="5500"/>
    <n v="65"/>
    <s v="PRFL.00.0024"/>
    <n v="0"/>
    <n v="0"/>
    <s v="FERNANDO CARDOSO"/>
    <m/>
    <m/>
    <m/>
    <d v="2021-12-22T13:59:00"/>
    <n v="0"/>
    <n v="0"/>
    <x v="8"/>
    <n v="568"/>
  </r>
  <r>
    <n v="15558530697"/>
    <n v="206"/>
    <m/>
    <x v="40"/>
    <n v="15272395368"/>
    <x v="0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5511068"/>
    <s v="Produto 13"/>
    <n v="400"/>
    <n v="15.55"/>
    <n v="6.33"/>
    <n v="10.23"/>
    <n v="6220"/>
    <n v="65"/>
    <s v="PRFL.00.0005"/>
    <n v="0"/>
    <n v="0"/>
    <s v="FERNANDO CARDOSO"/>
    <m/>
    <m/>
    <m/>
    <d v="2021-12-22T13:59:00"/>
    <n v="0"/>
    <n v="0"/>
    <x v="2"/>
    <n v="560"/>
  </r>
  <r>
    <n v="15558530697"/>
    <n v="206"/>
    <m/>
    <x v="40"/>
    <n v="15272395368"/>
    <x v="11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6099089"/>
    <s v="Produto 17"/>
    <n v="400"/>
    <n v="20.64"/>
    <n v="4.67"/>
    <n v="16.804400000000001"/>
    <n v="8256"/>
    <n v="65"/>
    <s v="PRFL.00.0027"/>
    <n v="0"/>
    <n v="0"/>
    <s v="FERNANDO CARDOSO"/>
    <m/>
    <m/>
    <m/>
    <d v="2021-12-22T13:59:00"/>
    <n v="0"/>
    <n v="0"/>
    <x v="8"/>
    <n v="568"/>
  </r>
  <r>
    <n v="15558530697"/>
    <n v="206"/>
    <m/>
    <x v="40"/>
    <n v="15272395368"/>
    <x v="5"/>
    <s v="03.321.303/0001-02"/>
    <s v="RUA PAPA  PAULO VI, 499, GALPAO 03"/>
    <s v="PONTE DO IMARUIM"/>
    <s v="Palhoça"/>
    <n v="88130780"/>
    <s v="SC"/>
    <s v="diviforros@nfe.omie.com.br"/>
    <n v="4833440100"/>
    <n v="0"/>
    <n v="0"/>
    <m/>
    <s v="Atendido"/>
    <n v="15016087271"/>
    <s v="Produto 09"/>
    <n v="400"/>
    <n v="17.5"/>
    <n v="5.66"/>
    <n v="14.4596"/>
    <n v="7000"/>
    <n v="65"/>
    <s v="PRFL.00.0025"/>
    <n v="0"/>
    <n v="0"/>
    <s v="FERNANDO CARDOSO"/>
    <m/>
    <m/>
    <m/>
    <d v="2021-12-22T13:59:00"/>
    <n v="0"/>
    <n v="0"/>
    <x v="4"/>
    <n v="440.00000000000006"/>
  </r>
  <r>
    <n v="15559106988"/>
    <n v="207"/>
    <m/>
    <x v="40"/>
    <n v="15559106979"/>
    <x v="2"/>
    <s v="05.216.691/0001-89"/>
    <s v="RUA PEDRO THEISEN JÚNIOR, 306, GALPÃO LOTE 12 QUADRA 04"/>
    <s v="ARIRIÚ"/>
    <s v="Palhoça"/>
    <n v="88135420"/>
    <s v="SC"/>
    <s v="Marina.colombelli@gmail.com"/>
    <n v="48991935757"/>
    <n v="0"/>
    <n v="0"/>
    <m/>
    <s v="Atendido"/>
    <n v="15016099089"/>
    <s v="Produto 08"/>
    <n v="300"/>
    <n v="20.2"/>
    <n v="0"/>
    <n v="16.804400000000001"/>
    <n v="6060"/>
    <n v="128"/>
    <s v="PRFL.00.0027"/>
    <n v="0"/>
    <n v="0"/>
    <s v="HENRIQUE"/>
    <m/>
    <m/>
    <m/>
    <d v="2021-12-15T17:58:00"/>
    <n v="0"/>
    <n v="0"/>
    <x v="14"/>
    <n v="330"/>
  </r>
  <r>
    <n v="15559106988"/>
    <n v="207"/>
    <m/>
    <x v="40"/>
    <n v="15559106979"/>
    <x v="19"/>
    <s v="05.216.691/0001-89"/>
    <s v="RUA PEDRO THEISEN JÚNIOR, 306, GALPÃO LOTE 12 QUADRA 04"/>
    <s v="ARIRIÚ"/>
    <s v="Palhoça"/>
    <n v="88135420"/>
    <s v="SC"/>
    <s v="Marina.colombelli@gmail.com"/>
    <n v="48991935757"/>
    <n v="0"/>
    <n v="0"/>
    <m/>
    <s v="Atendido"/>
    <n v="15016087271"/>
    <s v="Produto 17"/>
    <n v="150"/>
    <n v="17.8"/>
    <n v="0"/>
    <n v="14.4596"/>
    <n v="2670"/>
    <n v="128"/>
    <s v="PRFL.00.0025"/>
    <n v="0"/>
    <n v="0"/>
    <s v="HENRIQUE"/>
    <m/>
    <m/>
    <m/>
    <d v="2021-12-15T17:58:00"/>
    <n v="0"/>
    <n v="0"/>
    <x v="8"/>
    <n v="213"/>
  </r>
  <r>
    <n v="15569954943"/>
    <n v="209"/>
    <m/>
    <x v="41"/>
    <n v="15020006032"/>
    <x v="4"/>
    <s v="28.561.609/0001-59"/>
    <s v="Rodovia BR-277 Curitiba-Paranaguá, 3641"/>
    <s v="Cajuru"/>
    <s v="Curitiba"/>
    <n v="82960015"/>
    <s v="PR"/>
    <s v="teste@share-inc.com.br"/>
    <n v="41996838559"/>
    <n v="0"/>
    <n v="0"/>
    <m/>
    <s v="Atendido"/>
    <n v="15016093155"/>
    <s v="Produto 06"/>
    <n v="500"/>
    <n v="17.899999999999999"/>
    <n v="0"/>
    <n v="14.4596"/>
    <n v="8950"/>
    <n v="16"/>
    <s v="PRFL.00.0026"/>
    <n v="0"/>
    <n v="0"/>
    <s v="HENRIQUE"/>
    <m/>
    <m/>
    <m/>
    <d v="2021-12-13T13:48:00"/>
    <n v="0"/>
    <n v="0"/>
    <x v="0"/>
    <n v="250"/>
  </r>
  <r>
    <n v="15570971376"/>
    <n v="210"/>
    <m/>
    <x v="41"/>
    <n v="15520621129"/>
    <x v="17"/>
    <s v="00.843.906/0001-78"/>
    <s v="AV EXPEDICIONARIO WEBER, 875"/>
    <s v="CENTRO"/>
    <s v="Santa Rosa"/>
    <n v="98900000"/>
    <s v="RS"/>
    <s v="Marcelo@rbf.com.br"/>
    <n v="55984237563"/>
    <n v="0"/>
    <n v="0"/>
    <s v="faturar em dezembro - NFE 872"/>
    <s v="Atendido"/>
    <n v="15016099089"/>
    <s v="Produto 04"/>
    <n v="400"/>
    <n v="24.48"/>
    <n v="0"/>
    <n v="16.804400000000001"/>
    <n v="9792"/>
    <n v="124"/>
    <s v="PRFL.00.0027"/>
    <n v="0"/>
    <n v="0"/>
    <s v="HENRIQUE"/>
    <m/>
    <m/>
    <m/>
    <d v="2022-01-06T09:51:00"/>
    <n v="0"/>
    <n v="0"/>
    <x v="10"/>
    <n v="240"/>
  </r>
  <r>
    <n v="15570971376"/>
    <n v="210"/>
    <m/>
    <x v="41"/>
    <n v="15520621129"/>
    <x v="13"/>
    <s v="00.843.906/0001-78"/>
    <s v="AV EXPEDICIONARIO WEBER, 875"/>
    <s v="CENTRO"/>
    <s v="Santa Rosa"/>
    <n v="98900000"/>
    <s v="RS"/>
    <s v="Marcelo@rbf.com.br"/>
    <n v="55984237563"/>
    <n v="0"/>
    <n v="0"/>
    <s v="faturar em dezembro - NFE 872"/>
    <s v="Atendido"/>
    <n v="15016099089"/>
    <s v="Produto 16"/>
    <n v="300"/>
    <n v="27.98"/>
    <n v="0"/>
    <n v="16.804400000000001"/>
    <n v="8394"/>
    <n v="124"/>
    <s v="PRFL.00.0027"/>
    <n v="0"/>
    <n v="0"/>
    <s v="HENRIQUE"/>
    <m/>
    <m/>
    <m/>
    <d v="2022-01-06T09:51:00"/>
    <n v="0"/>
    <n v="0"/>
    <x v="9"/>
    <n v="381"/>
  </r>
  <r>
    <n v="15570971376"/>
    <n v="210"/>
    <m/>
    <x v="41"/>
    <n v="15520621129"/>
    <x v="6"/>
    <s v="00.843.906/0001-78"/>
    <s v="AV EXPEDICIONARIO WEBER, 875"/>
    <s v="CENTRO"/>
    <s v="Santa Rosa"/>
    <n v="98900000"/>
    <s v="RS"/>
    <s v="Marcelo@rbf.com.br"/>
    <n v="55984237563"/>
    <n v="0"/>
    <n v="0"/>
    <s v="faturar em dezembro - NFE 872"/>
    <s v="Atendido"/>
    <n v="15016093155"/>
    <s v="Produto 12"/>
    <n v="55"/>
    <n v="24.12"/>
    <n v="0"/>
    <n v="14.4596"/>
    <n v="1326.6"/>
    <n v="124"/>
    <s v="PRFL.00.0026"/>
    <n v="0"/>
    <n v="0"/>
    <s v="HENRIQUE"/>
    <m/>
    <m/>
    <m/>
    <d v="2022-01-06T09:51:00"/>
    <n v="0"/>
    <n v="0"/>
    <x v="15"/>
    <n v="77"/>
  </r>
  <r>
    <n v="15571324511"/>
    <n v="211"/>
    <m/>
    <x v="41"/>
    <n v="15059089666"/>
    <x v="15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43939"/>
    <s v="Produto 09"/>
    <n v="200"/>
    <n v="13.65"/>
    <n v="0"/>
    <n v="10.747"/>
    <n v="2730"/>
    <n v="31"/>
    <s v="PRFL.00.0019"/>
    <n v="0"/>
    <n v="0"/>
    <s v="FERNANDO CARDOSO"/>
    <m/>
    <m/>
    <m/>
    <d v="2021-12-20T08:52:00"/>
    <n v="0"/>
    <n v="0"/>
    <x v="4"/>
    <n v="220.00000000000003"/>
  </r>
  <r>
    <n v="15571324511"/>
    <n v="211"/>
    <m/>
    <x v="41"/>
    <n v="15059089666"/>
    <x v="13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93155"/>
    <s v="Produto 02"/>
    <n v="140"/>
    <n v="18.14"/>
    <n v="0"/>
    <n v="14.4596"/>
    <n v="2539.6"/>
    <n v="31"/>
    <s v="PRFL.00.0026"/>
    <n v="0"/>
    <n v="0"/>
    <s v="FERNANDO CARDOSO"/>
    <m/>
    <m/>
    <m/>
    <d v="2021-12-20T08:52:00"/>
    <n v="0"/>
    <n v="0"/>
    <x v="6"/>
    <n v="37.800000000000004"/>
  </r>
  <r>
    <n v="15571324511"/>
    <n v="211"/>
    <m/>
    <x v="41"/>
    <n v="15059089666"/>
    <x v="4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99089"/>
    <s v="Produto 17"/>
    <n v="60"/>
    <n v="21.1"/>
    <n v="0"/>
    <n v="16.804400000000001"/>
    <n v="1266"/>
    <n v="31"/>
    <s v="PRFL.00.0027"/>
    <n v="0"/>
    <n v="0"/>
    <s v="FERNANDO CARDOSO"/>
    <m/>
    <m/>
    <m/>
    <d v="2021-12-20T08:52:00"/>
    <n v="0"/>
    <n v="0"/>
    <x v="8"/>
    <n v="85.199999999999989"/>
  </r>
  <r>
    <n v="15571324511"/>
    <n v="211"/>
    <m/>
    <x v="41"/>
    <n v="15059089666"/>
    <x v="19"/>
    <s v="22.103.612/0001-42"/>
    <s v="RUA CAMBORIÚ (Marques de Olinda), 4.370, SALA 02 E 03"/>
    <s v="glória"/>
    <s v="Joinville"/>
    <n v="89216222"/>
    <s v="SC"/>
    <s v="comercial@shoppingdasdivisorias.com.br"/>
    <n v="4730290337"/>
    <n v="0"/>
    <n v="0"/>
    <m/>
    <s v="Atendido"/>
    <n v="15016080333"/>
    <s v="Produto 17"/>
    <n v="100"/>
    <n v="14.7"/>
    <n v="0"/>
    <n v="10.747"/>
    <n v="1470"/>
    <n v="31"/>
    <s v="PRFL.00.0024"/>
    <n v="0"/>
    <n v="0"/>
    <s v="FERNANDO CARDOSO"/>
    <m/>
    <m/>
    <m/>
    <d v="2021-12-20T08:52:00"/>
    <n v="0"/>
    <n v="0"/>
    <x v="8"/>
    <n v="142"/>
  </r>
  <r>
    <n v="15575055355"/>
    <n v="212"/>
    <m/>
    <x v="41"/>
    <n v="15339582855"/>
    <x v="17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49"/>
    <s v="Atendido"/>
    <n v="15016099089"/>
    <s v="Produto 04"/>
    <n v="549"/>
    <n v="19.25"/>
    <n v="0"/>
    <n v="16.804400000000001"/>
    <n v="10568.25"/>
    <n v="83"/>
    <s v="PRFL.00.0027"/>
    <n v="0"/>
    <n v="0"/>
    <s v="HENRIQUE"/>
    <m/>
    <m/>
    <m/>
    <d v="2021-12-16T19:28:00"/>
    <n v="0"/>
    <n v="0"/>
    <x v="10"/>
    <n v="329.4"/>
  </r>
  <r>
    <n v="15575055355"/>
    <n v="212"/>
    <m/>
    <x v="41"/>
    <n v="15339582855"/>
    <x v="9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49"/>
    <s v="Atendido"/>
    <n v="15016043939"/>
    <s v="Produto 01"/>
    <n v="378"/>
    <n v="12.45"/>
    <n v="0"/>
    <n v="10.747"/>
    <n v="4706.1000000000004"/>
    <n v="83"/>
    <s v="PRFL.00.0019"/>
    <n v="0"/>
    <n v="0"/>
    <s v="HENRIQUE"/>
    <m/>
    <m/>
    <m/>
    <d v="2021-12-16T19:28:00"/>
    <n v="0"/>
    <n v="0"/>
    <x v="7"/>
    <n v="151.20000000000002"/>
  </r>
  <r>
    <n v="15575055355"/>
    <n v="212"/>
    <m/>
    <x v="41"/>
    <n v="15339582855"/>
    <x v="19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49"/>
    <s v="Atendido"/>
    <n v="15016087271"/>
    <s v="Produto 16"/>
    <n v="243"/>
    <n v="16.64"/>
    <n v="10.3"/>
    <n v="14.4596"/>
    <n v="4043.52"/>
    <n v="83"/>
    <s v="PRFL.00.0025"/>
    <n v="0"/>
    <n v="0"/>
    <s v="HENRIQUE"/>
    <m/>
    <m/>
    <m/>
    <d v="2021-12-16T19:28:00"/>
    <n v="0"/>
    <n v="0"/>
    <x v="9"/>
    <n v="308.61"/>
  </r>
  <r>
    <n v="15575064407"/>
    <n v="213"/>
    <m/>
    <x v="41"/>
    <n v="15179803016"/>
    <x v="18"/>
    <s v="13.559.797/0001-03"/>
    <s v="AV NOE REBESCO, 1650"/>
    <s v="LAGOA"/>
    <s v="Irati"/>
    <n v="84500000"/>
    <s v="PR"/>
    <s v="Julio@Irati.com"/>
    <n v="42999250064"/>
    <n v="0"/>
    <n v="0"/>
    <m/>
    <s v="Atendido"/>
    <n v="15016043939"/>
    <s v="Produto 14"/>
    <n v="150"/>
    <n v="13.55"/>
    <n v="0"/>
    <n v="10.747"/>
    <n v="2032.5"/>
    <n v="50"/>
    <s v="PRFL.00.0019"/>
    <n v="0"/>
    <n v="0"/>
    <s v="AMANDA HUBBE"/>
    <m/>
    <m/>
    <m/>
    <d v="2021-12-15T16:50:00"/>
    <n v="0"/>
    <n v="0"/>
    <x v="1"/>
    <n v="210"/>
  </r>
  <r>
    <n v="15575064407"/>
    <n v="213"/>
    <m/>
    <x v="41"/>
    <n v="15179803016"/>
    <x v="4"/>
    <s v="13.559.797/0001-03"/>
    <s v="AV NOE REBESCO, 1650"/>
    <s v="LAGOA"/>
    <s v="Irati"/>
    <n v="84500000"/>
    <s v="PR"/>
    <s v="Julio@Irati.com"/>
    <n v="42999250064"/>
    <n v="0"/>
    <n v="0"/>
    <m/>
    <s v="Atendido"/>
    <n v="15395751673"/>
    <s v="Produto 12"/>
    <n v="60"/>
    <n v="7.8"/>
    <n v="0"/>
    <n v="5.8620000000000001"/>
    <n v="468"/>
    <n v="50"/>
    <s v="PRFL.00.0039"/>
    <n v="0"/>
    <n v="0"/>
    <s v="AMANDA HUBBE"/>
    <m/>
    <m/>
    <m/>
    <d v="2021-12-15T16:50:00"/>
    <n v="0"/>
    <n v="0"/>
    <x v="15"/>
    <n v="84"/>
  </r>
  <r>
    <n v="15575064407"/>
    <n v="213"/>
    <m/>
    <x v="41"/>
    <n v="15179803016"/>
    <x v="6"/>
    <s v="13.559.797/0001-03"/>
    <s v="AV NOE REBESCO, 1650"/>
    <s v="LAGOA"/>
    <s v="Irati"/>
    <n v="84500000"/>
    <s v="PR"/>
    <s v="Julio@Irati.com"/>
    <n v="42999250064"/>
    <n v="0"/>
    <n v="0"/>
    <m/>
    <s v="Atendido"/>
    <n v="15015511068"/>
    <s v="Produto 12"/>
    <n v="100"/>
    <n v="16"/>
    <n v="3.61"/>
    <n v="10.23"/>
    <n v="1600"/>
    <n v="50"/>
    <s v="PRFL.00.0005"/>
    <n v="0"/>
    <n v="0"/>
    <s v="AMANDA HUBBE"/>
    <m/>
    <m/>
    <m/>
    <d v="2021-12-15T16:50:00"/>
    <n v="0"/>
    <n v="0"/>
    <x v="15"/>
    <n v="140"/>
  </r>
  <r>
    <n v="15575064407"/>
    <n v="213"/>
    <m/>
    <x v="41"/>
    <n v="15179803016"/>
    <x v="11"/>
    <s v="13.559.797/0001-03"/>
    <s v="AV NOE REBESCO, 1650"/>
    <s v="LAGOA"/>
    <s v="Irati"/>
    <n v="84500000"/>
    <s v="PR"/>
    <s v="Julio@Irati.com"/>
    <n v="42999250064"/>
    <n v="0"/>
    <n v="0"/>
    <m/>
    <s v="Atendido"/>
    <n v="15015918644"/>
    <s v="Produto 04"/>
    <n v="60"/>
    <n v="7.8"/>
    <n v="5.8"/>
    <n v="5.61"/>
    <n v="468"/>
    <n v="50"/>
    <s v="PRFL.00.0011"/>
    <n v="0"/>
    <n v="0"/>
    <s v="AMANDA HUBBE"/>
    <m/>
    <m/>
    <m/>
    <d v="2021-12-15T16:50:00"/>
    <n v="0"/>
    <n v="0"/>
    <x v="10"/>
    <n v="36"/>
  </r>
  <r>
    <n v="15575564964"/>
    <n v="214"/>
    <m/>
    <x v="41"/>
    <n v="15575564960"/>
    <x v="10"/>
    <s v="44.196.728/0001-06"/>
    <s v="RUA BLUMENAU, 101, GALPAO02"/>
    <s v="MUNICIPIOS"/>
    <s v="Balneário Camboriú"/>
    <n v="88337440"/>
    <s v="SC"/>
    <s v="decor_adm@hotmail.com"/>
    <n v="4721223580"/>
    <n v="0"/>
    <n v="0"/>
    <m/>
    <s v="Atendido"/>
    <n v="15016099089"/>
    <s v="Produto 03"/>
    <n v="500"/>
    <n v="20"/>
    <n v="0"/>
    <n v="16.804400000000001"/>
    <n v="10000"/>
    <n v="129"/>
    <s v="PRFL.00.0027"/>
    <n v="0"/>
    <n v="0"/>
    <s v="FERNANDO CARDOSO"/>
    <m/>
    <m/>
    <m/>
    <d v="2021-12-20T16:59:00"/>
    <n v="0"/>
    <n v="0"/>
    <x v="13"/>
    <n v="300"/>
  </r>
  <r>
    <n v="15581417251"/>
    <n v="215"/>
    <m/>
    <x v="42"/>
    <n v="15483144585"/>
    <x v="11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Atendido"/>
    <n v="15016087271"/>
    <s v="Produto 05"/>
    <n v="183"/>
    <n v="17.3"/>
    <n v="0"/>
    <n v="14.4596"/>
    <n v="3165.9"/>
    <n v="107"/>
    <s v="PRFL.00.0025"/>
    <n v="0"/>
    <n v="0"/>
    <s v="FERNANDO CARDOSO"/>
    <m/>
    <m/>
    <m/>
    <d v="2021-12-20T16:58:00"/>
    <n v="0"/>
    <n v="0"/>
    <x v="5"/>
    <n v="109.8"/>
  </r>
  <r>
    <n v="15581417251"/>
    <n v="215"/>
    <m/>
    <x v="42"/>
    <n v="15483144585"/>
    <x v="3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Atendido"/>
    <n v="15016099089"/>
    <s v="Produto 13"/>
    <n v="310"/>
    <n v="27.07"/>
    <n v="0"/>
    <n v="16.804400000000001"/>
    <n v="8391.7000000000007"/>
    <n v="107"/>
    <s v="PRFL.00.0027"/>
    <n v="0"/>
    <n v="0"/>
    <s v="FERNANDO CARDOSO"/>
    <m/>
    <m/>
    <m/>
    <d v="2021-12-20T16:58:00"/>
    <n v="0"/>
    <n v="0"/>
    <x v="2"/>
    <n v="434"/>
  </r>
  <r>
    <n v="15581417251"/>
    <n v="215"/>
    <m/>
    <x v="42"/>
    <n v="15483144585"/>
    <x v="18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Atendido"/>
    <n v="15016099089"/>
    <s v="Produto 13"/>
    <n v="214"/>
    <n v="23.7"/>
    <n v="0"/>
    <n v="16.804400000000001"/>
    <n v="5071.8"/>
    <n v="107"/>
    <s v="PRFL.00.0027"/>
    <n v="0"/>
    <n v="0"/>
    <s v="FERNANDO CARDOSO"/>
    <m/>
    <m/>
    <m/>
    <d v="2021-12-20T16:58:00"/>
    <n v="0"/>
    <n v="0"/>
    <x v="2"/>
    <n v="299.59999999999997"/>
  </r>
  <r>
    <n v="15581439204"/>
    <n v="216"/>
    <m/>
    <x v="42"/>
    <n v="15483144585"/>
    <x v="19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s v="NF PARCIAL 832 BOLETO 16/12/2021"/>
    <s v="Atendido"/>
    <n v="15016080333"/>
    <s v="Produto 09"/>
    <n v="40"/>
    <n v="13.4"/>
    <n v="0"/>
    <n v="10.747"/>
    <n v="536"/>
    <n v="107"/>
    <s v="PRFL.00.0024"/>
    <n v="0"/>
    <n v="0"/>
    <s v="FERNANDO CARDOSO"/>
    <m/>
    <m/>
    <m/>
    <d v="2021-12-20T16:58:00"/>
    <n v="0"/>
    <n v="0"/>
    <x v="4"/>
    <n v="44"/>
  </r>
  <r>
    <n v="15581439204"/>
    <n v="216"/>
    <m/>
    <x v="42"/>
    <n v="15483144585"/>
    <x v="15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s v="NF PARCIAL 832 BOLETO 16/12/2021"/>
    <s v="Atendido"/>
    <n v="15016093155"/>
    <s v="Produto 03"/>
    <n v="160"/>
    <n v="19.03"/>
    <n v="0"/>
    <n v="14.4596"/>
    <n v="3044.8"/>
    <n v="107"/>
    <s v="PRFL.00.0026"/>
    <n v="0"/>
    <n v="0"/>
    <s v="FERNANDO CARDOSO"/>
    <m/>
    <m/>
    <m/>
    <d v="2021-12-20T16:58:00"/>
    <n v="0"/>
    <n v="0"/>
    <x v="13"/>
    <n v="96"/>
  </r>
  <r>
    <n v="15581439204"/>
    <n v="216"/>
    <m/>
    <x v="42"/>
    <n v="15483144585"/>
    <x v="17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s v="NF PARCIAL 832 BOLETO 16/12/2021"/>
    <s v="Atendido"/>
    <n v="15016087271"/>
    <s v="Produto 09"/>
    <n v="10"/>
    <n v="17.3"/>
    <n v="0"/>
    <n v="14.4596"/>
    <n v="173"/>
    <n v="107"/>
    <s v="PRFL.00.0025"/>
    <n v="0"/>
    <n v="0"/>
    <s v="FERNANDO CARDOSO"/>
    <m/>
    <m/>
    <m/>
    <d v="2021-12-20T16:58:00"/>
    <n v="0"/>
    <n v="0"/>
    <x v="4"/>
    <n v="11"/>
  </r>
  <r>
    <n v="15581439204"/>
    <n v="216"/>
    <m/>
    <x v="42"/>
    <n v="15483144585"/>
    <x v="15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s v="NF PARCIAL 832 BOLETO 16/12/2021"/>
    <s v="Atendido"/>
    <n v="15016099089"/>
    <s v="Produto 06"/>
    <n v="30"/>
    <n v="22.35"/>
    <n v="0"/>
    <n v="16.804400000000001"/>
    <n v="670.5"/>
    <n v="107"/>
    <s v="PRFL.00.0027"/>
    <n v="0"/>
    <n v="0"/>
    <s v="FERNANDO CARDOSO"/>
    <m/>
    <m/>
    <m/>
    <d v="2021-12-20T16:58:00"/>
    <n v="0"/>
    <n v="0"/>
    <x v="0"/>
    <n v="15"/>
  </r>
  <r>
    <n v="15581439204"/>
    <n v="216"/>
    <m/>
    <x v="42"/>
    <n v="15483144585"/>
    <x v="2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s v="NF PARCIAL 832 BOLETO 16/12/2021"/>
    <s v="Atendido"/>
    <n v="15016043939"/>
    <s v="Produto 12"/>
    <n v="230"/>
    <n v="12.8"/>
    <n v="0"/>
    <n v="10.747"/>
    <n v="2944"/>
    <n v="107"/>
    <s v="PRFL.00.0019"/>
    <n v="0"/>
    <n v="0"/>
    <s v="FERNANDO CARDOSO"/>
    <m/>
    <m/>
    <m/>
    <d v="2021-12-20T16:58:00"/>
    <n v="0"/>
    <n v="0"/>
    <x v="15"/>
    <n v="322"/>
  </r>
  <r>
    <n v="15581439204"/>
    <n v="216"/>
    <m/>
    <x v="42"/>
    <n v="15483144585"/>
    <x v="9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s v="NF PARCIAL 832 BOLETO 16/12/2021"/>
    <s v="Atendido"/>
    <n v="15015511068"/>
    <s v="Produto 10"/>
    <n v="80"/>
    <n v="15"/>
    <n v="9.64"/>
    <n v="10.23"/>
    <n v="1200"/>
    <n v="107"/>
    <s v="PRFL.00.0005"/>
    <n v="0"/>
    <n v="0"/>
    <s v="FERNANDO CARDOSO"/>
    <m/>
    <m/>
    <m/>
    <d v="2021-12-20T16:58:00"/>
    <n v="0"/>
    <n v="0"/>
    <x v="3"/>
    <n v="88"/>
  </r>
  <r>
    <n v="15581992596"/>
    <n v="217"/>
    <m/>
    <x v="42"/>
    <n v="15295556615"/>
    <x v="16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93155"/>
    <s v="Produto 08"/>
    <n v="50"/>
    <n v="18.649999999999999"/>
    <n v="0"/>
    <n v="14.4596"/>
    <n v="932.5"/>
    <n v="79"/>
    <s v="PRFL.00.0026"/>
    <n v="0"/>
    <n v="0"/>
    <s v="HENRIQUE"/>
    <m/>
    <m/>
    <m/>
    <d v="2021-12-15T13:43:00"/>
    <n v="0"/>
    <n v="0"/>
    <x v="14"/>
    <n v="55.000000000000007"/>
  </r>
  <r>
    <n v="15581992596"/>
    <n v="217"/>
    <m/>
    <x v="42"/>
    <n v="15295556615"/>
    <x v="10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49144"/>
    <s v="Produto 06"/>
    <n v="150"/>
    <n v="8.18"/>
    <n v="0"/>
    <n v="5.8620000000000001"/>
    <n v="1227"/>
    <n v="79"/>
    <s v="PRFL.00.0020"/>
    <n v="0"/>
    <n v="0"/>
    <s v="HENRIQUE"/>
    <m/>
    <m/>
    <m/>
    <d v="2021-12-15T13:43:00"/>
    <n v="0"/>
    <n v="0"/>
    <x v="0"/>
    <n v="75"/>
  </r>
  <r>
    <n v="15581992596"/>
    <n v="217"/>
    <m/>
    <x v="42"/>
    <n v="15295556615"/>
    <x v="9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43939"/>
    <s v="Produto 09"/>
    <n v="150"/>
    <n v="14.1"/>
    <n v="0"/>
    <n v="10.747"/>
    <n v="2115"/>
    <n v="79"/>
    <s v="PRFL.00.0019"/>
    <n v="0"/>
    <n v="0"/>
    <s v="HENRIQUE"/>
    <m/>
    <m/>
    <m/>
    <d v="2021-12-15T13:43:00"/>
    <n v="0"/>
    <n v="0"/>
    <x v="4"/>
    <n v="165"/>
  </r>
  <r>
    <n v="15581992596"/>
    <n v="217"/>
    <m/>
    <x v="42"/>
    <n v="15295556615"/>
    <x v="8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99089"/>
    <s v="Produto 17"/>
    <n v="50"/>
    <n v="21.65"/>
    <n v="0"/>
    <n v="16.804400000000001"/>
    <n v="1082.5"/>
    <n v="79"/>
    <s v="PRFL.00.0027"/>
    <n v="0"/>
    <n v="0"/>
    <s v="HENRIQUE"/>
    <m/>
    <m/>
    <m/>
    <d v="2021-12-15T13:43:00"/>
    <n v="0"/>
    <n v="0"/>
    <x v="8"/>
    <n v="71"/>
  </r>
  <r>
    <n v="15581992596"/>
    <n v="217"/>
    <m/>
    <x v="42"/>
    <n v="15295556615"/>
    <x v="11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80333"/>
    <s v="Produto 05"/>
    <n v="20"/>
    <n v="15.3"/>
    <n v="0"/>
    <n v="10.747"/>
    <n v="306"/>
    <n v="79"/>
    <s v="PRFL.00.0024"/>
    <n v="0"/>
    <n v="0"/>
    <s v="HENRIQUE"/>
    <m/>
    <m/>
    <m/>
    <d v="2021-12-15T13:43:00"/>
    <n v="0"/>
    <n v="0"/>
    <x v="5"/>
    <n v="12"/>
  </r>
  <r>
    <n v="15581992596"/>
    <n v="217"/>
    <m/>
    <x v="42"/>
    <n v="15295556615"/>
    <x v="19"/>
    <s v="38.290.178/0001-97"/>
    <s v="AV CHANCELER HORACIO LAFFER, 863, SL 02"/>
    <s v="CENTRO"/>
    <s v="Telêmaco Borba"/>
    <n v="84261350"/>
    <s v="PR"/>
    <m/>
    <n v="4284158927"/>
    <n v="0"/>
    <n v="0"/>
    <m/>
    <s v="Atendido"/>
    <n v="15016087271"/>
    <s v="Produto 01"/>
    <n v="20"/>
    <n v="18.55"/>
    <n v="0"/>
    <n v="14.4596"/>
    <n v="371"/>
    <n v="79"/>
    <s v="PRFL.00.0025"/>
    <n v="0"/>
    <n v="0"/>
    <s v="HENRIQUE"/>
    <m/>
    <m/>
    <m/>
    <d v="2021-12-15T13:43:00"/>
    <n v="0"/>
    <n v="0"/>
    <x v="7"/>
    <n v="8"/>
  </r>
  <r>
    <n v="15582116408"/>
    <n v="218"/>
    <m/>
    <x v="42"/>
    <n v="15179581888"/>
    <x v="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2"/>
    <n v="150"/>
    <n v="12.38"/>
    <n v="0"/>
    <n v="10.747"/>
    <n v="1857"/>
    <n v="41"/>
    <s v="PRFL.00.0019"/>
    <n v="0"/>
    <n v="0"/>
    <s v="HENRIQUE"/>
    <m/>
    <m/>
    <m/>
    <d v="2021-12-16T14:19:00"/>
    <n v="0"/>
    <n v="0"/>
    <x v="6"/>
    <n v="40.5"/>
  </r>
  <r>
    <n v="15582141443"/>
    <n v="219"/>
    <m/>
    <x v="42"/>
    <n v="15582141432"/>
    <x v="9"/>
    <s v="116.252.809-55"/>
    <m/>
    <m/>
    <m/>
    <n v="0"/>
    <m/>
    <s v="Daniel@Daniel.com"/>
    <n v="4184727286"/>
    <n v="0"/>
    <n v="0"/>
    <m/>
    <s v="Atendido"/>
    <n v="15016043939"/>
    <s v="Produto 12"/>
    <n v="150"/>
    <n v="14.1"/>
    <n v="0"/>
    <n v="10.747"/>
    <n v="2115"/>
    <n v="130"/>
    <s v="PRFL.00.0019"/>
    <n v="0"/>
    <n v="0"/>
    <s v="HENRIQUE"/>
    <m/>
    <m/>
    <m/>
    <d v="2021-12-14T13:42:00"/>
    <n v="0"/>
    <n v="0"/>
    <x v="15"/>
    <n v="210"/>
  </r>
  <r>
    <n v="15582141443"/>
    <n v="219"/>
    <m/>
    <x v="42"/>
    <n v="15582141432"/>
    <x v="4"/>
    <s v="116.252.809-55"/>
    <m/>
    <m/>
    <m/>
    <n v="0"/>
    <m/>
    <s v="Daniel@Daniel.com"/>
    <n v="4184727286"/>
    <n v="0"/>
    <n v="0"/>
    <m/>
    <s v="Atendido"/>
    <n v="15016049144"/>
    <s v="Produto 10"/>
    <n v="140"/>
    <n v="8.2799999999999994"/>
    <n v="0"/>
    <n v="5.8620000000000001"/>
    <n v="1159.2"/>
    <n v="130"/>
    <s v="PRFL.00.0020"/>
    <n v="0"/>
    <n v="0"/>
    <s v="HENRIQUE"/>
    <m/>
    <m/>
    <m/>
    <d v="2021-12-14T13:42:00"/>
    <n v="0"/>
    <n v="0"/>
    <x v="3"/>
    <n v="154"/>
  </r>
  <r>
    <n v="15582141443"/>
    <n v="219"/>
    <m/>
    <x v="42"/>
    <n v="15582141432"/>
    <x v="0"/>
    <s v="116.252.809-55"/>
    <m/>
    <m/>
    <m/>
    <n v="0"/>
    <m/>
    <s v="Daniel@Daniel.com"/>
    <n v="4184727286"/>
    <n v="0"/>
    <n v="0"/>
    <m/>
    <s v="Atendido"/>
    <n v="15016087271"/>
    <s v="Produto 05"/>
    <n v="2"/>
    <n v="18.55"/>
    <n v="0"/>
    <n v="14.4596"/>
    <n v="37.1"/>
    <n v="130"/>
    <s v="PRFL.00.0025"/>
    <n v="0"/>
    <n v="0"/>
    <s v="HENRIQUE"/>
    <m/>
    <m/>
    <m/>
    <d v="2021-12-14T13:42:00"/>
    <n v="0"/>
    <n v="0"/>
    <x v="5"/>
    <n v="1.2"/>
  </r>
  <r>
    <n v="15583902295"/>
    <n v="220"/>
    <m/>
    <x v="42"/>
    <n v="15533104634"/>
    <x v="3"/>
    <s v="01.958.936/0001-92"/>
    <s v="R. BEIJA FLOR, 378, -"/>
    <s v="Serraria"/>
    <s v="São José"/>
    <n v="88115485"/>
    <s v="SC"/>
    <s v="atendimento@luizcontabilidade.com.br"/>
    <n v="48999385702"/>
    <n v="0"/>
    <n v="0"/>
    <s v="NFE 833 - ENTREGA EM JANEIRO."/>
    <s v="Em aberto"/>
    <n v="15016087271"/>
    <s v="Produto 11"/>
    <n v="500"/>
    <n v="17.3"/>
    <n v="0"/>
    <n v="14.4596"/>
    <n v="8650"/>
    <n v="126"/>
    <s v="PRFL.00.0025"/>
    <n v="0"/>
    <n v="0"/>
    <s v="FERNANDO CARDOSO"/>
    <m/>
    <m/>
    <m/>
    <d v="2021-12-22T14:24:00"/>
    <n v="0"/>
    <n v="0"/>
    <x v="11"/>
    <n v="550"/>
  </r>
  <r>
    <n v="15583902295"/>
    <n v="220"/>
    <m/>
    <x v="42"/>
    <n v="15533104634"/>
    <x v="14"/>
    <s v="01.958.936/0001-92"/>
    <s v="R. BEIJA FLOR, 378, -"/>
    <s v="Serraria"/>
    <s v="São José"/>
    <n v="88115485"/>
    <s v="SC"/>
    <s v="atendimento@luizcontabilidade.com.br"/>
    <n v="48999385702"/>
    <n v="0"/>
    <n v="0"/>
    <s v="NFE 833 - ENTREGA EM JANEIRO."/>
    <s v="Em aberto"/>
    <n v="15139667431"/>
    <s v="Produto 06"/>
    <n v="100"/>
    <n v="20.2"/>
    <n v="0"/>
    <n v="0"/>
    <n v="2020"/>
    <n v="126"/>
    <s v="PRFL.00.0028"/>
    <n v="0"/>
    <n v="0"/>
    <s v="FERNANDO CARDOSO"/>
    <m/>
    <m/>
    <m/>
    <d v="2021-12-22T14:24:00"/>
    <n v="0"/>
    <n v="0"/>
    <x v="0"/>
    <n v="50"/>
  </r>
  <r>
    <n v="15583902295"/>
    <n v="220"/>
    <m/>
    <x v="42"/>
    <n v="15533104634"/>
    <x v="9"/>
    <s v="01.958.936/0001-92"/>
    <s v="R. BEIJA FLOR, 378, -"/>
    <s v="Serraria"/>
    <s v="São José"/>
    <n v="88115485"/>
    <s v="SC"/>
    <s v="atendimento@luizcontabilidade.com.br"/>
    <n v="48999385702"/>
    <n v="0"/>
    <n v="0"/>
    <s v="NFE 833 - ENTREGA EM JANEIRO."/>
    <s v="Em aberto"/>
    <n v="15395601004"/>
    <s v="Produto 15"/>
    <n v="600"/>
    <n v="15.57"/>
    <n v="0"/>
    <n v="12.369"/>
    <n v="9342"/>
    <n v="126"/>
    <s v="PRFL.00.0034"/>
    <n v="0"/>
    <n v="0"/>
    <s v="FERNANDO CARDOSO"/>
    <m/>
    <m/>
    <m/>
    <d v="2021-12-22T14:24:00"/>
    <n v="0"/>
    <n v="0"/>
    <x v="16"/>
    <n v="852"/>
  </r>
  <r>
    <n v="15583902295"/>
    <n v="220"/>
    <m/>
    <x v="42"/>
    <n v="15533104634"/>
    <x v="4"/>
    <s v="01.958.936/0001-92"/>
    <s v="R. BEIJA FLOR, 378, -"/>
    <s v="Serraria"/>
    <s v="São José"/>
    <n v="88115485"/>
    <s v="SC"/>
    <s v="atendimento@luizcontabilidade.com.br"/>
    <n v="48999385702"/>
    <n v="0"/>
    <n v="0"/>
    <s v="NFE 833 - ENTREGA EM JANEIRO."/>
    <s v="Em aberto"/>
    <n v="15016093155"/>
    <s v="Produto 12"/>
    <n v="600"/>
    <n v="17.3"/>
    <n v="0"/>
    <n v="14.4596"/>
    <n v="10380"/>
    <n v="126"/>
    <s v="PRFL.00.0026"/>
    <n v="0"/>
    <n v="0"/>
    <s v="FERNANDO CARDOSO"/>
    <m/>
    <m/>
    <m/>
    <d v="2021-12-22T14:24:00"/>
    <n v="0"/>
    <n v="0"/>
    <x v="15"/>
    <n v="840"/>
  </r>
  <r>
    <n v="15583902295"/>
    <n v="220"/>
    <m/>
    <x v="42"/>
    <n v="15533104634"/>
    <x v="19"/>
    <s v="01.958.936/0001-92"/>
    <s v="R. BEIJA FLOR, 378, -"/>
    <s v="Serraria"/>
    <s v="São José"/>
    <n v="88115485"/>
    <s v="SC"/>
    <s v="atendimento@luizcontabilidade.com.br"/>
    <n v="48999385702"/>
    <n v="0"/>
    <n v="0"/>
    <s v="NFE 833 - ENTREGA EM JANEIRO."/>
    <s v="Em aberto"/>
    <n v="15016099089"/>
    <s v="Produto 09"/>
    <n v="1000"/>
    <n v="18.27"/>
    <n v="0"/>
    <n v="16.804400000000001"/>
    <n v="18270"/>
    <n v="126"/>
    <s v="PRFL.00.0027"/>
    <n v="0"/>
    <n v="0"/>
    <s v="FERNANDO CARDOSO"/>
    <m/>
    <m/>
    <m/>
    <d v="2021-12-22T14:24:00"/>
    <n v="0"/>
    <n v="0"/>
    <x v="4"/>
    <n v="1100"/>
  </r>
  <r>
    <n v="15583902295"/>
    <n v="220"/>
    <m/>
    <x v="42"/>
    <n v="15533104634"/>
    <x v="10"/>
    <s v="01.958.936/0001-92"/>
    <s v="R. BEIJA FLOR, 378, -"/>
    <s v="Serraria"/>
    <s v="São José"/>
    <n v="88115485"/>
    <s v="SC"/>
    <s v="atendimento@luizcontabilidade.com.br"/>
    <n v="48999385702"/>
    <n v="0"/>
    <n v="0"/>
    <s v="NFE 833 - ENTREGA EM JANEIRO."/>
    <s v="Em aberto"/>
    <n v="15016099089"/>
    <s v="Produto 09"/>
    <n v="1000"/>
    <n v="20.3"/>
    <n v="0"/>
    <n v="16.804400000000001"/>
    <n v="20300"/>
    <n v="126"/>
    <s v="PRFL.00.0027"/>
    <n v="0"/>
    <n v="0"/>
    <s v="FERNANDO CARDOSO"/>
    <m/>
    <m/>
    <m/>
    <d v="2021-12-22T14:24:00"/>
    <n v="0"/>
    <n v="0"/>
    <x v="4"/>
    <n v="1100"/>
  </r>
  <r>
    <n v="15583902295"/>
    <n v="220"/>
    <m/>
    <x v="42"/>
    <n v="15533104634"/>
    <x v="17"/>
    <s v="01.958.936/0001-92"/>
    <s v="R. BEIJA FLOR, 378, -"/>
    <s v="Serraria"/>
    <s v="São José"/>
    <n v="88115485"/>
    <s v="SC"/>
    <s v="atendimento@luizcontabilidade.com.br"/>
    <n v="48999385702"/>
    <n v="0"/>
    <n v="0"/>
    <s v="NFE 833 - ENTREGA EM JANEIRO."/>
    <s v="Em aberto"/>
    <n v="15139727614"/>
    <s v="Produto 15"/>
    <n v="500"/>
    <n v="22.6"/>
    <n v="0"/>
    <n v="0"/>
    <n v="11300"/>
    <n v="126"/>
    <s v="PRFL.00.0029"/>
    <n v="0"/>
    <n v="0"/>
    <s v="FERNANDO CARDOSO"/>
    <m/>
    <m/>
    <m/>
    <d v="2021-12-22T14:24:00"/>
    <n v="0"/>
    <n v="0"/>
    <x v="16"/>
    <n v="710"/>
  </r>
  <r>
    <n v="15583902295"/>
    <n v="220"/>
    <m/>
    <x v="42"/>
    <n v="15533104634"/>
    <x v="2"/>
    <s v="01.958.936/0001-92"/>
    <s v="R. BEIJA FLOR, 378, -"/>
    <s v="Serraria"/>
    <s v="São José"/>
    <n v="88115485"/>
    <s v="SC"/>
    <s v="atendimento@luizcontabilidade.com.br"/>
    <n v="48999385702"/>
    <n v="0"/>
    <n v="0"/>
    <s v="NFE 833 - ENTREGA EM JANEIRO."/>
    <s v="Em aberto"/>
    <n v="15016043939"/>
    <s v="Produto 06"/>
    <n v="2500"/>
    <n v="12.8"/>
    <n v="0"/>
    <n v="10.747"/>
    <n v="32000"/>
    <n v="126"/>
    <s v="PRFL.00.0019"/>
    <n v="0"/>
    <n v="0"/>
    <s v="FERNANDO CARDOSO"/>
    <m/>
    <m/>
    <m/>
    <d v="2021-12-22T14:24:00"/>
    <n v="0"/>
    <n v="0"/>
    <x v="0"/>
    <n v="1250"/>
  </r>
  <r>
    <n v="15589216980"/>
    <n v="221"/>
    <m/>
    <x v="42"/>
    <n v="15179581888"/>
    <x v="1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3"/>
    <n v="450"/>
    <n v="12.38"/>
    <n v="0"/>
    <n v="10.747"/>
    <n v="5571"/>
    <n v="41"/>
    <s v="PRFL.00.0019"/>
    <n v="0"/>
    <n v="0"/>
    <s v="HENRIQUE"/>
    <m/>
    <m/>
    <m/>
    <d v="2021-12-16T14:19:00"/>
    <n v="0"/>
    <n v="0"/>
    <x v="2"/>
    <n v="630"/>
  </r>
  <r>
    <n v="15589216980"/>
    <n v="221"/>
    <m/>
    <x v="42"/>
    <n v="15179581888"/>
    <x v="1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9144"/>
    <s v="Produto 01"/>
    <n v="150"/>
    <n v="7.04"/>
    <n v="0"/>
    <n v="5.8620000000000001"/>
    <n v="1056"/>
    <n v="41"/>
    <s v="PRFL.00.0020"/>
    <n v="0"/>
    <n v="0"/>
    <s v="HENRIQUE"/>
    <m/>
    <m/>
    <m/>
    <d v="2021-12-16T14:19:00"/>
    <n v="0"/>
    <n v="0"/>
    <x v="7"/>
    <n v="60"/>
  </r>
  <r>
    <n v="15589216980"/>
    <n v="221"/>
    <m/>
    <x v="42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17"/>
    <n v="100"/>
    <n v="14.9"/>
    <n v="10.24"/>
    <n v="10.23"/>
    <n v="1490"/>
    <n v="41"/>
    <s v="PRFL.00.0005"/>
    <n v="0"/>
    <n v="0"/>
    <s v="HENRIQUE"/>
    <m/>
    <m/>
    <m/>
    <d v="2021-12-16T14:19:00"/>
    <n v="0"/>
    <n v="0"/>
    <x v="8"/>
    <n v="142"/>
  </r>
  <r>
    <n v="15591604205"/>
    <n v="222"/>
    <m/>
    <x v="42"/>
    <n v="15279322250"/>
    <x v="14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3939"/>
    <s v="Produto 14"/>
    <n v="1000"/>
    <n v="12.45"/>
    <n v="0"/>
    <n v="10.747"/>
    <n v="12450"/>
    <n v="68"/>
    <s v="PRFL.00.0019"/>
    <n v="0"/>
    <n v="0"/>
    <s v="HENRIQUE"/>
    <m/>
    <m/>
    <m/>
    <d v="2021-12-15T10:25:00"/>
    <n v="0"/>
    <n v="0"/>
    <x v="1"/>
    <n v="1400"/>
  </r>
  <r>
    <n v="15591604205"/>
    <n v="222"/>
    <m/>
    <x v="42"/>
    <n v="15279322250"/>
    <x v="15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9144"/>
    <s v="Produto 02"/>
    <n v="700"/>
    <n v="7.2"/>
    <n v="0"/>
    <n v="5.8620000000000001"/>
    <n v="5040"/>
    <n v="68"/>
    <s v="PRFL.00.0020"/>
    <n v="0"/>
    <n v="0"/>
    <s v="HENRIQUE"/>
    <m/>
    <m/>
    <m/>
    <d v="2021-12-15T10:25:00"/>
    <n v="0"/>
    <n v="0"/>
    <x v="6"/>
    <n v="189"/>
  </r>
  <r>
    <n v="15591618073"/>
    <n v="223"/>
    <m/>
    <x v="42"/>
    <n v="15059209053"/>
    <x v="7"/>
    <s v="09.120.752/0001-60"/>
    <s v="RUA 24 DE FEVEREIRO, 143"/>
    <s v="CENTRO"/>
    <s v="Ijuí"/>
    <n v="98700000"/>
    <s v="RS"/>
    <s v="Ciaa@ciaa.com.br"/>
    <n v="41999473993"/>
    <n v="0"/>
    <n v="0"/>
    <s v="NFE 834_x000a_"/>
    <s v="Atendido"/>
    <n v="15016043939"/>
    <s v="Produto 02"/>
    <n v="300"/>
    <n v="13.9"/>
    <n v="0"/>
    <n v="10.747"/>
    <n v="4170"/>
    <n v="34"/>
    <s v="PRFL.00.0019"/>
    <n v="0"/>
    <n v="0"/>
    <s v="HENRIQUE"/>
    <m/>
    <m/>
    <m/>
    <d v="2021-12-17T13:46:00"/>
    <n v="0"/>
    <n v="0"/>
    <x v="6"/>
    <n v="81"/>
  </r>
  <r>
    <n v="15591618073"/>
    <n v="223"/>
    <m/>
    <x v="42"/>
    <n v="15059209053"/>
    <x v="4"/>
    <s v="09.120.752/0001-60"/>
    <s v="RUA 24 DE FEVEREIRO, 143"/>
    <s v="CENTRO"/>
    <s v="Ijuí"/>
    <n v="98700000"/>
    <s v="RS"/>
    <s v="Ciaa@ciaa.com.br"/>
    <n v="41999473993"/>
    <n v="0"/>
    <n v="0"/>
    <s v="NFE 834_x000a_"/>
    <s v="Atendido"/>
    <n v="15016049144"/>
    <s v="Produto 06"/>
    <n v="100"/>
    <n v="8.1999999999999993"/>
    <n v="0"/>
    <n v="5.8620000000000001"/>
    <n v="820"/>
    <n v="34"/>
    <s v="PRFL.00.0020"/>
    <n v="0"/>
    <n v="0"/>
    <s v="HENRIQUE"/>
    <m/>
    <m/>
    <m/>
    <d v="2021-12-17T13:46:00"/>
    <n v="0"/>
    <n v="0"/>
    <x v="0"/>
    <n v="50"/>
  </r>
  <r>
    <n v="15591650146"/>
    <n v="224"/>
    <m/>
    <x v="42"/>
    <n v="15339582855"/>
    <x v="8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0_x000a_"/>
    <s v="Atendido"/>
    <n v="15016043939"/>
    <s v="Produto 17"/>
    <n v="294"/>
    <n v="12.45"/>
    <n v="0"/>
    <n v="10.747"/>
    <n v="3660.3"/>
    <n v="83"/>
    <s v="PRFL.00.0019"/>
    <n v="0"/>
    <n v="0"/>
    <s v="HENRIQUE"/>
    <m/>
    <m/>
    <m/>
    <d v="2021-12-20T08:54:00"/>
    <n v="0"/>
    <n v="0"/>
    <x v="8"/>
    <n v="417.47999999999996"/>
  </r>
  <r>
    <n v="15591650146"/>
    <n v="224"/>
    <m/>
    <x v="42"/>
    <n v="15339582855"/>
    <x v="13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0_x000a_"/>
    <s v="Atendido"/>
    <n v="15016099089"/>
    <s v="Produto 15"/>
    <n v="436"/>
    <n v="19.25"/>
    <n v="11.09"/>
    <n v="16.804400000000001"/>
    <n v="8393"/>
    <n v="83"/>
    <s v="PRFL.00.0027"/>
    <n v="0"/>
    <n v="0"/>
    <s v="HENRIQUE"/>
    <m/>
    <m/>
    <m/>
    <d v="2021-12-20T08:54:00"/>
    <n v="0"/>
    <n v="0"/>
    <x v="16"/>
    <n v="619.12"/>
  </r>
  <r>
    <n v="15591650146"/>
    <n v="224"/>
    <m/>
    <x v="42"/>
    <n v="15339582855"/>
    <x v="4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0_x000a_"/>
    <s v="Atendido"/>
    <n v="15016087271"/>
    <s v="Produto 17"/>
    <n v="170"/>
    <n v="16.64"/>
    <n v="10.3"/>
    <n v="14.4596"/>
    <n v="2828.8"/>
    <n v="83"/>
    <s v="PRFL.00.0025"/>
    <n v="0"/>
    <n v="0"/>
    <s v="HENRIQUE"/>
    <m/>
    <m/>
    <m/>
    <d v="2021-12-20T08:54:00"/>
    <n v="0"/>
    <n v="0"/>
    <x v="8"/>
    <n v="241.39999999999998"/>
  </r>
  <r>
    <n v="15594817018"/>
    <n v="225"/>
    <m/>
    <x v="43"/>
    <n v="15265449061"/>
    <x v="0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43939"/>
    <s v="Produto 13"/>
    <n v="300"/>
    <n v="12.8"/>
    <n v="0"/>
    <n v="10.747"/>
    <n v="3840"/>
    <n v="60"/>
    <s v="PRFL.00.0019"/>
    <n v="0"/>
    <n v="0"/>
    <s v="FERNANDO CARDOSO"/>
    <m/>
    <m/>
    <m/>
    <d v="2021-12-20T08:52:00"/>
    <n v="0"/>
    <n v="0"/>
    <x v="2"/>
    <n v="420"/>
  </r>
  <r>
    <n v="15594817018"/>
    <n v="225"/>
    <m/>
    <x v="43"/>
    <n v="15265449061"/>
    <x v="13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49144"/>
    <s v="Produto 06"/>
    <n v="100"/>
    <n v="7.3"/>
    <n v="0"/>
    <n v="5.8620000000000001"/>
    <n v="730"/>
    <n v="60"/>
    <s v="PRFL.00.0020"/>
    <n v="0"/>
    <n v="0"/>
    <s v="FERNANDO CARDOSO"/>
    <m/>
    <m/>
    <m/>
    <d v="2021-12-20T08:52:00"/>
    <n v="0"/>
    <n v="0"/>
    <x v="0"/>
    <n v="50"/>
  </r>
  <r>
    <n v="15594817018"/>
    <n v="225"/>
    <m/>
    <x v="43"/>
    <n v="15265449061"/>
    <x v="17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395751673"/>
    <s v="Produto 10"/>
    <n v="50"/>
    <n v="7.7"/>
    <n v="0"/>
    <n v="5.8620000000000001"/>
    <n v="385"/>
    <n v="60"/>
    <s v="PRFL.00.0039"/>
    <n v="0"/>
    <n v="0"/>
    <s v="FERNANDO CARDOSO"/>
    <m/>
    <m/>
    <m/>
    <d v="2021-12-20T08:52:00"/>
    <n v="0"/>
    <n v="0"/>
    <x v="3"/>
    <n v="55.000000000000007"/>
  </r>
  <r>
    <n v="15594817018"/>
    <n v="225"/>
    <m/>
    <x v="43"/>
    <n v="15265449061"/>
    <x v="3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5511068"/>
    <s v="Produto 14"/>
    <n v="50"/>
    <n v="15"/>
    <n v="9.64"/>
    <n v="10.23"/>
    <n v="750"/>
    <n v="60"/>
    <s v="PRFL.00.0005"/>
    <n v="0"/>
    <n v="0"/>
    <s v="FERNANDO CARDOSO"/>
    <m/>
    <m/>
    <m/>
    <d v="2021-12-20T08:52:00"/>
    <n v="0"/>
    <n v="0"/>
    <x v="1"/>
    <n v="70"/>
  </r>
  <r>
    <n v="15595155936"/>
    <n v="226"/>
    <m/>
    <x v="43"/>
    <n v="15293435625"/>
    <x v="2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6080333"/>
    <s v="Produto 09"/>
    <n v="700"/>
    <n v="13.95"/>
    <n v="0"/>
    <n v="10.747"/>
    <n v="9765"/>
    <n v="76"/>
    <s v="PRFL.00.0024"/>
    <n v="0"/>
    <n v="0"/>
    <s v="FERNANDO CARDOSO"/>
    <m/>
    <m/>
    <m/>
    <d v="2021-12-20T16:58:00"/>
    <n v="0"/>
    <n v="0"/>
    <x v="4"/>
    <n v="770.00000000000011"/>
  </r>
  <r>
    <n v="15595155936"/>
    <n v="226"/>
    <m/>
    <x v="43"/>
    <n v="15293435625"/>
    <x v="2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016087271"/>
    <s v="Produto 03"/>
    <n v="500"/>
    <n v="17.8"/>
    <n v="0"/>
    <n v="14.4596"/>
    <n v="8900"/>
    <n v="76"/>
    <s v="PRFL.00.0025"/>
    <n v="0"/>
    <n v="0"/>
    <s v="FERNANDO CARDOSO"/>
    <m/>
    <m/>
    <m/>
    <d v="2021-12-20T16:58:00"/>
    <n v="0"/>
    <n v="0"/>
    <x v="13"/>
    <n v="300"/>
  </r>
  <r>
    <n v="15595155936"/>
    <n v="226"/>
    <m/>
    <x v="43"/>
    <n v="15293435625"/>
    <x v="12"/>
    <s v="12.580.433/0001-42"/>
    <s v="Rodovia SC 405 Rio Tavares, 1178, -"/>
    <s v="campeche"/>
    <s v="Florianópolis"/>
    <n v="88048000"/>
    <s v="SC"/>
    <s v="so.gesso@hotmail.com"/>
    <n v="4833388551"/>
    <n v="0"/>
    <n v="0"/>
    <m/>
    <s v="Atendido"/>
    <n v="15139667431"/>
    <s v="Produto 09"/>
    <n v="100"/>
    <n v="20.9"/>
    <n v="0"/>
    <n v="0"/>
    <n v="2090"/>
    <n v="76"/>
    <s v="PRFL.00.0028"/>
    <n v="0"/>
    <n v="0"/>
    <s v="FERNANDO CARDOSO"/>
    <m/>
    <m/>
    <m/>
    <d v="2021-12-20T16:58:00"/>
    <n v="0"/>
    <n v="0"/>
    <x v="4"/>
    <n v="110.00000000000001"/>
  </r>
  <r>
    <n v="15595187697"/>
    <n v="227"/>
    <m/>
    <x v="43"/>
    <n v="15059073318"/>
    <x v="10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93155"/>
    <s v="Produto 12"/>
    <n v="100"/>
    <n v="17.5"/>
    <n v="0"/>
    <n v="14.4596"/>
    <n v="1750"/>
    <n v="30"/>
    <s v="PRFL.00.0026"/>
    <n v="0"/>
    <n v="0"/>
    <s v="FERNANDO CARDOSO"/>
    <m/>
    <m/>
    <m/>
    <d v="2021-12-20T08:51:00"/>
    <n v="0"/>
    <n v="0"/>
    <x v="15"/>
    <n v="140"/>
  </r>
  <r>
    <n v="15595187697"/>
    <n v="227"/>
    <m/>
    <x v="43"/>
    <n v="15059073318"/>
    <x v="3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80333"/>
    <s v="Produto 10"/>
    <n v="50"/>
    <n v="13.6"/>
    <n v="0"/>
    <n v="10.747"/>
    <n v="680"/>
    <n v="30"/>
    <s v="PRFL.00.0024"/>
    <n v="0"/>
    <n v="0"/>
    <s v="FERNANDO CARDOSO"/>
    <m/>
    <m/>
    <m/>
    <d v="2021-12-20T08:51:00"/>
    <n v="0"/>
    <n v="0"/>
    <x v="3"/>
    <n v="55.000000000000007"/>
  </r>
  <r>
    <n v="15595187697"/>
    <n v="227"/>
    <m/>
    <x v="43"/>
    <n v="15059073318"/>
    <x v="3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49144"/>
    <s v="Produto 12"/>
    <n v="200"/>
    <n v="7.3"/>
    <n v="0"/>
    <n v="5.8620000000000001"/>
    <n v="1460"/>
    <n v="30"/>
    <s v="PRFL.00.0020"/>
    <n v="0"/>
    <n v="0"/>
    <s v="FERNANDO CARDOSO"/>
    <m/>
    <m/>
    <m/>
    <d v="2021-12-20T08:51:00"/>
    <n v="0"/>
    <n v="0"/>
    <x v="15"/>
    <n v="280"/>
  </r>
  <r>
    <n v="15595187697"/>
    <n v="227"/>
    <m/>
    <x v="43"/>
    <n v="15059073318"/>
    <x v="9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Atendido"/>
    <n v="15016043939"/>
    <s v="Produto 13"/>
    <n v="100"/>
    <n v="12.8"/>
    <n v="0"/>
    <n v="10.747"/>
    <n v="1280"/>
    <n v="30"/>
    <s v="PRFL.00.0019"/>
    <n v="0"/>
    <n v="0"/>
    <s v="FERNANDO CARDOSO"/>
    <m/>
    <m/>
    <m/>
    <d v="2021-12-20T08:51:00"/>
    <n v="0"/>
    <n v="0"/>
    <x v="2"/>
    <n v="140"/>
  </r>
  <r>
    <n v="15610303583"/>
    <n v="228"/>
    <m/>
    <x v="44"/>
    <n v="15179581888"/>
    <x v="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9144"/>
    <s v="Produto 05"/>
    <n v="300"/>
    <n v="7.14"/>
    <n v="0"/>
    <n v="5.8620000000000001"/>
    <n v="2142"/>
    <n v="41"/>
    <s v="PRFL.00.0020"/>
    <n v="0"/>
    <n v="0"/>
    <s v="HENRIQUE"/>
    <m/>
    <m/>
    <m/>
    <d v="2021-12-22T13:59:00"/>
    <n v="0"/>
    <n v="0"/>
    <x v="5"/>
    <n v="180"/>
  </r>
  <r>
    <n v="15610303583"/>
    <n v="228"/>
    <m/>
    <x v="44"/>
    <n v="15179581888"/>
    <x v="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1"/>
    <n v="208"/>
    <n v="10"/>
    <n v="0"/>
    <n v="16.804400000000001"/>
    <n v="2080"/>
    <n v="41"/>
    <s v="PRFL.00.0027"/>
    <n v="0"/>
    <n v="0"/>
    <s v="HENRIQUE"/>
    <m/>
    <m/>
    <m/>
    <d v="2021-12-22T13:59:00"/>
    <n v="0"/>
    <n v="0"/>
    <x v="7"/>
    <n v="83.2"/>
  </r>
  <r>
    <n v="15610303583"/>
    <n v="228"/>
    <m/>
    <x v="44"/>
    <n v="15179581888"/>
    <x v="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8"/>
    <n v="8"/>
    <n v="8"/>
    <n v="0"/>
    <n v="14.4596"/>
    <n v="64"/>
    <n v="41"/>
    <s v="PRFL.00.0026"/>
    <n v="0"/>
    <n v="0"/>
    <s v="HENRIQUE"/>
    <m/>
    <m/>
    <m/>
    <d v="2021-12-22T13:59:00"/>
    <n v="0"/>
    <n v="0"/>
    <x v="14"/>
    <n v="8.8000000000000007"/>
  </r>
  <r>
    <n v="15610303583"/>
    <n v="228"/>
    <m/>
    <x v="44"/>
    <n v="15179581888"/>
    <x v="18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4"/>
    <n v="11"/>
    <n v="7"/>
    <n v="0"/>
    <n v="10.747"/>
    <n v="77"/>
    <n v="41"/>
    <s v="PRFL.00.0019"/>
    <n v="0"/>
    <n v="0"/>
    <s v="HENRIQUE"/>
    <m/>
    <m/>
    <m/>
    <d v="2021-12-22T13:59:00"/>
    <n v="0"/>
    <n v="0"/>
    <x v="1"/>
    <n v="15.399999999999999"/>
  </r>
  <r>
    <n v="15610890462"/>
    <n v="229"/>
    <m/>
    <x v="44"/>
    <n v="15264888160"/>
    <x v="17"/>
    <s v="28.012.307/0001-21"/>
    <s v="Américo Vespucio, 560, -"/>
    <s v="Nova Brasília"/>
    <s v="Joinville"/>
    <n v="89213401"/>
    <s v="SC"/>
    <s v="vendas@engeplax.com.br"/>
    <n v="4734530505"/>
    <n v="0"/>
    <n v="0"/>
    <s v="NFE 851"/>
    <s v="Atendido"/>
    <n v="15016043939"/>
    <s v="Produto 16"/>
    <n v="200"/>
    <n v="13.55"/>
    <n v="0"/>
    <n v="10.747"/>
    <n v="2710"/>
    <n v="57"/>
    <s v="PRFL.00.0019"/>
    <n v="0"/>
    <n v="0"/>
    <s v="FERNANDO CARDOSO"/>
    <m/>
    <m/>
    <m/>
    <d v="2021-12-20T08:53:00"/>
    <n v="0"/>
    <n v="0"/>
    <x v="9"/>
    <n v="254"/>
  </r>
  <r>
    <n v="15610890462"/>
    <n v="229"/>
    <m/>
    <x v="44"/>
    <n v="15264888160"/>
    <x v="19"/>
    <s v="28.012.307/0001-21"/>
    <s v="Américo Vespucio, 560, -"/>
    <s v="Nova Brasília"/>
    <s v="Joinville"/>
    <n v="89213401"/>
    <s v="SC"/>
    <s v="vendas@engeplax.com.br"/>
    <n v="4734530505"/>
    <n v="0"/>
    <n v="0"/>
    <s v="NFE 851"/>
    <s v="Atendido"/>
    <n v="15015511068"/>
    <s v="Produto 06"/>
    <n v="50"/>
    <n v="15"/>
    <n v="9.64"/>
    <n v="10.23"/>
    <n v="750"/>
    <n v="57"/>
    <s v="PRFL.00.0005"/>
    <n v="0"/>
    <n v="0"/>
    <s v="FERNANDO CARDOSO"/>
    <m/>
    <m/>
    <m/>
    <d v="2021-12-20T08:53:00"/>
    <n v="0"/>
    <n v="0"/>
    <x v="0"/>
    <n v="25"/>
  </r>
  <r>
    <n v="15611983247"/>
    <n v="230"/>
    <m/>
    <x v="44"/>
    <n v="15582141432"/>
    <x v="14"/>
    <s v="116.252.809-55"/>
    <m/>
    <m/>
    <m/>
    <n v="0"/>
    <m/>
    <s v="Daniel@Daniel.com"/>
    <n v="4184727286"/>
    <n v="0"/>
    <n v="0"/>
    <m/>
    <s v="Atendido"/>
    <n v="15016043939"/>
    <s v="Produto 11"/>
    <n v="50"/>
    <n v="14.1"/>
    <n v="0"/>
    <n v="10.747"/>
    <n v="705"/>
    <n v="130"/>
    <s v="PRFL.00.0019"/>
    <n v="0"/>
    <n v="0"/>
    <s v="HENRIQUE"/>
    <m/>
    <m/>
    <m/>
    <d v="2021-12-17T14:07:00"/>
    <n v="0"/>
    <n v="0"/>
    <x v="11"/>
    <n v="55.000000000000007"/>
  </r>
  <r>
    <n v="15611983247"/>
    <n v="230"/>
    <m/>
    <x v="44"/>
    <n v="15582141432"/>
    <x v="5"/>
    <s v="116.252.809-55"/>
    <m/>
    <m/>
    <m/>
    <n v="0"/>
    <m/>
    <s v="Daniel@Daniel.com"/>
    <n v="4184727286"/>
    <n v="0"/>
    <n v="0"/>
    <m/>
    <s v="Atendido"/>
    <n v="15015511068"/>
    <s v="Produto 16"/>
    <n v="100"/>
    <n v="16.600000000000001"/>
    <n v="0"/>
    <n v="10.23"/>
    <n v="1660"/>
    <n v="130"/>
    <s v="PRFL.00.0005"/>
    <n v="0"/>
    <n v="0"/>
    <s v="HENRIQUE"/>
    <m/>
    <m/>
    <m/>
    <d v="2021-12-17T14:07:00"/>
    <n v="0"/>
    <n v="0"/>
    <x v="9"/>
    <n v="127"/>
  </r>
  <r>
    <n v="15627905986"/>
    <n v="232"/>
    <m/>
    <x v="44"/>
    <n v="15602903347"/>
    <x v="8"/>
    <s v="009.566.559-55"/>
    <m/>
    <m/>
    <m/>
    <m/>
    <s v=" "/>
    <m/>
    <m/>
    <n v="0"/>
    <n v="0"/>
    <m/>
    <s v="Atendido"/>
    <n v="15016087271"/>
    <s v="Produto 16"/>
    <n v="18"/>
    <n v="18.55"/>
    <n v="0"/>
    <n v="14.4596"/>
    <n v="333.9"/>
    <n v="132"/>
    <s v="PRFL.00.0025"/>
    <n v="0"/>
    <n v="0"/>
    <s v="HENRIQUE"/>
    <m/>
    <m/>
    <m/>
    <d v="2021-12-22T13:59:00"/>
    <n v="0"/>
    <n v="0"/>
    <x v="9"/>
    <n v="22.86"/>
  </r>
  <r>
    <n v="15627905986"/>
    <n v="232"/>
    <m/>
    <x v="44"/>
    <n v="15602903347"/>
    <x v="15"/>
    <s v="009.566.559-55"/>
    <m/>
    <m/>
    <m/>
    <m/>
    <s v=" "/>
    <m/>
    <m/>
    <n v="0"/>
    <n v="0"/>
    <m/>
    <s v="Atendido"/>
    <n v="15016099089"/>
    <s v="Produto 17"/>
    <n v="44"/>
    <n v="21.65"/>
    <n v="0"/>
    <n v="16.804400000000001"/>
    <n v="952.6"/>
    <n v="132"/>
    <s v="PRFL.00.0027"/>
    <n v="0"/>
    <n v="0"/>
    <s v="HENRIQUE"/>
    <m/>
    <m/>
    <m/>
    <d v="2021-12-22T13:59:00"/>
    <n v="0"/>
    <n v="0"/>
    <x v="8"/>
    <n v="62.48"/>
  </r>
  <r>
    <n v="15627830338"/>
    <n v="231"/>
    <m/>
    <x v="45"/>
    <n v="15602910935"/>
    <x v="0"/>
    <s v="36.296.276/0001-06"/>
    <s v="R MATUTINA, 341, N/A"/>
    <s v="Guatupe"/>
    <s v="Curitiba"/>
    <s v="83060-710"/>
    <s v="PR"/>
    <m/>
    <m/>
    <n v="0"/>
    <n v="12"/>
    <m/>
    <s v="Atendido"/>
    <n v="15015918644"/>
    <s v="Produto 11"/>
    <n v="120"/>
    <n v="8.2799999999999994"/>
    <n v="0"/>
    <n v="5.61"/>
    <n v="993.6"/>
    <n v="133"/>
    <s v="PRFL.00.0011"/>
    <n v="5.59"/>
    <n v="0"/>
    <s v="HENRIQUE"/>
    <m/>
    <m/>
    <m/>
    <d v="2021-12-22T13:58:00"/>
    <n v="0"/>
    <n v="0"/>
    <x v="11"/>
    <n v="132"/>
  </r>
  <r>
    <n v="15627830338"/>
    <n v="231"/>
    <m/>
    <x v="45"/>
    <n v="15602910935"/>
    <x v="14"/>
    <s v="36.296.276/0001-06"/>
    <s v="R MATUTINA, 341, N/A"/>
    <s v="Guatupe"/>
    <s v="Curitiba"/>
    <s v="83060-710"/>
    <s v="PR"/>
    <m/>
    <m/>
    <n v="0"/>
    <n v="12"/>
    <m/>
    <s v="Atendido"/>
    <n v="15016043939"/>
    <s v="Produto 09"/>
    <n v="80"/>
    <n v="14.25"/>
    <n v="0"/>
    <n v="10.747"/>
    <n v="1140"/>
    <n v="133"/>
    <s v="PRFL.00.0019"/>
    <n v="6.41"/>
    <n v="0"/>
    <s v="HENRIQUE"/>
    <m/>
    <m/>
    <m/>
    <d v="2021-12-22T13:58:00"/>
    <n v="0"/>
    <n v="0"/>
    <x v="4"/>
    <n v="88"/>
  </r>
  <r>
    <n v="15631068273"/>
    <n v="235"/>
    <m/>
    <x v="45"/>
    <n v="15020006032"/>
    <x v="5"/>
    <s v="28.561.609/0001-59"/>
    <s v="Rodovia BR-277 Curitiba-Paranaguá, 3641"/>
    <s v="Cajuru"/>
    <s v="Curitiba"/>
    <n v="82960015"/>
    <s v="PR"/>
    <s v="teste@share-inc.com.br"/>
    <n v="41996838559"/>
    <n v="0"/>
    <n v="0"/>
    <s v="NFE 852"/>
    <s v="Atendido"/>
    <n v="15139667431"/>
    <s v="Produto 08"/>
    <n v="100"/>
    <n v="20.9"/>
    <n v="0"/>
    <n v="0"/>
    <n v="2090"/>
    <n v="16"/>
    <s v="PRFL.00.0028"/>
    <n v="0"/>
    <n v="0"/>
    <s v="HENRIQUE"/>
    <m/>
    <m/>
    <m/>
    <d v="2021-12-22T14:00:00"/>
    <n v="0"/>
    <n v="0"/>
    <x v="14"/>
    <n v="110.00000000000001"/>
  </r>
  <r>
    <n v="15631068273"/>
    <n v="235"/>
    <m/>
    <x v="45"/>
    <n v="15020006032"/>
    <x v="6"/>
    <s v="28.561.609/0001-59"/>
    <s v="Rodovia BR-277 Curitiba-Paranaguá, 3641"/>
    <s v="Cajuru"/>
    <s v="Curitiba"/>
    <n v="82960015"/>
    <s v="PR"/>
    <s v="teste@share-inc.com.br"/>
    <n v="41996838559"/>
    <n v="0"/>
    <n v="0"/>
    <s v="NFE 852"/>
    <s v="Atendido"/>
    <n v="15395751673"/>
    <s v="Produto 06"/>
    <n v="150"/>
    <n v="7.85"/>
    <n v="0"/>
    <n v="5.8620000000000001"/>
    <n v="1177.5"/>
    <n v="16"/>
    <s v="PRFL.00.0039"/>
    <n v="0"/>
    <n v="0"/>
    <s v="HENRIQUE"/>
    <m/>
    <m/>
    <m/>
    <d v="2021-12-22T14:00:00"/>
    <n v="0"/>
    <n v="0"/>
    <x v="0"/>
    <n v="75"/>
  </r>
  <r>
    <n v="15631075564"/>
    <n v="236"/>
    <m/>
    <x v="45"/>
    <n v="15058698393"/>
    <x v="15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93155"/>
    <s v="Produto 06"/>
    <n v="200"/>
    <n v="16.7"/>
    <n v="0"/>
    <n v="14.4596"/>
    <n v="3340"/>
    <n v="18"/>
    <s v="PRFL.00.0026"/>
    <n v="0"/>
    <n v="0"/>
    <s v="HENRIQUE"/>
    <m/>
    <m/>
    <m/>
    <d v="2021-12-20T16:57:00"/>
    <n v="0"/>
    <n v="0"/>
    <x v="0"/>
    <n v="100"/>
  </r>
  <r>
    <n v="15631075564"/>
    <n v="236"/>
    <m/>
    <x v="45"/>
    <n v="15058698393"/>
    <x v="7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80333"/>
    <s v="Produto 16"/>
    <n v="200"/>
    <n v="13.5"/>
    <n v="11.76"/>
    <n v="10.747"/>
    <n v="2700"/>
    <n v="18"/>
    <s v="PRFL.00.0024"/>
    <n v="0"/>
    <n v="0"/>
    <s v="HENRIQUE"/>
    <m/>
    <m/>
    <m/>
    <d v="2021-12-20T16:57:00"/>
    <n v="0"/>
    <n v="0"/>
    <x v="9"/>
    <n v="254"/>
  </r>
  <r>
    <n v="15635775263"/>
    <n v="237"/>
    <m/>
    <x v="45"/>
    <n v="15179724225"/>
    <x v="16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43939"/>
    <s v="Produto 14"/>
    <n v="300"/>
    <n v="13.9"/>
    <n v="0"/>
    <n v="10.747"/>
    <n v="4170"/>
    <n v="47"/>
    <s v="PRFL.00.0019"/>
    <n v="0"/>
    <n v="0"/>
    <s v="AMANDA HUBBE"/>
    <m/>
    <m/>
    <m/>
    <d v="2021-12-22T14:01:00"/>
    <n v="0"/>
    <n v="0"/>
    <x v="1"/>
    <n v="420"/>
  </r>
  <r>
    <n v="15635775263"/>
    <n v="237"/>
    <m/>
    <x v="45"/>
    <n v="15179724225"/>
    <x v="17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99089"/>
    <s v="Produto 03"/>
    <n v="80"/>
    <n v="21.45"/>
    <n v="0"/>
    <n v="16.804400000000001"/>
    <n v="1716"/>
    <n v="47"/>
    <s v="PRFL.00.0027"/>
    <n v="0"/>
    <n v="0"/>
    <s v="AMANDA HUBBE"/>
    <m/>
    <m/>
    <m/>
    <d v="2021-12-22T14:01:00"/>
    <n v="0"/>
    <n v="0"/>
    <x v="13"/>
    <n v="48"/>
  </r>
  <r>
    <n v="15635775263"/>
    <n v="237"/>
    <m/>
    <x v="45"/>
    <n v="15179724225"/>
    <x v="0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87271"/>
    <s v="Produto 11"/>
    <n v="40"/>
    <n v="18.350000000000001"/>
    <n v="0"/>
    <n v="14.4596"/>
    <n v="734"/>
    <n v="47"/>
    <s v="PRFL.00.0025"/>
    <n v="0"/>
    <n v="0"/>
    <s v="AMANDA HUBBE"/>
    <m/>
    <m/>
    <m/>
    <d v="2021-12-22T14:01:00"/>
    <n v="0"/>
    <n v="0"/>
    <x v="11"/>
    <n v="44"/>
  </r>
  <r>
    <n v="15635775263"/>
    <n v="237"/>
    <m/>
    <x v="45"/>
    <n v="15179724225"/>
    <x v="14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139727614"/>
    <s v="Produto 08"/>
    <n v="10"/>
    <n v="23.85"/>
    <n v="0"/>
    <n v="0"/>
    <n v="238.5"/>
    <n v="47"/>
    <s v="PRFL.00.0029"/>
    <n v="0"/>
    <n v="0"/>
    <s v="AMANDA HUBBE"/>
    <m/>
    <m/>
    <m/>
    <d v="2021-12-22T14:01:00"/>
    <n v="0"/>
    <n v="0"/>
    <x v="14"/>
    <n v="11"/>
  </r>
  <r>
    <n v="15635775263"/>
    <n v="237"/>
    <m/>
    <x v="45"/>
    <n v="15179724225"/>
    <x v="16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139667431"/>
    <s v="Produto 07"/>
    <n v="5"/>
    <n v="21"/>
    <n v="0"/>
    <n v="0"/>
    <n v="105"/>
    <n v="47"/>
    <s v="PRFL.00.0028"/>
    <n v="0"/>
    <n v="0"/>
    <s v="AMANDA HUBBE"/>
    <m/>
    <m/>
    <m/>
    <d v="2021-12-22T14:01:00"/>
    <n v="0"/>
    <n v="0"/>
    <x v="12"/>
    <n v="5.5"/>
  </r>
  <r>
    <n v="15635775263"/>
    <n v="237"/>
    <m/>
    <x v="45"/>
    <n v="15179724225"/>
    <x v="3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80333"/>
    <s v="Produto 07"/>
    <n v="10"/>
    <n v="15.2"/>
    <n v="0"/>
    <n v="10.747"/>
    <n v="152"/>
    <n v="47"/>
    <s v="PRFL.00.0024"/>
    <n v="0"/>
    <n v="0"/>
    <s v="AMANDA HUBBE"/>
    <m/>
    <m/>
    <m/>
    <d v="2021-12-22T14:01:00"/>
    <n v="0"/>
    <n v="0"/>
    <x v="12"/>
    <n v="11"/>
  </r>
  <r>
    <n v="15635775263"/>
    <n v="237"/>
    <m/>
    <x v="45"/>
    <n v="15179724225"/>
    <x v="9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6093155"/>
    <s v="Produto 11"/>
    <n v="20"/>
    <n v="18.45"/>
    <n v="0"/>
    <n v="14.4596"/>
    <n v="369"/>
    <n v="47"/>
    <s v="PRFL.00.0026"/>
    <n v="0"/>
    <n v="0"/>
    <s v="AMANDA HUBBE"/>
    <m/>
    <m/>
    <m/>
    <d v="2021-12-22T14:01:00"/>
    <n v="0"/>
    <n v="0"/>
    <x v="11"/>
    <n v="22"/>
  </r>
  <r>
    <n v="15635775263"/>
    <n v="237"/>
    <m/>
    <x v="45"/>
    <n v="15179724225"/>
    <x v="1"/>
    <s v="29.578.605/0001-46"/>
    <s v="RUA JOAO DOSZANET, 553"/>
    <s v="CONTORNO"/>
    <s v="Ponta Grossa"/>
    <n v="84060872"/>
    <s v="PR"/>
    <s v="comercial@perfilar.ind.br"/>
    <n v="4299550985"/>
    <n v="0"/>
    <n v="0"/>
    <m/>
    <s v="Atendido"/>
    <n v="15015511068"/>
    <s v="Produto 13"/>
    <n v="100"/>
    <n v="16.399999999999999"/>
    <n v="1.2"/>
    <n v="10.23"/>
    <n v="1640"/>
    <n v="47"/>
    <s v="PRFL.00.0005"/>
    <n v="0"/>
    <n v="0"/>
    <s v="AMANDA HUBBE"/>
    <m/>
    <m/>
    <m/>
    <d v="2021-12-22T14:01:00"/>
    <n v="0"/>
    <n v="0"/>
    <x v="2"/>
    <n v="140"/>
  </r>
  <r>
    <n v="15647225376"/>
    <n v="238"/>
    <m/>
    <x v="46"/>
    <n v="15339582855"/>
    <x v="5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9"/>
    <s v="Atendido"/>
    <n v="15016043939"/>
    <s v="Produto 10"/>
    <n v="4000"/>
    <n v="12.45"/>
    <n v="0"/>
    <n v="10.747"/>
    <n v="49800"/>
    <n v="83"/>
    <s v="PRFL.00.0019"/>
    <n v="0"/>
    <n v="0"/>
    <s v="HENRIQUE"/>
    <m/>
    <m/>
    <m/>
    <d v="2022-01-04T08:47:00"/>
    <n v="0"/>
    <n v="0"/>
    <x v="3"/>
    <n v="4400"/>
  </r>
  <r>
    <n v="15647225376"/>
    <n v="238"/>
    <m/>
    <x v="46"/>
    <n v="15339582855"/>
    <x v="1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9"/>
    <s v="Atendido"/>
    <n v="15016049144"/>
    <s v="Produto 05"/>
    <n v="2000"/>
    <n v="7.18"/>
    <n v="0"/>
    <n v="5.8620000000000001"/>
    <n v="14360"/>
    <n v="83"/>
    <s v="PRFL.00.0020"/>
    <n v="0"/>
    <n v="0"/>
    <s v="HENRIQUE"/>
    <m/>
    <m/>
    <m/>
    <d v="2022-01-04T08:47:00"/>
    <n v="0"/>
    <n v="0"/>
    <x v="5"/>
    <n v="1200"/>
  </r>
  <r>
    <n v="15647225376"/>
    <n v="238"/>
    <m/>
    <x v="46"/>
    <n v="15339582855"/>
    <x v="13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9"/>
    <s v="Atendido"/>
    <n v="15016093155"/>
    <s v="Produto 14"/>
    <n v="1000"/>
    <n v="16.399999999999999"/>
    <n v="0"/>
    <n v="14.4596"/>
    <n v="16400"/>
    <n v="83"/>
    <s v="PRFL.00.0026"/>
    <n v="0"/>
    <n v="0"/>
    <s v="HENRIQUE"/>
    <m/>
    <m/>
    <m/>
    <d v="2022-01-04T08:47:00"/>
    <n v="0"/>
    <n v="0"/>
    <x v="1"/>
    <n v="1400"/>
  </r>
  <r>
    <n v="15647225376"/>
    <n v="238"/>
    <m/>
    <x v="46"/>
    <n v="15339582855"/>
    <x v="18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9"/>
    <s v="Atendido"/>
    <n v="15015886084"/>
    <s v="Produto 15"/>
    <n v="1000"/>
    <n v="19.25"/>
    <n v="0"/>
    <n v="15.996"/>
    <n v="19250"/>
    <n v="83"/>
    <s v="PRFL.00.0009"/>
    <n v="0"/>
    <n v="0"/>
    <s v="HENRIQUE"/>
    <m/>
    <m/>
    <m/>
    <d v="2022-01-04T08:47:00"/>
    <n v="0"/>
    <n v="0"/>
    <x v="16"/>
    <n v="1420"/>
  </r>
  <r>
    <n v="15647225376"/>
    <n v="238"/>
    <m/>
    <x v="46"/>
    <n v="15339582855"/>
    <x v="18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9"/>
    <s v="Atendido"/>
    <n v="15016080333"/>
    <s v="Produto 09"/>
    <n v="600"/>
    <n v="13.4"/>
    <n v="0"/>
    <n v="10.747"/>
    <n v="8040"/>
    <n v="83"/>
    <s v="PRFL.00.0024"/>
    <n v="0"/>
    <n v="0"/>
    <s v="HENRIQUE"/>
    <m/>
    <m/>
    <m/>
    <d v="2022-01-04T08:47:00"/>
    <n v="0"/>
    <n v="0"/>
    <x v="4"/>
    <n v="660"/>
  </r>
  <r>
    <n v="15647225376"/>
    <n v="238"/>
    <m/>
    <x v="46"/>
    <n v="15339582855"/>
    <x v="2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9"/>
    <s v="Atendido"/>
    <n v="15139727614"/>
    <s v="Produto 13"/>
    <n v="500"/>
    <n v="22.75"/>
    <n v="0"/>
    <n v="0"/>
    <n v="11375"/>
    <n v="83"/>
    <s v="PRFL.00.0029"/>
    <n v="0"/>
    <n v="0"/>
    <s v="HENRIQUE"/>
    <m/>
    <m/>
    <m/>
    <d v="2022-01-04T08:47:00"/>
    <n v="0"/>
    <n v="0"/>
    <x v="2"/>
    <n v="700"/>
  </r>
  <r>
    <n v="15647225376"/>
    <n v="238"/>
    <m/>
    <x v="46"/>
    <n v="15339582855"/>
    <x v="6"/>
    <s v="11.948.531/0001-27"/>
    <s v="RUA JOSE FERNANDES MALDONADO, 255, BARRACAO C"/>
    <s v="BAIRRO ALTO"/>
    <s v="Curitiba"/>
    <n v="82840020"/>
    <s v="PR"/>
    <s v="Elizeu@gds.com.br"/>
    <n v="41995546245"/>
    <n v="0"/>
    <n v="0"/>
    <s v="NFE 859"/>
    <s v="Atendido"/>
    <n v="15015511068"/>
    <s v="Produto 04"/>
    <n v="420"/>
    <n v="14.6"/>
    <n v="12.05"/>
    <n v="10.23"/>
    <n v="6132"/>
    <n v="83"/>
    <s v="PRFL.00.0005"/>
    <n v="0"/>
    <n v="0"/>
    <s v="HENRIQUE"/>
    <m/>
    <m/>
    <m/>
    <d v="2022-01-04T08:47:00"/>
    <n v="0"/>
    <n v="0"/>
    <x v="10"/>
    <n v="252"/>
  </r>
  <r>
    <n v="15647357774"/>
    <n v="239"/>
    <m/>
    <x v="46"/>
    <n v="15279322250"/>
    <x v="10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3939"/>
    <s v="Produto 11"/>
    <n v="300"/>
    <n v="12.45"/>
    <n v="0"/>
    <n v="10.747"/>
    <n v="3735"/>
    <n v="68"/>
    <s v="PRFL.00.0019"/>
    <n v="0"/>
    <n v="0"/>
    <s v="HENRIQUE"/>
    <m/>
    <m/>
    <m/>
    <d v="2021-12-22T14:23:00"/>
    <n v="0"/>
    <n v="0"/>
    <x v="11"/>
    <n v="330"/>
  </r>
  <r>
    <n v="15647357774"/>
    <n v="239"/>
    <m/>
    <x v="46"/>
    <n v="15279322250"/>
    <x v="10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9089"/>
    <s v="Produto 07"/>
    <n v="200"/>
    <n v="19.3"/>
    <n v="0"/>
    <n v="16.804400000000001"/>
    <n v="3860"/>
    <n v="68"/>
    <s v="PRFL.00.0027"/>
    <n v="0"/>
    <n v="0"/>
    <s v="HENRIQUE"/>
    <m/>
    <m/>
    <m/>
    <d v="2021-12-22T14:23:00"/>
    <n v="0"/>
    <n v="0"/>
    <x v="12"/>
    <n v="220.00000000000003"/>
  </r>
  <r>
    <n v="15647357774"/>
    <n v="239"/>
    <m/>
    <x v="46"/>
    <n v="15279322250"/>
    <x v="13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3155"/>
    <s v="Produto 14"/>
    <n v="200"/>
    <n v="16.7"/>
    <n v="0"/>
    <n v="14.4596"/>
    <n v="3340"/>
    <n v="68"/>
    <s v="PRFL.00.0026"/>
    <n v="0"/>
    <n v="0"/>
    <s v="HENRIQUE"/>
    <m/>
    <m/>
    <m/>
    <d v="2021-12-22T14:23:00"/>
    <n v="0"/>
    <n v="0"/>
    <x v="1"/>
    <n v="280"/>
  </r>
  <r>
    <n v="15647357774"/>
    <n v="239"/>
    <m/>
    <x v="46"/>
    <n v="15279322250"/>
    <x v="16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80333"/>
    <s v="Produto 08"/>
    <n v="100"/>
    <n v="13.5"/>
    <n v="11.76"/>
    <n v="10.747"/>
    <n v="1350"/>
    <n v="68"/>
    <s v="PRFL.00.0024"/>
    <n v="0"/>
    <n v="0"/>
    <s v="HENRIQUE"/>
    <m/>
    <m/>
    <m/>
    <d v="2021-12-22T14:23:00"/>
    <n v="0"/>
    <n v="0"/>
    <x v="14"/>
    <n v="110.00000000000001"/>
  </r>
  <r>
    <n v="15653652971"/>
    <n v="240"/>
    <m/>
    <x v="47"/>
    <n v="15605047645"/>
    <x v="1"/>
    <s v="34.397.241/0001-38"/>
    <s v="ROD BR-158 KM 324,230 AO KM 325,468 PAR, 10500, PAVILHAO"/>
    <s v="Centro"/>
    <s v="Santa Maria"/>
    <n v="97100000"/>
    <s v="RS"/>
    <s v="CONTATO@INTRAGESSO.COM.BR"/>
    <n v="5532216217"/>
    <n v="0"/>
    <n v="1500"/>
    <m/>
    <s v="Atendido"/>
    <n v="15016099089"/>
    <s v="Produto 01"/>
    <n v="300"/>
    <n v="20.99"/>
    <n v="0"/>
    <n v="16.804400000000001"/>
    <n v="6297"/>
    <n v="138"/>
    <s v="PRFL.00.0027"/>
    <n v="724.74"/>
    <n v="0"/>
    <s v="GILLARD CAMPOS"/>
    <m/>
    <m/>
    <m/>
    <d v="2021-12-22T15:50:00"/>
    <n v="0"/>
    <n v="0"/>
    <x v="7"/>
    <n v="120"/>
  </r>
  <r>
    <n v="15653652971"/>
    <n v="240"/>
    <m/>
    <x v="47"/>
    <n v="15605047645"/>
    <x v="1"/>
    <s v="34.397.241/0001-38"/>
    <s v="ROD BR-158 KM 324,230 AO KM 325,468 PAR, 10500, PAVILHAO"/>
    <s v="Centro"/>
    <s v="Santa Maria"/>
    <n v="97100000"/>
    <s v="RS"/>
    <s v="CONTATO@INTRAGESSO.COM.BR"/>
    <n v="5532216217"/>
    <n v="0"/>
    <n v="1500"/>
    <m/>
    <s v="Atendido"/>
    <n v="15016049144"/>
    <s v="Produto 12"/>
    <n v="400"/>
    <n v="7.8"/>
    <n v="0"/>
    <n v="5.8620000000000001"/>
    <n v="3120"/>
    <n v="138"/>
    <s v="PRFL.00.0020"/>
    <n v="359.09"/>
    <n v="0"/>
    <s v="GILLARD CAMPOS"/>
    <m/>
    <m/>
    <m/>
    <d v="2021-12-22T15:50:00"/>
    <n v="0"/>
    <n v="0"/>
    <x v="15"/>
    <n v="560"/>
  </r>
  <r>
    <n v="15653652971"/>
    <n v="240"/>
    <m/>
    <x v="47"/>
    <n v="15605047645"/>
    <x v="7"/>
    <s v="34.397.241/0001-38"/>
    <s v="ROD BR-158 KM 324,230 AO KM 325,468 PAR, 10500, PAVILHAO"/>
    <s v="Centro"/>
    <s v="Santa Maria"/>
    <n v="97100000"/>
    <s v="RS"/>
    <s v="CONTATO@INTRAGESSO.COM.BR"/>
    <n v="5532216217"/>
    <n v="0"/>
    <n v="1500"/>
    <m/>
    <s v="Atendido"/>
    <n v="15016087271"/>
    <s v="Produto 04"/>
    <n v="200"/>
    <n v="18.079999999999998"/>
    <n v="0"/>
    <n v="14.4596"/>
    <n v="3616"/>
    <n v="138"/>
    <s v="PRFL.00.0025"/>
    <n v="416.17"/>
    <n v="0"/>
    <s v="GILLARD CAMPOS"/>
    <m/>
    <m/>
    <m/>
    <d v="2021-12-22T15:50:00"/>
    <n v="0"/>
    <n v="0"/>
    <x v="10"/>
    <n v="120"/>
  </r>
  <r>
    <n v="15659143570"/>
    <n v="242"/>
    <m/>
    <x v="47"/>
    <n v="15179581888"/>
    <x v="15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5511068"/>
    <s v="Produto 09"/>
    <n v="100"/>
    <n v="14.9"/>
    <n v="0"/>
    <n v="10.23"/>
    <n v="1490"/>
    <n v="41"/>
    <s v="PRFL.00.0005"/>
    <n v="0"/>
    <n v="0"/>
    <s v="HENRIQUE"/>
    <m/>
    <m/>
    <m/>
    <d v="2021-12-28T09:35:00"/>
    <n v="0"/>
    <n v="0"/>
    <x v="4"/>
    <n v="110.00000000000001"/>
  </r>
  <r>
    <n v="15659143570"/>
    <n v="242"/>
    <m/>
    <x v="47"/>
    <n v="15179581888"/>
    <x v="11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4"/>
    <n v="200"/>
    <n v="12.38"/>
    <n v="0"/>
    <n v="10.747"/>
    <n v="2476"/>
    <n v="41"/>
    <s v="PRFL.00.0019"/>
    <n v="0"/>
    <n v="0"/>
    <s v="HENRIQUE"/>
    <m/>
    <m/>
    <m/>
    <d v="2021-12-28T09:35:00"/>
    <n v="0"/>
    <n v="0"/>
    <x v="1"/>
    <n v="280"/>
  </r>
  <r>
    <n v="15659143570"/>
    <n v="242"/>
    <m/>
    <x v="47"/>
    <n v="15179581888"/>
    <x v="1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9144"/>
    <s v="Produto 13"/>
    <n v="200"/>
    <n v="7.04"/>
    <n v="0"/>
    <n v="5.8620000000000001"/>
    <n v="1408"/>
    <n v="41"/>
    <s v="PRFL.00.0020"/>
    <n v="0"/>
    <n v="0"/>
    <s v="HENRIQUE"/>
    <m/>
    <m/>
    <m/>
    <d v="2021-12-28T09:35:00"/>
    <n v="0"/>
    <n v="0"/>
    <x v="2"/>
    <n v="280"/>
  </r>
  <r>
    <n v="15665552805"/>
    <n v="244"/>
    <m/>
    <x v="48"/>
    <n v="15279322250"/>
    <x v="4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139727614"/>
    <s v="Produto 14"/>
    <n v="200"/>
    <n v="22.6"/>
    <n v="0"/>
    <n v="0"/>
    <n v="4520"/>
    <n v="68"/>
    <s v="PRFL.00.0029"/>
    <n v="0"/>
    <n v="0"/>
    <s v="HENRIQUE"/>
    <m/>
    <m/>
    <m/>
    <d v="2021-12-28T09:34:00"/>
    <n v="0"/>
    <n v="0"/>
    <x v="1"/>
    <n v="280"/>
  </r>
  <r>
    <n v="15666087625"/>
    <n v="245"/>
    <m/>
    <x v="48"/>
    <n v="15058959920"/>
    <x v="11"/>
    <s v="14.972.161/0001-51"/>
    <s v="Rua Poeta Carlos Drumond de Andrade, S/N, CASA B"/>
    <s v="Parque Avenida"/>
    <s v="Maringá"/>
    <n v="87025540"/>
    <s v="PR"/>
    <s v="amanda.hubbe@perfilar.ind.br"/>
    <n v="4441413353"/>
    <n v="0"/>
    <n v="650"/>
    <m/>
    <s v="Atendido"/>
    <n v="15016043939"/>
    <s v="Produto 09"/>
    <n v="350"/>
    <n v="14.1"/>
    <n v="0"/>
    <n v="10.747"/>
    <n v="4935"/>
    <n v="26"/>
    <s v="PRFL.00.0019"/>
    <n v="392.67"/>
    <n v="0"/>
    <s v="AMANDA HUBBE"/>
    <m/>
    <m/>
    <m/>
    <d v="2021-12-29T14:26:00"/>
    <n v="0"/>
    <n v="0"/>
    <x v="4"/>
    <n v="385.00000000000006"/>
  </r>
  <r>
    <n v="15666087625"/>
    <n v="245"/>
    <m/>
    <x v="48"/>
    <n v="15058959920"/>
    <x v="0"/>
    <s v="14.972.161/0001-51"/>
    <s v="Rua Poeta Carlos Drumond de Andrade, S/N, CASA B"/>
    <s v="Parque Avenida"/>
    <s v="Maringá"/>
    <n v="87025540"/>
    <s v="PR"/>
    <s v="amanda.hubbe@perfilar.ind.br"/>
    <n v="4441413353"/>
    <n v="0"/>
    <n v="650"/>
    <m/>
    <s v="Atendido"/>
    <n v="15015511068"/>
    <s v="Produto 05"/>
    <n v="220"/>
    <n v="14.7"/>
    <n v="11.45"/>
    <n v="10.23"/>
    <n v="3234"/>
    <n v="26"/>
    <s v="PRFL.00.0005"/>
    <n v="257.33"/>
    <n v="0"/>
    <s v="AMANDA HUBBE"/>
    <m/>
    <m/>
    <m/>
    <d v="2021-12-29T14:26:00"/>
    <n v="0"/>
    <n v="0"/>
    <x v="5"/>
    <n v="132"/>
  </r>
  <r>
    <n v="15667417087"/>
    <n v="246"/>
    <m/>
    <x v="48"/>
    <n v="15606024125"/>
    <x v="13"/>
    <s v="18.620.520/0001-62"/>
    <s v="Rua Maringá, 10"/>
    <s v="Jardim São Félix"/>
    <s v="Telêmaco Borba"/>
    <n v="84264683"/>
    <s v="PR"/>
    <s v="marcelodepaula.tb@hotmail.com"/>
    <n v="4396184915"/>
    <n v="0"/>
    <n v="0"/>
    <m/>
    <s v="Em aberto"/>
    <n v="15016049144"/>
    <s v="Produto 04"/>
    <n v="50"/>
    <n v="8.3800000000000008"/>
    <n v="0"/>
    <n v="5.8620000000000001"/>
    <n v="419"/>
    <n v="144"/>
    <s v="PRFL.00.0020"/>
    <n v="0"/>
    <n v="0"/>
    <s v="AMANDA HUBBE"/>
    <m/>
    <m/>
    <m/>
    <m/>
    <n v="0"/>
    <n v="0"/>
    <x v="10"/>
    <n v="30"/>
  </r>
  <r>
    <n v="15667417087"/>
    <n v="246"/>
    <m/>
    <x v="48"/>
    <n v="15606024125"/>
    <x v="8"/>
    <s v="18.620.520/0001-62"/>
    <s v="Rua Maringá, 10"/>
    <s v="Jardim São Félix"/>
    <s v="Telêmaco Borba"/>
    <n v="84264683"/>
    <s v="PR"/>
    <s v="marcelodepaula.tb@hotmail.com"/>
    <n v="4396184915"/>
    <n v="0"/>
    <n v="0"/>
    <m/>
    <s v="Em aberto"/>
    <n v="15016073255"/>
    <s v="Produto 06"/>
    <n v="100"/>
    <n v="16.7"/>
    <n v="0"/>
    <n v="10.747"/>
    <n v="1670"/>
    <n v="144"/>
    <s v="PRFL.00.0023"/>
    <n v="0"/>
    <n v="0"/>
    <s v="AMANDA HUBBE"/>
    <m/>
    <m/>
    <m/>
    <m/>
    <n v="0"/>
    <n v="0"/>
    <x v="0"/>
    <n v="50"/>
  </r>
  <r>
    <n v="15667417087"/>
    <n v="246"/>
    <m/>
    <x v="48"/>
    <n v="15606024125"/>
    <x v="9"/>
    <s v="18.620.520/0001-62"/>
    <s v="Rua Maringá, 10"/>
    <s v="Jardim São Félix"/>
    <s v="Telêmaco Borba"/>
    <n v="84264683"/>
    <s v="PR"/>
    <s v="marcelodepaula.tb@hotmail.com"/>
    <n v="4396184915"/>
    <n v="0"/>
    <n v="0"/>
    <m/>
    <s v="Em aberto"/>
    <n v="15016093155"/>
    <s v="Produto 04"/>
    <n v="80"/>
    <n v="18.100000000000001"/>
    <n v="0"/>
    <n v="14.4596"/>
    <n v="1448"/>
    <n v="144"/>
    <s v="PRFL.00.0026"/>
    <n v="0"/>
    <n v="0"/>
    <s v="AMANDA HUBBE"/>
    <m/>
    <m/>
    <m/>
    <m/>
    <n v="0"/>
    <n v="0"/>
    <x v="10"/>
    <n v="48"/>
  </r>
  <r>
    <n v="15667417087"/>
    <n v="246"/>
    <m/>
    <x v="48"/>
    <n v="15606024125"/>
    <x v="8"/>
    <s v="18.620.520/0001-62"/>
    <s v="Rua Maringá, 10"/>
    <s v="Jardim São Félix"/>
    <s v="Telêmaco Borba"/>
    <n v="84264683"/>
    <s v="PR"/>
    <s v="marcelodepaula.tb@hotmail.com"/>
    <n v="4396184915"/>
    <n v="0"/>
    <n v="0"/>
    <m/>
    <s v="Em aberto"/>
    <n v="15016080333"/>
    <s v="Produto 09"/>
    <n v="20"/>
    <n v="15.2"/>
    <n v="0"/>
    <n v="10.747"/>
    <n v="304"/>
    <n v="144"/>
    <s v="PRFL.00.0024"/>
    <n v="0"/>
    <n v="0"/>
    <s v="AMANDA HUBBE"/>
    <m/>
    <m/>
    <m/>
    <m/>
    <n v="0"/>
    <n v="0"/>
    <x v="4"/>
    <n v="22"/>
  </r>
  <r>
    <n v="15667417087"/>
    <n v="246"/>
    <m/>
    <x v="48"/>
    <n v="15606024125"/>
    <x v="18"/>
    <s v="18.620.520/0001-62"/>
    <s v="Rua Maringá, 10"/>
    <s v="Jardim São Félix"/>
    <s v="Telêmaco Borba"/>
    <n v="84264683"/>
    <s v="PR"/>
    <s v="marcelodepaula.tb@hotmail.com"/>
    <n v="4396184915"/>
    <n v="0"/>
    <n v="0"/>
    <m/>
    <s v="Em aberto"/>
    <n v="15016043939"/>
    <s v="Produto 12"/>
    <n v="250"/>
    <n v="14"/>
    <n v="0"/>
    <n v="10.747"/>
    <n v="3500"/>
    <n v="144"/>
    <s v="PRFL.00.0019"/>
    <n v="0"/>
    <n v="0"/>
    <s v="AMANDA HUBBE"/>
    <m/>
    <m/>
    <m/>
    <m/>
    <n v="0"/>
    <n v="0"/>
    <x v="15"/>
    <n v="350"/>
  </r>
  <r>
    <n v="15680010474"/>
    <n v="247"/>
    <m/>
    <x v="49"/>
    <n v="15533104634"/>
    <x v="17"/>
    <s v="01.958.936/0001-92"/>
    <s v="R. BEIJA FLOR, 378, -"/>
    <s v="Serraria"/>
    <s v="São José"/>
    <n v="88115485"/>
    <s v="SC"/>
    <s v="atendimento@luizcontabilidade.com.br"/>
    <n v="48999385702"/>
    <n v="0"/>
    <n v="0"/>
    <m/>
    <s v="Em aberto"/>
    <n v="15016073255"/>
    <s v="Produto 16"/>
    <n v="1200"/>
    <n v="14.9"/>
    <n v="0"/>
    <n v="10.747"/>
    <n v="17880"/>
    <n v="126"/>
    <s v="PRFL.00.0023"/>
    <n v="0"/>
    <n v="0"/>
    <s v="FERNANDO CARDOSO"/>
    <m/>
    <m/>
    <m/>
    <m/>
    <n v="0"/>
    <n v="0"/>
    <x v="9"/>
    <n v="1524"/>
  </r>
  <r>
    <n v="15684502839"/>
    <n v="248"/>
    <m/>
    <x v="49"/>
    <n v="15295545217"/>
    <x v="11"/>
    <s v="11.448.815/0001-54"/>
    <s v="RUA IZAAC FERREIRA DA CRUZ, 3920, FUNDOS"/>
    <s v="SITIO CERCADO"/>
    <s v="Curitiba"/>
    <n v="81910000"/>
    <s v="PR"/>
    <s v="Gesso@Alvo.com.br"/>
    <n v="41998481264"/>
    <n v="0"/>
    <n v="0"/>
    <s v="MODELO 2 ,CARREGAMENTO E ENTREGA DIA 28/12/2021"/>
    <s v="Atendido"/>
    <n v="15016080333"/>
    <s v="Produto 13"/>
    <n v="200"/>
    <n v="13.9"/>
    <n v="9.15"/>
    <n v="10.747"/>
    <n v="2780"/>
    <n v="78"/>
    <s v="PRFL.00.0024"/>
    <n v="0"/>
    <n v="0"/>
    <s v="HENRIQUE"/>
    <m/>
    <m/>
    <m/>
    <d v="2022-01-10T10:05:00"/>
    <n v="0"/>
    <n v="0"/>
    <x v="2"/>
    <n v="280"/>
  </r>
  <r>
    <n v="15684502839"/>
    <n v="248"/>
    <m/>
    <x v="49"/>
    <n v="15295545217"/>
    <x v="4"/>
    <s v="11.448.815/0001-54"/>
    <s v="RUA IZAAC FERREIRA DA CRUZ, 3920, FUNDOS"/>
    <s v="SITIO CERCADO"/>
    <s v="Curitiba"/>
    <n v="81910000"/>
    <s v="PR"/>
    <s v="Gesso@Alvo.com.br"/>
    <n v="41998481264"/>
    <n v="0"/>
    <n v="0"/>
    <s v="MODELO 2 ,CARREGAMENTO E ENTREGA DIA 28/12/2021"/>
    <s v="Atendido"/>
    <n v="15016093155"/>
    <s v="Produto 10"/>
    <n v="200"/>
    <n v="17.899999999999999"/>
    <n v="4.0199999999999996"/>
    <n v="14.4596"/>
    <n v="3580"/>
    <n v="78"/>
    <s v="PRFL.00.0026"/>
    <n v="0"/>
    <n v="0"/>
    <s v="HENRIQUE"/>
    <m/>
    <m/>
    <m/>
    <d v="2022-01-10T10:05:00"/>
    <n v="0"/>
    <n v="0"/>
    <x v="3"/>
    <n v="220.00000000000003"/>
  </r>
  <r>
    <n v="15684502839"/>
    <n v="248"/>
    <m/>
    <x v="49"/>
    <n v="15295545217"/>
    <x v="13"/>
    <s v="11.448.815/0001-54"/>
    <s v="RUA IZAAC FERREIRA DA CRUZ, 3920, FUNDOS"/>
    <s v="SITIO CERCADO"/>
    <s v="Curitiba"/>
    <n v="81910000"/>
    <s v="PR"/>
    <s v="Gesso@Alvo.com.br"/>
    <n v="41998481264"/>
    <n v="0"/>
    <n v="0"/>
    <s v="MODELO 2 ,CARREGAMENTO E ENTREGA DIA 28/12/2021"/>
    <s v="Atendido"/>
    <n v="15016073255"/>
    <s v="Produto 14"/>
    <n v="200"/>
    <n v="15.99"/>
    <n v="3.67"/>
    <n v="10.747"/>
    <n v="3198"/>
    <n v="78"/>
    <s v="PRFL.00.0023"/>
    <n v="0"/>
    <n v="0"/>
    <s v="HENRIQUE"/>
    <m/>
    <m/>
    <m/>
    <d v="2022-01-10T10:05:00"/>
    <n v="0"/>
    <n v="0"/>
    <x v="1"/>
    <n v="280"/>
  </r>
  <r>
    <n v="15684502839"/>
    <n v="248"/>
    <m/>
    <x v="49"/>
    <n v="15295545217"/>
    <x v="1"/>
    <s v="11.448.815/0001-54"/>
    <s v="RUA IZAAC FERREIRA DA CRUZ, 3920, FUNDOS"/>
    <s v="SITIO CERCADO"/>
    <s v="Curitiba"/>
    <n v="81910000"/>
    <s v="PR"/>
    <s v="Gesso@Alvo.com.br"/>
    <n v="41998481264"/>
    <n v="0"/>
    <n v="0"/>
    <s v="MODELO 2 ,CARREGAMENTO E ENTREGA DIA 28/12/2021"/>
    <s v="Atendido"/>
    <n v="15016043939"/>
    <s v="Produto 05"/>
    <n v="500"/>
    <n v="13.19"/>
    <n v="6.45"/>
    <n v="10.747"/>
    <n v="6595"/>
    <n v="78"/>
    <s v="PRFL.00.0019"/>
    <n v="0"/>
    <n v="0"/>
    <s v="HENRIQUE"/>
    <m/>
    <m/>
    <m/>
    <d v="2022-01-10T10:05:00"/>
    <n v="0"/>
    <n v="0"/>
    <x v="5"/>
    <n v="300"/>
  </r>
  <r>
    <n v="15694103317"/>
    <n v="249"/>
    <m/>
    <x v="50"/>
    <n v="15020006032"/>
    <x v="10"/>
    <s v="28.561.609/0001-59"/>
    <s v="Rodovia BR-277 Curitiba-Paranaguá, 3641"/>
    <s v="Cajuru"/>
    <s v="Curitiba"/>
    <n v="82960015"/>
    <s v="PR"/>
    <s v="teste@share-inc.com.br"/>
    <n v="41996838559"/>
    <n v="0"/>
    <n v="0"/>
    <s v="NFE 870"/>
    <s v="Atendido"/>
    <n v="15016049144"/>
    <s v="Produto 13"/>
    <n v="2000"/>
    <n v="7.6"/>
    <n v="0"/>
    <n v="5.8620000000000001"/>
    <n v="15200"/>
    <n v="16"/>
    <s v="PRFL.00.0020"/>
    <n v="0"/>
    <n v="0"/>
    <s v="HENRIQUE"/>
    <m/>
    <m/>
    <m/>
    <d v="2021-12-29T10:46:00"/>
    <n v="0"/>
    <n v="0"/>
    <x v="2"/>
    <n v="2800"/>
  </r>
  <r>
    <n v="15701149080"/>
    <n v="250"/>
    <m/>
    <x v="51"/>
    <n v="15609013409"/>
    <x v="8"/>
    <s v="29.266.231/0001-23"/>
    <s v="Antônio Setim, 390, -"/>
    <s v="Águas bellas"/>
    <s v="São José dos Pinhais"/>
    <n v="83040570"/>
    <s v="PR"/>
    <s v="gesso.belloart@gmail.com"/>
    <n v="41991391617"/>
    <n v="0"/>
    <n v="0"/>
    <m/>
    <s v="Atendido"/>
    <n v="15016043939"/>
    <s v="Produto 03"/>
    <n v="30"/>
    <n v="13.5"/>
    <n v="0"/>
    <n v="10.747"/>
    <n v="405"/>
    <n v="145"/>
    <s v="PRFL.00.0019"/>
    <n v="0"/>
    <n v="0"/>
    <s v="FERNANDO CARDOSO"/>
    <m/>
    <m/>
    <m/>
    <d v="2021-12-29T14:33:00"/>
    <n v="0"/>
    <n v="0"/>
    <x v="13"/>
    <n v="18"/>
  </r>
  <r>
    <n v="15701149080"/>
    <n v="250"/>
    <m/>
    <x v="51"/>
    <n v="15609013409"/>
    <x v="18"/>
    <s v="29.266.231/0001-23"/>
    <s v="Antônio Setim, 390, -"/>
    <s v="Águas bellas"/>
    <s v="São José dos Pinhais"/>
    <n v="83040570"/>
    <s v="PR"/>
    <s v="gesso.belloart@gmail.com"/>
    <n v="41991391617"/>
    <n v="0"/>
    <n v="0"/>
    <m/>
    <s v="Atendido"/>
    <n v="15016049144"/>
    <s v="Produto 09"/>
    <n v="20"/>
    <n v="7.9"/>
    <n v="0"/>
    <n v="5.8620000000000001"/>
    <n v="158"/>
    <n v="145"/>
    <s v="PRFL.00.0020"/>
    <n v="0"/>
    <n v="0"/>
    <s v="FERNANDO CARDOSO"/>
    <m/>
    <m/>
    <m/>
    <d v="2021-12-29T14:33:00"/>
    <n v="0"/>
    <n v="0"/>
    <x v="4"/>
    <n v="22"/>
  </r>
  <r>
    <n v="15701149080"/>
    <n v="250"/>
    <m/>
    <x v="51"/>
    <n v="15609013409"/>
    <x v="13"/>
    <s v="29.266.231/0001-23"/>
    <s v="Antônio Setim, 390, -"/>
    <s v="Águas bellas"/>
    <s v="São José dos Pinhais"/>
    <n v="83040570"/>
    <s v="PR"/>
    <s v="gesso.belloart@gmail.com"/>
    <n v="41991391617"/>
    <n v="0"/>
    <n v="0"/>
    <m/>
    <s v="Atendido"/>
    <n v="15016073255"/>
    <s v="Produto 13"/>
    <n v="20"/>
    <n v="16.100000000000001"/>
    <n v="3.01"/>
    <n v="10.747"/>
    <n v="322"/>
    <n v="145"/>
    <s v="PRFL.00.0023"/>
    <n v="0"/>
    <n v="0"/>
    <s v="FERNANDO CARDOSO"/>
    <m/>
    <m/>
    <m/>
    <d v="2021-12-29T14:33:00"/>
    <n v="0"/>
    <n v="0"/>
    <x v="2"/>
    <n v="28"/>
  </r>
  <r>
    <n v="15719149850"/>
    <n v="251"/>
    <m/>
    <x v="52"/>
    <n v="15179581888"/>
    <x v="3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4"/>
    <n v="1000"/>
    <n v="16.5"/>
    <n v="0"/>
    <n v="14.4596"/>
    <n v="16500"/>
    <n v="41"/>
    <s v="PRFL.00.0026"/>
    <n v="0"/>
    <n v="0"/>
    <s v="HENRIQUE"/>
    <m/>
    <m/>
    <m/>
    <d v="2022-01-10T10:31:00"/>
    <n v="0"/>
    <n v="0"/>
    <x v="10"/>
    <n v="600"/>
  </r>
  <r>
    <n v="15719149850"/>
    <n v="251"/>
    <m/>
    <x v="52"/>
    <n v="15179581888"/>
    <x v="10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05"/>
    <n v="300"/>
    <n v="16.5"/>
    <n v="0"/>
    <n v="14.4596"/>
    <n v="4950"/>
    <n v="41"/>
    <s v="PRFL.00.0025"/>
    <n v="0"/>
    <n v="0"/>
    <s v="HENRIQUE"/>
    <m/>
    <m/>
    <m/>
    <d v="2022-01-10T10:31:00"/>
    <n v="0"/>
    <n v="0"/>
    <x v="5"/>
    <n v="180"/>
  </r>
  <r>
    <n v="15719149850"/>
    <n v="251"/>
    <m/>
    <x v="52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0333"/>
    <s v="Produto 06"/>
    <n v="300"/>
    <n v="13.4"/>
    <n v="0"/>
    <n v="10.747"/>
    <n v="4020"/>
    <n v="41"/>
    <s v="PRFL.00.0024"/>
    <n v="0"/>
    <n v="0"/>
    <s v="HENRIQUE"/>
    <m/>
    <m/>
    <m/>
    <d v="2022-01-10T10:31:00"/>
    <n v="0"/>
    <n v="0"/>
    <x v="0"/>
    <n v="150"/>
  </r>
  <r>
    <n v="15719149850"/>
    <n v="251"/>
    <m/>
    <x v="52"/>
    <n v="15179581888"/>
    <x v="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8"/>
    <n v="750"/>
    <n v="12.38"/>
    <n v="0"/>
    <n v="10.747"/>
    <n v="9285"/>
    <n v="41"/>
    <s v="PRFL.00.0019"/>
    <n v="0"/>
    <n v="0"/>
    <s v="HENRIQUE"/>
    <m/>
    <m/>
    <m/>
    <d v="2022-01-10T10:31:00"/>
    <n v="0"/>
    <n v="0"/>
    <x v="14"/>
    <n v="825.00000000000011"/>
  </r>
  <r>
    <n v="15719149850"/>
    <n v="251"/>
    <m/>
    <x v="52"/>
    <n v="15179581888"/>
    <x v="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9144"/>
    <s v="Produto 17"/>
    <n v="350"/>
    <n v="7.04"/>
    <n v="0"/>
    <n v="5.8620000000000001"/>
    <n v="2464"/>
    <n v="41"/>
    <s v="PRFL.00.0020"/>
    <n v="0"/>
    <n v="0"/>
    <s v="HENRIQUE"/>
    <m/>
    <m/>
    <m/>
    <d v="2022-01-10T10:31:00"/>
    <n v="0"/>
    <n v="0"/>
    <x v="8"/>
    <n v="497"/>
  </r>
  <r>
    <n v="15719149850"/>
    <n v="251"/>
    <m/>
    <x v="52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9089"/>
    <s v="Produto 06"/>
    <n v="1000"/>
    <n v="19.25"/>
    <n v="11.09"/>
    <n v="16.804400000000001"/>
    <n v="19250"/>
    <n v="41"/>
    <s v="PRFL.00.0027"/>
    <n v="0"/>
    <n v="0"/>
    <s v="HENRIQUE"/>
    <m/>
    <m/>
    <m/>
    <d v="2022-01-10T10:31:00"/>
    <n v="0"/>
    <n v="0"/>
    <x v="0"/>
    <n v="500"/>
  </r>
  <r>
    <n v="15719149850"/>
    <n v="251"/>
    <m/>
    <x v="52"/>
    <n v="15179581888"/>
    <x v="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73255"/>
    <s v="Produto 11"/>
    <n v="300"/>
    <n v="14.9"/>
    <n v="10.24"/>
    <n v="10.747"/>
    <n v="4470"/>
    <n v="41"/>
    <s v="PRFL.00.0023"/>
    <n v="0"/>
    <n v="0"/>
    <s v="HENRIQUE"/>
    <m/>
    <m/>
    <m/>
    <d v="2022-01-10T10:31:00"/>
    <n v="0"/>
    <n v="0"/>
    <x v="11"/>
    <n v="330"/>
  </r>
  <r>
    <n v="15719151454"/>
    <n v="252"/>
    <m/>
    <x v="52"/>
    <n v="15610518557"/>
    <x v="5"/>
    <s v="38.264.667/0001-74"/>
    <s v="RUA WALDEMAR FRANCISCO, 355, Nao Informado"/>
    <s v="SAO CRISTOVAO"/>
    <s v="Barra Velha"/>
    <n v="88390000"/>
    <s v="SC"/>
    <s v="American@gesso.com.br"/>
    <n v="41999473993"/>
    <n v="0"/>
    <n v="0"/>
    <m/>
    <s v="Atendido"/>
    <n v="15016099089"/>
    <s v="Produto 12"/>
    <n v="250"/>
    <n v="19.45"/>
    <n v="0"/>
    <n v="16.804400000000001"/>
    <n v="4862.5"/>
    <n v="146"/>
    <s v="PRFL.00.0027"/>
    <n v="0"/>
    <n v="0"/>
    <s v="HENRIQUE"/>
    <m/>
    <m/>
    <m/>
    <d v="2022-01-06T09:47:00"/>
    <n v="0"/>
    <n v="0"/>
    <x v="15"/>
    <n v="350"/>
  </r>
  <r>
    <n v="15719151454"/>
    <n v="252"/>
    <m/>
    <x v="52"/>
    <n v="15610518557"/>
    <x v="13"/>
    <s v="38.264.667/0001-74"/>
    <s v="RUA WALDEMAR FRANCISCO, 355, Nao Informado"/>
    <s v="SAO CRISTOVAO"/>
    <s v="Barra Velha"/>
    <n v="88390000"/>
    <s v="SC"/>
    <s v="American@gesso.com.br"/>
    <n v="41999473993"/>
    <n v="0"/>
    <n v="0"/>
    <m/>
    <s v="Atendido"/>
    <n v="15016093155"/>
    <s v="Produto 17"/>
    <n v="200"/>
    <n v="16.8"/>
    <n v="0"/>
    <n v="14.4596"/>
    <n v="3360"/>
    <n v="146"/>
    <s v="PRFL.00.0026"/>
    <n v="0"/>
    <n v="0"/>
    <s v="HENRIQUE"/>
    <m/>
    <m/>
    <m/>
    <d v="2022-01-06T09:47:00"/>
    <n v="0"/>
    <n v="0"/>
    <x v="8"/>
    <n v="284"/>
  </r>
  <r>
    <n v="15719151454"/>
    <n v="252"/>
    <m/>
    <x v="52"/>
    <n v="15610518557"/>
    <x v="4"/>
    <s v="38.264.667/0001-74"/>
    <s v="RUA WALDEMAR FRANCISCO, 355, Nao Informado"/>
    <s v="SAO CRISTOVAO"/>
    <s v="Barra Velha"/>
    <n v="88390000"/>
    <s v="SC"/>
    <s v="American@gesso.com.br"/>
    <n v="41999473993"/>
    <n v="0"/>
    <n v="0"/>
    <m/>
    <s v="Atendido"/>
    <n v="15016049144"/>
    <s v="Produto 13"/>
    <n v="150"/>
    <n v="7.2"/>
    <n v="0"/>
    <n v="5.8620000000000001"/>
    <n v="1080"/>
    <n v="146"/>
    <s v="PRFL.00.0020"/>
    <n v="0"/>
    <n v="0"/>
    <s v="HENRIQUE"/>
    <m/>
    <m/>
    <m/>
    <d v="2022-01-06T09:47:00"/>
    <n v="0"/>
    <n v="0"/>
    <x v="2"/>
    <n v="210"/>
  </r>
  <r>
    <n v="15719151454"/>
    <n v="252"/>
    <m/>
    <x v="52"/>
    <n v="15610518557"/>
    <x v="0"/>
    <s v="38.264.667/0001-74"/>
    <s v="RUA WALDEMAR FRANCISCO, 355, Nao Informado"/>
    <s v="SAO CRISTOVAO"/>
    <s v="Barra Velha"/>
    <n v="88390000"/>
    <s v="SC"/>
    <s v="American@gesso.com.br"/>
    <n v="41999473993"/>
    <n v="0"/>
    <n v="0"/>
    <m/>
    <s v="Atendido"/>
    <n v="15016043939"/>
    <s v="Produto 02"/>
    <n v="150"/>
    <n v="12.8"/>
    <n v="0"/>
    <n v="10.747"/>
    <n v="1920"/>
    <n v="146"/>
    <s v="PRFL.00.0019"/>
    <n v="0"/>
    <n v="0"/>
    <s v="HENRIQUE"/>
    <m/>
    <m/>
    <m/>
    <d v="2022-01-06T09:47:00"/>
    <n v="0"/>
    <n v="0"/>
    <x v="6"/>
    <n v="40.5"/>
  </r>
  <r>
    <n v="15719151454"/>
    <n v="252"/>
    <m/>
    <x v="52"/>
    <n v="15610518557"/>
    <x v="3"/>
    <s v="38.264.667/0001-74"/>
    <s v="RUA WALDEMAR FRANCISCO, 355, Nao Informado"/>
    <s v="SAO CRISTOVAO"/>
    <s v="Barra Velha"/>
    <n v="88390000"/>
    <s v="SC"/>
    <s v="American@gesso.com.br"/>
    <n v="41999473993"/>
    <n v="0"/>
    <n v="0"/>
    <m/>
    <s v="Atendido"/>
    <n v="15016087271"/>
    <s v="Produto 05"/>
    <n v="150"/>
    <n v="16.8"/>
    <n v="9.43"/>
    <n v="14.4596"/>
    <n v="2520"/>
    <n v="146"/>
    <s v="PRFL.00.0025"/>
    <n v="0"/>
    <n v="0"/>
    <s v="HENRIQUE"/>
    <m/>
    <m/>
    <m/>
    <d v="2022-01-06T09:47:00"/>
    <n v="0"/>
    <n v="0"/>
    <x v="5"/>
    <n v="90"/>
  </r>
  <r>
    <n v="15719151454"/>
    <n v="252"/>
    <m/>
    <x v="52"/>
    <n v="15610518557"/>
    <x v="17"/>
    <s v="38.264.667/0001-74"/>
    <s v="RUA WALDEMAR FRANCISCO, 355, Nao Informado"/>
    <s v="SAO CRISTOVAO"/>
    <s v="Barra Velha"/>
    <n v="88390000"/>
    <s v="SC"/>
    <s v="American@gesso.com.br"/>
    <n v="41999473993"/>
    <n v="0"/>
    <n v="0"/>
    <m/>
    <s v="Atendido"/>
    <n v="15016080333"/>
    <s v="Produto 12"/>
    <n v="150"/>
    <n v="13.5"/>
    <n v="11.76"/>
    <n v="10.747"/>
    <n v="2025"/>
    <n v="146"/>
    <s v="PRFL.00.0024"/>
    <n v="0"/>
    <n v="0"/>
    <s v="HENRIQUE"/>
    <m/>
    <m/>
    <m/>
    <d v="2022-01-06T09:47:00"/>
    <n v="0"/>
    <n v="0"/>
    <x v="15"/>
    <n v="210"/>
  </r>
  <r>
    <n v="15628103533"/>
    <n v="233"/>
    <m/>
    <x v="53"/>
    <n v="15602941129"/>
    <x v="1"/>
    <s v="36.709.695/0001-22"/>
    <s v="R JULIO AFONSO VIEIRA LOPES, 28, N/A"/>
    <s v="VILA FASSINI"/>
    <s v="Rebouças"/>
    <s v="84550-000"/>
    <s v="PR"/>
    <m/>
    <m/>
    <n v="0"/>
    <n v="0"/>
    <m/>
    <s v="Em aberto"/>
    <n v="15016043939"/>
    <s v="Produto 11"/>
    <n v="50"/>
    <n v="13.9"/>
    <n v="1.42"/>
    <n v="10.747"/>
    <n v="695"/>
    <n v="134"/>
    <s v="PRFL.00.0019"/>
    <n v="0"/>
    <n v="0"/>
    <s v="HENRIQUE"/>
    <m/>
    <m/>
    <m/>
    <d v="2022-01-03T11:00:00"/>
    <n v="0"/>
    <n v="0"/>
    <x v="11"/>
    <n v="55.000000000000007"/>
  </r>
  <r>
    <n v="15628103533"/>
    <n v="233"/>
    <m/>
    <x v="53"/>
    <n v="15602941129"/>
    <x v="16"/>
    <s v="36.709.695/0001-22"/>
    <s v="R JULIO AFONSO VIEIRA LOPES, 28, N/A"/>
    <s v="VILA FASSINI"/>
    <s v="Rebouças"/>
    <s v="84550-000"/>
    <s v="PR"/>
    <m/>
    <m/>
    <n v="0"/>
    <n v="0"/>
    <m/>
    <s v="Em aberto"/>
    <n v="15016049144"/>
    <s v="Produto 13"/>
    <n v="60"/>
    <n v="8.1999999999999993"/>
    <n v="0.97"/>
    <n v="5.8620000000000001"/>
    <n v="492"/>
    <n v="134"/>
    <s v="PRFL.00.0020"/>
    <n v="0"/>
    <n v="0"/>
    <s v="HENRIQUE"/>
    <m/>
    <m/>
    <m/>
    <d v="2022-01-03T11:00:00"/>
    <n v="0"/>
    <n v="0"/>
    <x v="2"/>
    <n v="84"/>
  </r>
  <r>
    <n v="15628103533"/>
    <n v="233"/>
    <m/>
    <x v="53"/>
    <n v="15602941129"/>
    <x v="13"/>
    <s v="36.709.695/0001-22"/>
    <s v="R JULIO AFONSO VIEIRA LOPES, 28, N/A"/>
    <s v="VILA FASSINI"/>
    <s v="Rebouças"/>
    <s v="84550-000"/>
    <s v="PR"/>
    <m/>
    <m/>
    <n v="0"/>
    <n v="0"/>
    <m/>
    <s v="Em aberto"/>
    <n v="15016073255"/>
    <s v="Produto 10"/>
    <n v="30"/>
    <n v="16.2"/>
    <n v="2.41"/>
    <n v="10.747"/>
    <n v="486"/>
    <n v="134"/>
    <s v="PRFL.00.0023"/>
    <n v="0"/>
    <n v="0"/>
    <s v="HENRIQUE"/>
    <m/>
    <m/>
    <m/>
    <d v="2022-01-03T11:00:00"/>
    <n v="0"/>
    <n v="0"/>
    <x v="3"/>
    <n v="33"/>
  </r>
  <r>
    <n v="15628103533"/>
    <n v="233"/>
    <m/>
    <x v="53"/>
    <n v="15602941129"/>
    <x v="0"/>
    <s v="36.709.695/0001-22"/>
    <s v="R JULIO AFONSO VIEIRA LOPES, 28, N/A"/>
    <s v="VILA FASSINI"/>
    <s v="Rebouças"/>
    <s v="84550-000"/>
    <s v="PR"/>
    <m/>
    <m/>
    <n v="0"/>
    <n v="0"/>
    <m/>
    <s v="Em aberto"/>
    <n v="15016080333"/>
    <s v="Produto 12"/>
    <n v="30"/>
    <n v="15.2"/>
    <n v="0.65"/>
    <n v="10.747"/>
    <n v="456"/>
    <n v="134"/>
    <s v="PRFL.00.0024"/>
    <n v="0"/>
    <n v="0"/>
    <s v="HENRIQUE"/>
    <m/>
    <m/>
    <m/>
    <d v="2022-01-03T11:00:00"/>
    <n v="0"/>
    <n v="0"/>
    <x v="15"/>
    <n v="42"/>
  </r>
  <r>
    <n v="15728399805"/>
    <n v="253"/>
    <m/>
    <x v="53"/>
    <n v="15611534708"/>
    <x v="13"/>
    <s v="44.425.368/0001-77"/>
    <s v="R PROFESSORA CECILIA IRITANI, 199"/>
    <s v="São Miguel"/>
    <s v="Curitiba"/>
    <n v="0"/>
    <s v="PR"/>
    <s v="amandahubbe@hotmail.com"/>
    <n v="4196366479"/>
    <n v="0"/>
    <n v="0"/>
    <m/>
    <s v="Atendido"/>
    <n v="15016087271"/>
    <s v="Produto 06"/>
    <n v="20"/>
    <n v="18.27"/>
    <n v="0"/>
    <n v="14.4596"/>
    <n v="365.4"/>
    <n v="147"/>
    <s v="PRFL.00.0025"/>
    <n v="0"/>
    <n v="0"/>
    <s v="AMANDA HUBBE"/>
    <m/>
    <m/>
    <m/>
    <d v="2022-01-05T17:11:00"/>
    <n v="0"/>
    <n v="0"/>
    <x v="0"/>
    <n v="10"/>
  </r>
  <r>
    <n v="15728399805"/>
    <n v="253"/>
    <m/>
    <x v="53"/>
    <n v="15611534708"/>
    <x v="14"/>
    <s v="44.425.368/0001-77"/>
    <s v="R PROFESSORA CECILIA IRITANI, 199"/>
    <s v="São Miguel"/>
    <s v="Curitiba"/>
    <n v="0"/>
    <s v="PR"/>
    <s v="amandahubbe@hotmail.com"/>
    <n v="4196366479"/>
    <n v="0"/>
    <n v="0"/>
    <m/>
    <s v="Atendido"/>
    <n v="15016099089"/>
    <s v="Produto 16"/>
    <n v="50"/>
    <n v="21.14"/>
    <n v="0"/>
    <n v="16.804400000000001"/>
    <n v="1057"/>
    <n v="147"/>
    <s v="PRFL.00.0027"/>
    <n v="0"/>
    <n v="0"/>
    <s v="AMANDA HUBBE"/>
    <m/>
    <m/>
    <m/>
    <d v="2022-01-05T17:11:00"/>
    <n v="0"/>
    <n v="0"/>
    <x v="9"/>
    <n v="63.5"/>
  </r>
  <r>
    <n v="15728690197"/>
    <n v="254"/>
    <m/>
    <x v="53"/>
    <n v="15582141432"/>
    <x v="16"/>
    <s v="116.252.809-55"/>
    <m/>
    <m/>
    <m/>
    <n v="0"/>
    <m/>
    <s v="Daniel@Daniel.com"/>
    <n v="4184727286"/>
    <n v="0"/>
    <n v="0"/>
    <m/>
    <s v="Atendido"/>
    <n v="15016093155"/>
    <s v="Produto 12"/>
    <n v="30"/>
    <n v="18.649999999999999"/>
    <n v="0"/>
    <n v="14.4596"/>
    <n v="559.5"/>
    <n v="130"/>
    <s v="PRFL.00.0026"/>
    <n v="0"/>
    <n v="0"/>
    <s v="HENRIQUE"/>
    <m/>
    <m/>
    <m/>
    <d v="2022-01-04T08:51:00"/>
    <n v="0"/>
    <n v="0"/>
    <x v="15"/>
    <n v="42"/>
  </r>
  <r>
    <n v="15728708202"/>
    <n v="255"/>
    <m/>
    <x v="53"/>
    <n v="15179608501"/>
    <x v="11"/>
    <s v="25.195.001/0001-60"/>
    <s v="RUA ITACIANO MARCONDES, 47"/>
    <s v="SANTA CANDIDA"/>
    <s v="Curitiba"/>
    <n v="82720070"/>
    <s v="PR"/>
    <s v="Delta@Delta.com.br"/>
    <n v="41992354686"/>
    <n v="0"/>
    <n v="0"/>
    <m/>
    <s v="Atendido"/>
    <n v="15016043939"/>
    <s v="Produto 12"/>
    <n v="300"/>
    <n v="3.9990000000000001"/>
    <n v="71.64"/>
    <n v="10.747"/>
    <n v="1199.7"/>
    <n v="42"/>
    <s v="PRFL.00.0019"/>
    <n v="0"/>
    <n v="0"/>
    <s v="HENRIQUE"/>
    <m/>
    <m/>
    <m/>
    <m/>
    <n v="0"/>
    <n v="0"/>
    <x v="15"/>
    <n v="420"/>
  </r>
  <r>
    <n v="15729107972"/>
    <n v="256"/>
    <m/>
    <x v="53"/>
    <n v="15179581888"/>
    <x v="1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9144"/>
    <s v="Produto 15"/>
    <n v="700"/>
    <n v="7.04"/>
    <n v="14.98"/>
    <n v="5.8620000000000001"/>
    <n v="4928"/>
    <n v="41"/>
    <s v="PRFL.00.0020"/>
    <n v="0"/>
    <n v="0"/>
    <s v="HENRIQUE"/>
    <m/>
    <m/>
    <m/>
    <m/>
    <n v="0"/>
    <n v="0"/>
    <x v="16"/>
    <n v="994"/>
  </r>
  <r>
    <n v="15729107972"/>
    <n v="256"/>
    <m/>
    <x v="53"/>
    <n v="15179581888"/>
    <x v="2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10"/>
    <n v="600"/>
    <n v="12.38"/>
    <n v="12.2"/>
    <n v="10.747"/>
    <n v="7428"/>
    <n v="41"/>
    <s v="PRFL.00.0019"/>
    <n v="0"/>
    <n v="0"/>
    <s v="HENRIQUE"/>
    <m/>
    <m/>
    <m/>
    <m/>
    <n v="0"/>
    <n v="0"/>
    <x v="3"/>
    <n v="660"/>
  </r>
  <r>
    <n v="15729107972"/>
    <n v="256"/>
    <m/>
    <x v="53"/>
    <n v="15179581888"/>
    <x v="1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73255"/>
    <s v="Produto 01"/>
    <n v="50"/>
    <n v="14.9"/>
    <n v="10.24"/>
    <n v="10.747"/>
    <n v="745"/>
    <n v="41"/>
    <s v="PRFL.00.0023"/>
    <n v="0"/>
    <n v="0"/>
    <s v="HENRIQUE"/>
    <m/>
    <m/>
    <m/>
    <m/>
    <n v="0"/>
    <n v="0"/>
    <x v="7"/>
    <n v="20"/>
  </r>
  <r>
    <n v="15730527844"/>
    <n v="257"/>
    <m/>
    <x v="53"/>
    <n v="15059073318"/>
    <x v="1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Em aberto"/>
    <n v="15016073255"/>
    <s v="Produto 13"/>
    <n v="150"/>
    <n v="15.9"/>
    <n v="0"/>
    <n v="10.747"/>
    <n v="2385"/>
    <n v="30"/>
    <s v="PRFL.00.0023"/>
    <n v="0"/>
    <n v="0"/>
    <s v="FERNANDO CARDOSO"/>
    <m/>
    <m/>
    <m/>
    <m/>
    <n v="0"/>
    <n v="0"/>
    <x v="2"/>
    <n v="210"/>
  </r>
  <r>
    <n v="15730527844"/>
    <n v="257"/>
    <m/>
    <x v="53"/>
    <n v="15059073318"/>
    <x v="7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Em aberto"/>
    <n v="15016043939"/>
    <s v="Produto 16"/>
    <n v="150"/>
    <n v="13.5"/>
    <n v="0"/>
    <n v="10.747"/>
    <n v="2025"/>
    <n v="30"/>
    <s v="PRFL.00.0019"/>
    <n v="0"/>
    <n v="0"/>
    <s v="FERNANDO CARDOSO"/>
    <m/>
    <m/>
    <m/>
    <m/>
    <n v="0"/>
    <n v="0"/>
    <x v="9"/>
    <n v="190.5"/>
  </r>
  <r>
    <n v="15730527844"/>
    <n v="257"/>
    <m/>
    <x v="53"/>
    <n v="15059073318"/>
    <x v="19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Em aberto"/>
    <n v="15016049144"/>
    <s v="Produto 07"/>
    <n v="100"/>
    <n v="7.9"/>
    <n v="0"/>
    <n v="5.8620000000000001"/>
    <n v="790"/>
    <n v="30"/>
    <s v="PRFL.00.0020"/>
    <n v="0"/>
    <n v="0"/>
    <s v="FERNANDO CARDOSO"/>
    <m/>
    <m/>
    <m/>
    <m/>
    <n v="0"/>
    <n v="0"/>
    <x v="12"/>
    <n v="110.00000000000001"/>
  </r>
  <r>
    <n v="15730527844"/>
    <n v="257"/>
    <m/>
    <x v="53"/>
    <n v="15059073318"/>
    <x v="17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Em aberto"/>
    <n v="15395751673"/>
    <s v="Produto 08"/>
    <n v="50"/>
    <n v="7.9"/>
    <n v="0"/>
    <n v="5.8620000000000001"/>
    <n v="395"/>
    <n v="30"/>
    <s v="PRFL.00.0039"/>
    <n v="0"/>
    <n v="0"/>
    <s v="FERNANDO CARDOSO"/>
    <m/>
    <m/>
    <m/>
    <m/>
    <n v="0"/>
    <n v="0"/>
    <x v="14"/>
    <n v="55.000000000000007"/>
  </r>
  <r>
    <n v="15730527844"/>
    <n v="257"/>
    <m/>
    <x v="53"/>
    <n v="15059073318"/>
    <x v="6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Em aberto"/>
    <n v="15016087271"/>
    <s v="Produto 15"/>
    <n v="50"/>
    <n v="17.899999999999999"/>
    <n v="0"/>
    <n v="14.4596"/>
    <n v="895"/>
    <n v="30"/>
    <s v="PRFL.00.0025"/>
    <n v="0"/>
    <n v="0"/>
    <s v="FERNANDO CARDOSO"/>
    <m/>
    <m/>
    <m/>
    <m/>
    <n v="0"/>
    <n v="0"/>
    <x v="16"/>
    <n v="71"/>
  </r>
  <r>
    <n v="15730527844"/>
    <n v="257"/>
    <m/>
    <x v="53"/>
    <n v="15059073318"/>
    <x v="13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Em aberto"/>
    <n v="15016099089"/>
    <s v="Produto 10"/>
    <n v="100"/>
    <n v="20.9"/>
    <n v="0"/>
    <n v="16.804400000000001"/>
    <n v="2090"/>
    <n v="30"/>
    <s v="PRFL.00.0027"/>
    <n v="0"/>
    <n v="0"/>
    <s v="FERNANDO CARDOSO"/>
    <m/>
    <m/>
    <m/>
    <m/>
    <n v="0"/>
    <n v="0"/>
    <x v="3"/>
    <n v="110.00000000000001"/>
  </r>
  <r>
    <n v="15730527844"/>
    <n v="257"/>
    <m/>
    <x v="53"/>
    <n v="15059073318"/>
    <x v="6"/>
    <s v="25.131.379/0001-08"/>
    <s v="R JOAO ALBERTO DOS SANTOS, QUADRA:A04"/>
    <s v="São Cristovão"/>
    <s v="Barra Velha"/>
    <n v="88390000"/>
    <s v="SC"/>
    <s v="jusieldoxavier@hotmai.com"/>
    <n v="47999669374"/>
    <n v="0"/>
    <n v="0"/>
    <m/>
    <s v="Em aberto"/>
    <n v="15016093155"/>
    <s v="Produto 06"/>
    <n v="100"/>
    <n v="17.899999999999999"/>
    <n v="0"/>
    <n v="14.4596"/>
    <n v="1790"/>
    <n v="30"/>
    <s v="PRFL.00.0026"/>
    <n v="0"/>
    <n v="0"/>
    <s v="FERNANDO CARDOSO"/>
    <m/>
    <m/>
    <m/>
    <m/>
    <n v="0"/>
    <n v="0"/>
    <x v="0"/>
    <n v="50"/>
  </r>
  <r>
    <n v="15731497021"/>
    <n v="258"/>
    <m/>
    <x v="53"/>
    <n v="15611778558"/>
    <x v="17"/>
    <s v="13.774.105/0001-40"/>
    <s v="Baltazar Buschler, 810, -"/>
    <s v="Comassa"/>
    <s v="Joinville"/>
    <n v="89228000"/>
    <s v="SC"/>
    <s v="vendas@dryoficce.com.br"/>
    <n v="47999797166"/>
    <n v="0"/>
    <n v="0"/>
    <m/>
    <s v="Atendido"/>
    <n v="15738247292"/>
    <s v="Produto 04"/>
    <n v="232"/>
    <n v="32.57"/>
    <n v="0"/>
    <n v="0"/>
    <n v="7556.24"/>
    <n v="148"/>
    <s v="PRFL.00.0050"/>
    <n v="0"/>
    <n v="0"/>
    <s v="FERNANDO CARDOSO"/>
    <m/>
    <m/>
    <m/>
    <d v="2022-01-06T09:46:00"/>
    <n v="0"/>
    <n v="0"/>
    <x v="10"/>
    <n v="139.19999999999999"/>
  </r>
  <r>
    <n v="15732138180"/>
    <n v="259"/>
    <m/>
    <x v="53"/>
    <n v="15058698393"/>
    <x v="0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43939"/>
    <s v="Produto 01"/>
    <n v="100"/>
    <n v="12.45"/>
    <n v="0"/>
    <n v="10.747"/>
    <n v="1245"/>
    <n v="18"/>
    <s v="PRFL.00.0019"/>
    <n v="0"/>
    <n v="0"/>
    <s v="HENRIQUE"/>
    <m/>
    <m/>
    <m/>
    <d v="2022-01-04T14:09:00"/>
    <n v="0"/>
    <n v="0"/>
    <x v="7"/>
    <n v="40"/>
  </r>
  <r>
    <n v="15732138180"/>
    <n v="259"/>
    <m/>
    <x v="53"/>
    <n v="15058698393"/>
    <x v="17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66088"/>
    <s v="Produto 08"/>
    <n v="50"/>
    <n v="14.65"/>
    <n v="0"/>
    <n v="10.747"/>
    <n v="732.5"/>
    <n v="18"/>
    <s v="PRFL.00.0022"/>
    <n v="0"/>
    <n v="0"/>
    <s v="HENRIQUE"/>
    <m/>
    <m/>
    <m/>
    <d v="2022-01-04T14:09:00"/>
    <n v="0"/>
    <n v="0"/>
    <x v="14"/>
    <n v="55.000000000000007"/>
  </r>
  <r>
    <n v="15732138180"/>
    <n v="259"/>
    <m/>
    <x v="53"/>
    <n v="15058698393"/>
    <x v="19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93155"/>
    <s v="Produto 02"/>
    <n v="200"/>
    <n v="16.7"/>
    <n v="0"/>
    <n v="14.4596"/>
    <n v="3340"/>
    <n v="18"/>
    <s v="PRFL.00.0026"/>
    <n v="0"/>
    <n v="0"/>
    <s v="HENRIQUE"/>
    <m/>
    <m/>
    <m/>
    <d v="2022-01-04T14:09:00"/>
    <n v="0"/>
    <n v="0"/>
    <x v="6"/>
    <n v="54"/>
  </r>
  <r>
    <n v="15732138180"/>
    <n v="259"/>
    <m/>
    <x v="53"/>
    <n v="15058698393"/>
    <x v="18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99089"/>
    <s v="Produto 07"/>
    <n v="120"/>
    <n v="19.3"/>
    <n v="0"/>
    <n v="16.804400000000001"/>
    <n v="2316"/>
    <n v="18"/>
    <s v="PRFL.00.0027"/>
    <n v="0"/>
    <n v="0"/>
    <s v="HENRIQUE"/>
    <m/>
    <m/>
    <m/>
    <d v="2022-01-04T14:09:00"/>
    <n v="0"/>
    <n v="0"/>
    <x v="12"/>
    <n v="132"/>
  </r>
  <r>
    <n v="15732138180"/>
    <n v="259"/>
    <m/>
    <x v="53"/>
    <n v="15058698393"/>
    <x v="0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395751673"/>
    <s v="Produto 06"/>
    <n v="20"/>
    <n v="7.2"/>
    <n v="0"/>
    <n v="5.8620000000000001"/>
    <n v="144"/>
    <n v="18"/>
    <s v="PRFL.00.0039"/>
    <n v="0"/>
    <n v="0"/>
    <s v="HENRIQUE"/>
    <m/>
    <m/>
    <m/>
    <d v="2022-01-04T14:09:00"/>
    <n v="0"/>
    <n v="0"/>
    <x v="0"/>
    <n v="10"/>
  </r>
  <r>
    <n v="15732262638"/>
    <n v="260"/>
    <m/>
    <x v="53"/>
    <n v="15611856791"/>
    <x v="14"/>
    <s v="43.813.667/0001-16"/>
    <s v="RUA JOAO ALBERTO DOS SANTOS, 257, CASA"/>
    <s v="SAO CRISTOVAO"/>
    <s v="Barra Velha"/>
    <n v="88390000"/>
    <s v="SC"/>
    <s v="Giovana@Giovana.com"/>
    <n v="41999473993"/>
    <n v="0"/>
    <n v="0"/>
    <m/>
    <s v="Atendido"/>
    <n v="15016099089"/>
    <s v="Produto 08"/>
    <n v="300"/>
    <n v="20.9"/>
    <n v="0"/>
    <n v="16.804400000000001"/>
    <n v="6270"/>
    <n v="149"/>
    <s v="PRFL.00.0027"/>
    <n v="0"/>
    <n v="0"/>
    <s v="HENRIQUE"/>
    <m/>
    <m/>
    <m/>
    <d v="2022-01-06T09:46:00"/>
    <n v="0"/>
    <n v="0"/>
    <x v="14"/>
    <n v="330"/>
  </r>
  <r>
    <n v="15732262638"/>
    <n v="260"/>
    <m/>
    <x v="53"/>
    <n v="15611856791"/>
    <x v="19"/>
    <s v="43.813.667/0001-16"/>
    <s v="RUA JOAO ALBERTO DOS SANTOS, 257, CASA"/>
    <s v="SAO CRISTOVAO"/>
    <s v="Barra Velha"/>
    <n v="88390000"/>
    <s v="SC"/>
    <s v="Giovana@Giovana.com"/>
    <n v="41999473993"/>
    <n v="0"/>
    <n v="0"/>
    <m/>
    <s v="Atendido"/>
    <n v="15016087271"/>
    <s v="Produto 02"/>
    <n v="200"/>
    <n v="17.899999999999999"/>
    <n v="3.5"/>
    <n v="14.4596"/>
    <n v="3580"/>
    <n v="149"/>
    <s v="PRFL.00.0025"/>
    <n v="0"/>
    <n v="0"/>
    <s v="HENRIQUE"/>
    <m/>
    <m/>
    <m/>
    <d v="2022-01-06T09:46:00"/>
    <n v="0"/>
    <n v="0"/>
    <x v="6"/>
    <n v="54"/>
  </r>
  <r>
    <n v="15732285132"/>
    <n v="261"/>
    <m/>
    <x v="53"/>
    <n v="15265449061"/>
    <x v="10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49144"/>
    <s v="Produto 12"/>
    <n v="500"/>
    <n v="7.2"/>
    <n v="0"/>
    <n v="5.8620000000000001"/>
    <n v="3600"/>
    <n v="60"/>
    <s v="PRFL.00.0020"/>
    <n v="0"/>
    <n v="0"/>
    <s v="HENRIQUE"/>
    <m/>
    <m/>
    <m/>
    <d v="2022-01-06T09:46:00"/>
    <n v="0"/>
    <n v="0"/>
    <x v="15"/>
    <n v="700"/>
  </r>
  <r>
    <n v="15732285132"/>
    <n v="261"/>
    <m/>
    <x v="53"/>
    <n v="15265449061"/>
    <x v="14"/>
    <s v="34.072.782/0001-96"/>
    <s v="Rua do Príncipe, 1346, sala 02"/>
    <s v="Itapema do norte"/>
    <s v="Itapoá"/>
    <n v="89249000"/>
    <s v="SC"/>
    <s v="contato.wisecontabilidade@gmail.com"/>
    <n v="47996022520"/>
    <n v="0"/>
    <n v="0"/>
    <m/>
    <s v="Atendido"/>
    <n v="15016043939"/>
    <s v="Produto 03"/>
    <n v="200"/>
    <n v="12.8"/>
    <n v="0"/>
    <n v="10.747"/>
    <n v="2560"/>
    <n v="60"/>
    <s v="PRFL.00.0019"/>
    <n v="0"/>
    <n v="0"/>
    <s v="HENRIQUE"/>
    <m/>
    <m/>
    <m/>
    <d v="2022-01-06T09:46:00"/>
    <n v="0"/>
    <n v="0"/>
    <x v="13"/>
    <n v="120"/>
  </r>
  <r>
    <n v="15781956191"/>
    <n v="287"/>
    <m/>
    <x v="53"/>
    <n v="15602903347"/>
    <x v="0"/>
    <s v="009.566.559-55"/>
    <m/>
    <m/>
    <m/>
    <m/>
    <s v=" "/>
    <m/>
    <m/>
    <n v="0"/>
    <n v="0"/>
    <m/>
    <s v="Atendido"/>
    <n v="15016043939"/>
    <s v="Produto 15"/>
    <n v="155"/>
    <n v="14"/>
    <n v="0.71"/>
    <n v="10.747"/>
    <n v="2170"/>
    <n v="132"/>
    <s v="PRFL.00.0019"/>
    <n v="0"/>
    <n v="0"/>
    <s v="HENRIQUE"/>
    <m/>
    <m/>
    <m/>
    <d v="2022-01-03T08:44:00"/>
    <n v="0"/>
    <n v="0"/>
    <x v="16"/>
    <n v="220.1"/>
  </r>
  <r>
    <n v="15781956191"/>
    <n v="287"/>
    <m/>
    <x v="53"/>
    <n v="15602903347"/>
    <x v="9"/>
    <s v="009.566.559-55"/>
    <m/>
    <m/>
    <m/>
    <m/>
    <s v=" "/>
    <m/>
    <m/>
    <n v="0"/>
    <n v="0"/>
    <m/>
    <s v="Atendido"/>
    <n v="15016073255"/>
    <s v="Produto 06"/>
    <n v="40"/>
    <n v="15"/>
    <n v="9.64"/>
    <n v="10.747"/>
    <n v="600"/>
    <n v="132"/>
    <s v="PRFL.00.0023"/>
    <n v="0"/>
    <n v="0"/>
    <s v="HENRIQUE"/>
    <m/>
    <m/>
    <m/>
    <d v="2022-01-03T08:44:00"/>
    <n v="0"/>
    <n v="0"/>
    <x v="0"/>
    <n v="20"/>
  </r>
  <r>
    <n v="15781956191"/>
    <n v="287"/>
    <m/>
    <x v="53"/>
    <n v="15602903347"/>
    <x v="18"/>
    <s v="009.566.559-55"/>
    <m/>
    <m/>
    <m/>
    <m/>
    <s v=" "/>
    <m/>
    <m/>
    <n v="0"/>
    <n v="0"/>
    <m/>
    <s v="Atendido"/>
    <n v="15016049144"/>
    <s v="Produto 07"/>
    <n v="40"/>
    <n v="7.6437499999999998"/>
    <n v="7.68"/>
    <n v="5.8620000000000001"/>
    <n v="305.75"/>
    <n v="132"/>
    <s v="PRFL.00.0020"/>
    <n v="0"/>
    <n v="0"/>
    <s v="HENRIQUE"/>
    <m/>
    <m/>
    <m/>
    <d v="2022-01-03T08:44:00"/>
    <n v="0"/>
    <n v="0"/>
    <x v="12"/>
    <n v="44"/>
  </r>
  <r>
    <n v="15739556106"/>
    <n v="262"/>
    <m/>
    <x v="54"/>
    <n v="15058669306"/>
    <x v="13"/>
    <s v="03.387.992/0001-40"/>
    <s v="RUA ANTONIO GRECA, 91"/>
    <s v="AHU"/>
    <s v="Curitiba"/>
    <n v="82200430"/>
    <s v="PR"/>
    <s v="willian@walls.com.br"/>
    <n v="4191036801"/>
    <n v="0"/>
    <n v="0"/>
    <s v="NFE 880"/>
    <s v="Atendido"/>
    <n v="15016049144"/>
    <s v="Produto 14"/>
    <n v="500"/>
    <n v="7.3"/>
    <n v="0"/>
    <n v="5.8620000000000001"/>
    <n v="3650"/>
    <n v="17"/>
    <s v="PRFL.00.0020"/>
    <n v="0"/>
    <n v="0"/>
    <s v="AMANDA HUBBE"/>
    <m/>
    <m/>
    <m/>
    <d v="2022-01-05T17:11:00"/>
    <n v="0"/>
    <n v="0"/>
    <x v="1"/>
    <n v="700"/>
  </r>
  <r>
    <n v="15739556106"/>
    <n v="262"/>
    <m/>
    <x v="54"/>
    <n v="15058669306"/>
    <x v="13"/>
    <s v="03.387.992/0001-40"/>
    <s v="RUA ANTONIO GRECA, 91"/>
    <s v="AHU"/>
    <s v="Curitiba"/>
    <n v="82200430"/>
    <s v="PR"/>
    <s v="willian@walls.com.br"/>
    <n v="4191036801"/>
    <n v="0"/>
    <n v="0"/>
    <s v="NFE 880"/>
    <s v="Atendido"/>
    <n v="15016093155"/>
    <s v="Produto 04"/>
    <n v="150"/>
    <n v="17.3"/>
    <n v="0"/>
    <n v="14.4596"/>
    <n v="2595"/>
    <n v="17"/>
    <s v="PRFL.00.0026"/>
    <n v="0"/>
    <n v="0"/>
    <s v="AMANDA HUBBE"/>
    <m/>
    <m/>
    <m/>
    <d v="2022-01-05T17:11:00"/>
    <n v="0"/>
    <n v="0"/>
    <x v="10"/>
    <n v="90"/>
  </r>
  <r>
    <n v="15739657776"/>
    <n v="263"/>
    <m/>
    <x v="54"/>
    <n v="15179581888"/>
    <x v="1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740168582"/>
    <s v="Produto 04"/>
    <n v="200"/>
    <n v="27.5"/>
    <n v="0"/>
    <n v="12.9941"/>
    <n v="5500"/>
    <n v="41"/>
    <s v="PRFL.00.0051"/>
    <n v="0"/>
    <n v="0"/>
    <s v="HENRIQUE"/>
    <m/>
    <m/>
    <m/>
    <d v="2022-01-10T10:32:00"/>
    <n v="0"/>
    <n v="0"/>
    <x v="10"/>
    <n v="120"/>
  </r>
  <r>
    <n v="15740238289"/>
    <n v="264"/>
    <m/>
    <x v="54"/>
    <n v="15501401501"/>
    <x v="18"/>
    <s v="07.870.277/0001-14"/>
    <s v="Hirto Melegari, 370, -"/>
    <s v="Sagrado coração de Jesus"/>
    <s v="Lages"/>
    <n v="88508395"/>
    <s v="SC"/>
    <s v="gessolargesso@gmail.com"/>
    <n v="49999519233"/>
    <n v="0"/>
    <n v="0"/>
    <s v="NFE 879"/>
    <s v="Atendido"/>
    <n v="15016099089"/>
    <s v="Produto 14"/>
    <n v="150"/>
    <n v="20.5"/>
    <n v="0"/>
    <n v="16.804400000000001"/>
    <n v="3075"/>
    <n v="110"/>
    <s v="PRFL.00.0027"/>
    <n v="0"/>
    <n v="0"/>
    <s v="FERNANDO CARDOSO"/>
    <m/>
    <m/>
    <m/>
    <d v="2022-01-07T09:18:00"/>
    <n v="0"/>
    <n v="0"/>
    <x v="1"/>
    <n v="210"/>
  </r>
  <r>
    <n v="15740238289"/>
    <n v="264"/>
    <m/>
    <x v="54"/>
    <n v="15501401501"/>
    <x v="6"/>
    <s v="07.870.277/0001-14"/>
    <s v="Hirto Melegari, 370, -"/>
    <s v="Sagrado coração de Jesus"/>
    <s v="Lages"/>
    <n v="88508395"/>
    <s v="SC"/>
    <s v="gessolargesso@gmail.com"/>
    <n v="49999519233"/>
    <n v="0"/>
    <n v="0"/>
    <s v="NFE 879"/>
    <s v="Atendido"/>
    <n v="15016087271"/>
    <s v="Produto 03"/>
    <n v="60"/>
    <n v="17.5"/>
    <n v="0"/>
    <n v="14.4596"/>
    <n v="1050"/>
    <n v="110"/>
    <s v="PRFL.00.0025"/>
    <n v="0"/>
    <n v="0"/>
    <s v="FERNANDO CARDOSO"/>
    <m/>
    <m/>
    <m/>
    <d v="2022-01-07T09:18:00"/>
    <n v="0"/>
    <n v="0"/>
    <x v="13"/>
    <n v="36"/>
  </r>
  <r>
    <n v="15740238289"/>
    <n v="264"/>
    <m/>
    <x v="54"/>
    <n v="15501401501"/>
    <x v="15"/>
    <s v="07.870.277/0001-14"/>
    <s v="Hirto Melegari, 370, -"/>
    <s v="Sagrado coração de Jesus"/>
    <s v="Lages"/>
    <n v="88508395"/>
    <s v="SC"/>
    <s v="gessolargesso@gmail.com"/>
    <n v="49999519233"/>
    <n v="0"/>
    <n v="0"/>
    <s v="NFE 879"/>
    <s v="Atendido"/>
    <n v="15016043939"/>
    <s v="Produto 16"/>
    <n v="100"/>
    <n v="12.95"/>
    <n v="0"/>
    <n v="10.747"/>
    <n v="1295"/>
    <n v="110"/>
    <s v="PRFL.00.0019"/>
    <n v="0"/>
    <n v="0"/>
    <s v="FERNANDO CARDOSO"/>
    <m/>
    <m/>
    <m/>
    <d v="2022-01-07T09:18:00"/>
    <n v="0"/>
    <n v="0"/>
    <x v="9"/>
    <n v="127"/>
  </r>
  <r>
    <n v="15747604215"/>
    <n v="267"/>
    <m/>
    <x v="55"/>
    <n v="15611534708"/>
    <x v="14"/>
    <s v="44.425.368/0001-77"/>
    <s v="R PROFESSORA CECILIA IRITANI, 199"/>
    <s v="São Miguel"/>
    <s v="Curitiba"/>
    <n v="0"/>
    <s v="PR"/>
    <s v="amandahubbe@hotmail.com"/>
    <n v="4196366479"/>
    <n v="0"/>
    <n v="0"/>
    <m/>
    <s v="Atendido"/>
    <n v="15016099089"/>
    <s v="Produto 13"/>
    <n v="41"/>
    <n v="21.14"/>
    <n v="0"/>
    <n v="16.804400000000001"/>
    <n v="866.74"/>
    <n v="147"/>
    <s v="PRFL.00.0027"/>
    <n v="0"/>
    <n v="0"/>
    <s v="HENRIQUE"/>
    <m/>
    <m/>
    <m/>
    <d v="2022-01-05T17:11:00"/>
    <n v="0"/>
    <n v="0"/>
    <x v="2"/>
    <n v="57.4"/>
  </r>
  <r>
    <n v="15747604215"/>
    <n v="267"/>
    <m/>
    <x v="55"/>
    <n v="15611534708"/>
    <x v="16"/>
    <s v="44.425.368/0001-77"/>
    <s v="R PROFESSORA CECILIA IRITANI, 199"/>
    <s v="São Miguel"/>
    <s v="Curitiba"/>
    <n v="0"/>
    <s v="PR"/>
    <s v="amandahubbe@hotmail.com"/>
    <n v="4196366479"/>
    <n v="0"/>
    <n v="0"/>
    <m/>
    <s v="Atendido"/>
    <n v="15016087271"/>
    <s v="Produto 14"/>
    <n v="9"/>
    <n v="18.27"/>
    <n v="0"/>
    <n v="14.4596"/>
    <n v="164.43"/>
    <n v="147"/>
    <s v="PRFL.00.0025"/>
    <n v="0"/>
    <n v="0"/>
    <s v="HENRIQUE"/>
    <m/>
    <m/>
    <m/>
    <d v="2022-01-05T17:11:00"/>
    <n v="0"/>
    <n v="0"/>
    <x v="1"/>
    <n v="12.6"/>
  </r>
  <r>
    <n v="15750195092"/>
    <n v="271"/>
    <m/>
    <x v="55"/>
    <n v="15279322250"/>
    <x v="15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3939"/>
    <s v="Produto 16"/>
    <n v="500"/>
    <n v="12.45"/>
    <n v="0"/>
    <n v="10.747"/>
    <n v="6225"/>
    <n v="68"/>
    <s v="PRFL.00.0019"/>
    <n v="0"/>
    <n v="0"/>
    <s v="HENRIQUE"/>
    <m/>
    <m/>
    <m/>
    <d v="2022-01-06T09:47:00"/>
    <n v="0"/>
    <n v="0"/>
    <x v="9"/>
    <n v="635"/>
  </r>
  <r>
    <n v="15750195092"/>
    <n v="271"/>
    <m/>
    <x v="55"/>
    <n v="15279322250"/>
    <x v="12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49144"/>
    <s v="Produto 07"/>
    <n v="300"/>
    <n v="7.2"/>
    <n v="0"/>
    <n v="5.8620000000000001"/>
    <n v="2160"/>
    <n v="68"/>
    <s v="PRFL.00.0020"/>
    <n v="0"/>
    <n v="0"/>
    <s v="HENRIQUE"/>
    <m/>
    <m/>
    <m/>
    <d v="2022-01-06T09:47:00"/>
    <n v="0"/>
    <n v="0"/>
    <x v="12"/>
    <n v="330"/>
  </r>
  <r>
    <n v="15750195092"/>
    <n v="271"/>
    <m/>
    <x v="55"/>
    <n v="15279322250"/>
    <x v="10"/>
    <s v="15.651.626/0001-35"/>
    <s v="RUA BRIGADEIRO FRANCO, 5024, LOJA 01"/>
    <s v="REBOUCAS"/>
    <s v="Curitiba"/>
    <n v="80220100"/>
    <s v="PR"/>
    <s v="Diego@Drywall.com.br"/>
    <n v="41993330017"/>
    <n v="0"/>
    <n v="0"/>
    <m/>
    <s v="Atendido"/>
    <n v="15016099089"/>
    <s v="Produto 03"/>
    <n v="200"/>
    <n v="19.3"/>
    <n v="0"/>
    <n v="16.804400000000001"/>
    <n v="3860"/>
    <n v="68"/>
    <s v="PRFL.00.0027"/>
    <n v="0"/>
    <n v="0"/>
    <s v="HENRIQUE"/>
    <m/>
    <m/>
    <m/>
    <d v="2022-01-06T09:47:00"/>
    <n v="0"/>
    <n v="0"/>
    <x v="13"/>
    <n v="120"/>
  </r>
  <r>
    <n v="15750342406"/>
    <n v="272"/>
    <m/>
    <x v="55"/>
    <n v="15611856791"/>
    <x v="15"/>
    <s v="43.813.667/0001-16"/>
    <s v="RUA JOAO ALBERTO DOS SANTOS, 257, CASA"/>
    <s v="SAO CRISTOVAO"/>
    <s v="Barra Velha"/>
    <n v="88390000"/>
    <s v="SC"/>
    <s v="Giovana@Giovana.com"/>
    <n v="41999473993"/>
    <n v="0"/>
    <n v="0"/>
    <m/>
    <s v="Atendido"/>
    <n v="15016099089"/>
    <s v="Produto 10"/>
    <n v="200"/>
    <n v="20.9"/>
    <n v="0"/>
    <n v="16.804400000000001"/>
    <n v="4180"/>
    <n v="149"/>
    <s v="PRFL.00.0027"/>
    <n v="0"/>
    <n v="0"/>
    <s v="HENRIQUE"/>
    <m/>
    <m/>
    <m/>
    <d v="2022-01-06T09:47:00"/>
    <n v="0"/>
    <n v="0"/>
    <x v="3"/>
    <n v="220.00000000000003"/>
  </r>
  <r>
    <n v="15750342406"/>
    <n v="272"/>
    <m/>
    <x v="55"/>
    <n v="15611856791"/>
    <x v="14"/>
    <s v="43.813.667/0001-16"/>
    <s v="RUA JOAO ALBERTO DOS SANTOS, 257, CASA"/>
    <s v="SAO CRISTOVAO"/>
    <s v="Barra Velha"/>
    <n v="88390000"/>
    <s v="SC"/>
    <s v="Giovana@Giovana.com"/>
    <n v="41999473993"/>
    <n v="0"/>
    <n v="0"/>
    <m/>
    <s v="Atendido"/>
    <n v="15016087271"/>
    <s v="Produto 17"/>
    <n v="100"/>
    <n v="17.899999999999999"/>
    <n v="0"/>
    <n v="14.4596"/>
    <n v="1790"/>
    <n v="149"/>
    <s v="PRFL.00.0025"/>
    <n v="0"/>
    <n v="0"/>
    <s v="HENRIQUE"/>
    <m/>
    <m/>
    <m/>
    <d v="2022-01-06T09:47:00"/>
    <n v="0"/>
    <n v="0"/>
    <x v="8"/>
    <n v="142"/>
  </r>
  <r>
    <n v="15760863362"/>
    <n v="275"/>
    <m/>
    <x v="56"/>
    <n v="15179581888"/>
    <x v="1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73255"/>
    <s v="Produto 12"/>
    <n v="600"/>
    <n v="14.9"/>
    <n v="0"/>
    <n v="10.747"/>
    <n v="8940"/>
    <n v="41"/>
    <s v="PRFL.00.0023"/>
    <n v="0"/>
    <n v="0"/>
    <m/>
    <m/>
    <m/>
    <m/>
    <d v="2022-01-07T15:54:00"/>
    <n v="0"/>
    <n v="0"/>
    <x v="15"/>
    <n v="840"/>
  </r>
  <r>
    <n v="15760863362"/>
    <n v="275"/>
    <m/>
    <x v="56"/>
    <n v="15179581888"/>
    <x v="7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3939"/>
    <s v="Produto 06"/>
    <n v="300"/>
    <n v="12.38"/>
    <n v="0"/>
    <n v="10.747"/>
    <n v="3714"/>
    <n v="41"/>
    <s v="PRFL.00.0019"/>
    <n v="0"/>
    <n v="0"/>
    <m/>
    <m/>
    <m/>
    <m/>
    <d v="2022-01-07T15:54:00"/>
    <n v="0"/>
    <n v="0"/>
    <x v="0"/>
    <n v="150"/>
  </r>
  <r>
    <n v="15760863362"/>
    <n v="275"/>
    <m/>
    <x v="56"/>
    <n v="15179581888"/>
    <x v="6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49144"/>
    <s v="Produto 15"/>
    <n v="300"/>
    <n v="7.04"/>
    <n v="0"/>
    <n v="5.8620000000000001"/>
    <n v="2112"/>
    <n v="41"/>
    <s v="PRFL.00.0020"/>
    <n v="0"/>
    <n v="0"/>
    <m/>
    <m/>
    <m/>
    <m/>
    <d v="2022-01-07T15:54:00"/>
    <n v="0"/>
    <n v="0"/>
    <x v="16"/>
    <n v="426"/>
  </r>
  <r>
    <n v="15760863362"/>
    <n v="275"/>
    <m/>
    <x v="56"/>
    <n v="15179581888"/>
    <x v="19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87271"/>
    <s v="Produto 17"/>
    <n v="200"/>
    <n v="16.5"/>
    <n v="0"/>
    <n v="14.4596"/>
    <n v="3300"/>
    <n v="41"/>
    <s v="PRFL.00.0025"/>
    <n v="0"/>
    <n v="0"/>
    <m/>
    <m/>
    <m/>
    <m/>
    <d v="2022-01-07T15:54:00"/>
    <n v="0"/>
    <n v="0"/>
    <x v="8"/>
    <n v="284"/>
  </r>
  <r>
    <n v="15760863362"/>
    <n v="275"/>
    <m/>
    <x v="56"/>
    <n v="15179581888"/>
    <x v="14"/>
    <s v="44.114.658/0001-08"/>
    <s v="RUA JOAO RAPHAEL MACHADO, 496"/>
    <s v="Araucaria"/>
    <s v="Curitiba"/>
    <n v="81350610"/>
    <s v="PR"/>
    <s v="Marcio@destak.com.br"/>
    <n v="41996849234"/>
    <n v="0"/>
    <n v="0"/>
    <m/>
    <s v="Atendido"/>
    <n v="15016093155"/>
    <s v="Produto 07"/>
    <n v="150"/>
    <n v="16.5"/>
    <n v="0"/>
    <n v="14.4596"/>
    <n v="2475"/>
    <n v="41"/>
    <s v="PRFL.00.0026"/>
    <n v="0"/>
    <n v="0"/>
    <m/>
    <m/>
    <m/>
    <m/>
    <d v="2022-01-07T15:54:00"/>
    <n v="0"/>
    <n v="0"/>
    <x v="12"/>
    <n v="165"/>
  </r>
  <r>
    <n v="15762710405"/>
    <n v="276"/>
    <m/>
    <x v="56"/>
    <n v="15264888160"/>
    <x v="16"/>
    <s v="28.012.307/0001-21"/>
    <s v="Américo Vespucio, 560, -"/>
    <s v="Nova Brasília"/>
    <s v="Joinville"/>
    <n v="89213401"/>
    <s v="SC"/>
    <s v="vendas@engeplax.com.br"/>
    <n v="4734530505"/>
    <n v="0"/>
    <n v="0"/>
    <m/>
    <s v="Em aberto"/>
    <n v="15016093155"/>
    <s v="Produto 10"/>
    <n v="120"/>
    <n v="17.3"/>
    <n v="0"/>
    <n v="14.4596"/>
    <n v="2076"/>
    <n v="57"/>
    <s v="PRFL.00.0026"/>
    <n v="0"/>
    <n v="0"/>
    <s v="FERNANDO CARDOSO"/>
    <m/>
    <m/>
    <m/>
    <m/>
    <n v="0"/>
    <n v="0"/>
    <x v="3"/>
    <n v="132"/>
  </r>
  <r>
    <n v="15762710405"/>
    <n v="276"/>
    <m/>
    <x v="56"/>
    <n v="15264888160"/>
    <x v="0"/>
    <s v="28.012.307/0001-21"/>
    <s v="Américo Vespucio, 560, -"/>
    <s v="Nova Brasília"/>
    <s v="Joinville"/>
    <n v="89213401"/>
    <s v="SC"/>
    <s v="vendas@engeplax.com.br"/>
    <n v="4734530505"/>
    <n v="0"/>
    <n v="0"/>
    <m/>
    <s v="Em aberto"/>
    <n v="15016099089"/>
    <s v="Produto 10"/>
    <n v="120"/>
    <n v="20.3"/>
    <n v="0"/>
    <n v="16.804400000000001"/>
    <n v="2436"/>
    <n v="57"/>
    <s v="PRFL.00.0027"/>
    <n v="0"/>
    <n v="0"/>
    <s v="FERNANDO CARDOSO"/>
    <m/>
    <m/>
    <m/>
    <m/>
    <n v="0"/>
    <n v="0"/>
    <x v="3"/>
    <n v="132"/>
  </r>
  <r>
    <n v="15762710405"/>
    <n v="276"/>
    <m/>
    <x v="56"/>
    <n v="15264888160"/>
    <x v="8"/>
    <s v="28.012.307/0001-21"/>
    <s v="Américo Vespucio, 560, -"/>
    <s v="Nova Brasília"/>
    <s v="Joinville"/>
    <n v="89213401"/>
    <s v="SC"/>
    <s v="vendas@engeplax.com.br"/>
    <n v="4734530505"/>
    <n v="0"/>
    <n v="0"/>
    <m/>
    <s v="Em aberto"/>
    <n v="15016043939"/>
    <s v="Produto 04"/>
    <n v="100"/>
    <n v="12.8"/>
    <n v="0"/>
    <n v="10.747"/>
    <n v="1280"/>
    <n v="57"/>
    <s v="PRFL.00.0019"/>
    <n v="0"/>
    <n v="0"/>
    <s v="FERNANDO CARDOSO"/>
    <m/>
    <m/>
    <m/>
    <m/>
    <n v="0"/>
    <n v="0"/>
    <x v="10"/>
    <n v="60"/>
  </r>
  <r>
    <n v="15762710405"/>
    <n v="276"/>
    <m/>
    <x v="56"/>
    <n v="15264888160"/>
    <x v="17"/>
    <s v="28.012.307/0001-21"/>
    <s v="Américo Vespucio, 560, -"/>
    <s v="Nova Brasília"/>
    <s v="Joinville"/>
    <n v="89213401"/>
    <s v="SC"/>
    <s v="vendas@engeplax.com.br"/>
    <n v="4734530505"/>
    <n v="0"/>
    <n v="0"/>
    <m/>
    <s v="Em aberto"/>
    <n v="15016073255"/>
    <s v="Produto 02"/>
    <n v="50"/>
    <n v="15"/>
    <n v="0"/>
    <n v="10.747"/>
    <n v="750"/>
    <n v="57"/>
    <s v="PRFL.00.0023"/>
    <n v="0"/>
    <n v="0"/>
    <s v="FERNANDO CARDOSO"/>
    <m/>
    <m/>
    <m/>
    <m/>
    <n v="0"/>
    <n v="0"/>
    <x v="6"/>
    <n v="13.5"/>
  </r>
  <r>
    <n v="15762710405"/>
    <n v="276"/>
    <m/>
    <x v="56"/>
    <n v="15264888160"/>
    <x v="15"/>
    <s v="28.012.307/0001-21"/>
    <s v="Américo Vespucio, 560, -"/>
    <s v="Nova Brasília"/>
    <s v="Joinville"/>
    <n v="89213401"/>
    <s v="SC"/>
    <s v="vendas@engeplax.com.br"/>
    <n v="4734530505"/>
    <n v="0"/>
    <n v="0"/>
    <m/>
    <s v="Em aberto"/>
    <n v="15016080333"/>
    <s v="Produto 11"/>
    <n v="40"/>
    <n v="13.4"/>
    <n v="0"/>
    <n v="10.747"/>
    <n v="536"/>
    <n v="57"/>
    <s v="PRFL.00.0024"/>
    <n v="0"/>
    <n v="0"/>
    <s v="FERNANDO CARDOSO"/>
    <m/>
    <m/>
    <m/>
    <m/>
    <n v="0"/>
    <n v="0"/>
    <x v="11"/>
    <n v="44"/>
  </r>
  <r>
    <n v="15762710405"/>
    <n v="276"/>
    <m/>
    <x v="56"/>
    <n v="15264888160"/>
    <x v="4"/>
    <s v="28.012.307/0001-21"/>
    <s v="Américo Vespucio, 560, -"/>
    <s v="Nova Brasília"/>
    <s v="Joinville"/>
    <n v="89213401"/>
    <s v="SC"/>
    <s v="vendas@engeplax.com.br"/>
    <n v="4734530505"/>
    <n v="0"/>
    <n v="0"/>
    <m/>
    <s v="Em aberto"/>
    <n v="15016087271"/>
    <s v="Produto 11"/>
    <n v="40"/>
    <n v="17.3"/>
    <n v="0"/>
    <n v="14.4596"/>
    <n v="692"/>
    <n v="57"/>
    <s v="PRFL.00.0025"/>
    <n v="0"/>
    <n v="0"/>
    <s v="FERNANDO CARDOSO"/>
    <m/>
    <m/>
    <m/>
    <m/>
    <n v="0"/>
    <n v="0"/>
    <x v="11"/>
    <n v="44"/>
  </r>
  <r>
    <n v="15762710405"/>
    <n v="276"/>
    <m/>
    <x v="56"/>
    <n v="15264888160"/>
    <x v="16"/>
    <s v="28.012.307/0001-21"/>
    <s v="Américo Vespucio, 560, -"/>
    <s v="Nova Brasília"/>
    <s v="Joinville"/>
    <n v="89213401"/>
    <s v="SC"/>
    <s v="vendas@engeplax.com.br"/>
    <n v="4734530505"/>
    <n v="0"/>
    <n v="0"/>
    <m/>
    <s v="Em aberto"/>
    <n v="15016049144"/>
    <s v="Produto 04"/>
    <n v="80"/>
    <n v="7.3"/>
    <n v="0"/>
    <n v="5.8620000000000001"/>
    <n v="584"/>
    <n v="57"/>
    <s v="PRFL.00.0020"/>
    <n v="0"/>
    <n v="0"/>
    <s v="FERNANDO CARDOSO"/>
    <m/>
    <m/>
    <m/>
    <m/>
    <n v="0"/>
    <n v="0"/>
    <x v="10"/>
    <n v="48"/>
  </r>
  <r>
    <n v="15765354468"/>
    <n v="277"/>
    <m/>
    <x v="57"/>
    <n v="15614359652"/>
    <x v="8"/>
    <s v="07.418.345/0001-09"/>
    <s v="Rua - B, -"/>
    <s v="Rio Grande"/>
    <s v="Palhoça"/>
    <n v="88131600"/>
    <s v="SC"/>
    <s v="amplaster@terra.com.br"/>
    <n v="4833410147"/>
    <n v="0"/>
    <n v="0"/>
    <m/>
    <s v="Em aberto"/>
    <n v="15016049144"/>
    <s v="Produto 06"/>
    <n v="200"/>
    <n v="7.3"/>
    <n v="0"/>
    <n v="5.8620000000000001"/>
    <n v="1460"/>
    <n v="169"/>
    <s v="PRFL.00.0020"/>
    <n v="0"/>
    <n v="0"/>
    <s v="FERNANDO CARDOSO"/>
    <m/>
    <m/>
    <m/>
    <m/>
    <n v="0"/>
    <n v="0"/>
    <x v="0"/>
    <n v="100"/>
  </r>
  <r>
    <n v="15765354468"/>
    <n v="277"/>
    <m/>
    <x v="57"/>
    <n v="15614359652"/>
    <x v="12"/>
    <s v="07.418.345/0001-09"/>
    <s v="Rua - B, -"/>
    <s v="Rio Grande"/>
    <s v="Palhoça"/>
    <n v="88131600"/>
    <s v="SC"/>
    <s v="amplaster@terra.com.br"/>
    <n v="4833410147"/>
    <n v="0"/>
    <n v="0"/>
    <m/>
    <s v="Em aberto"/>
    <n v="15395751673"/>
    <s v="Produto 01"/>
    <n v="100"/>
    <n v="7.7"/>
    <n v="0"/>
    <n v="5.8620000000000001"/>
    <n v="770"/>
    <n v="169"/>
    <s v="PRFL.00.0039"/>
    <n v="0"/>
    <n v="0"/>
    <s v="FERNANDO CARDOSO"/>
    <m/>
    <m/>
    <m/>
    <m/>
    <n v="0"/>
    <n v="0"/>
    <x v="7"/>
    <n v="40"/>
  </r>
  <r>
    <n v="15765354468"/>
    <n v="277"/>
    <m/>
    <x v="57"/>
    <n v="15614359652"/>
    <x v="4"/>
    <s v="07.418.345/0001-09"/>
    <s v="Rua - B, -"/>
    <s v="Rio Grande"/>
    <s v="Palhoça"/>
    <n v="88131600"/>
    <s v="SC"/>
    <s v="amplaster@terra.com.br"/>
    <n v="4833410147"/>
    <n v="0"/>
    <n v="0"/>
    <m/>
    <s v="Em aberto"/>
    <n v="15016087271"/>
    <s v="Produto 06"/>
    <n v="200"/>
    <n v="17.3"/>
    <n v="0"/>
    <n v="14.4596"/>
    <n v="3460"/>
    <n v="169"/>
    <s v="PRFL.00.0025"/>
    <n v="0"/>
    <n v="0"/>
    <s v="FERNANDO CARDOSO"/>
    <m/>
    <m/>
    <m/>
    <m/>
    <n v="0"/>
    <n v="0"/>
    <x v="0"/>
    <n v="100"/>
  </r>
  <r>
    <n v="15765354468"/>
    <n v="277"/>
    <m/>
    <x v="57"/>
    <n v="15614359652"/>
    <x v="18"/>
    <s v="07.418.345/0001-09"/>
    <s v="Rua - B, -"/>
    <s v="Rio Grande"/>
    <s v="Palhoça"/>
    <n v="88131600"/>
    <s v="SC"/>
    <s v="amplaster@terra.com.br"/>
    <n v="4833410147"/>
    <n v="0"/>
    <n v="0"/>
    <m/>
    <s v="Em aberto"/>
    <n v="15016073255"/>
    <s v="Produto 11"/>
    <n v="200"/>
    <n v="15"/>
    <n v="0"/>
    <n v="10.747"/>
    <n v="3000"/>
    <n v="169"/>
    <s v="PRFL.00.0023"/>
    <n v="0"/>
    <n v="0"/>
    <s v="FERNANDO CARDOSO"/>
    <m/>
    <m/>
    <m/>
    <m/>
    <n v="0"/>
    <n v="0"/>
    <x v="11"/>
    <n v="220.00000000000003"/>
  </r>
  <r>
    <n v="15765354468"/>
    <n v="277"/>
    <m/>
    <x v="57"/>
    <n v="15614359652"/>
    <x v="16"/>
    <s v="07.418.345/0001-09"/>
    <s v="Rua - B, -"/>
    <s v="Rio Grande"/>
    <s v="Palhoça"/>
    <n v="88131600"/>
    <s v="SC"/>
    <s v="amplaster@terra.com.br"/>
    <n v="4833410147"/>
    <n v="0"/>
    <n v="0"/>
    <m/>
    <s v="Em aberto"/>
    <n v="15016080333"/>
    <s v="Produto 15"/>
    <n v="200"/>
    <n v="13.4"/>
    <n v="0"/>
    <n v="10.747"/>
    <n v="2680"/>
    <n v="169"/>
    <s v="PRFL.00.0024"/>
    <n v="0"/>
    <n v="0"/>
    <s v="FERNANDO CARDOSO"/>
    <m/>
    <m/>
    <m/>
    <m/>
    <n v="0"/>
    <n v="0"/>
    <x v="16"/>
    <n v="284"/>
  </r>
  <r>
    <n v="15765718953"/>
    <n v="279"/>
    <m/>
    <x v="57"/>
    <n v="15058698393"/>
    <x v="3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43939"/>
    <s v="Produto 12"/>
    <n v="300"/>
    <n v="12.45"/>
    <n v="0"/>
    <n v="10.747"/>
    <n v="3735"/>
    <n v="18"/>
    <s v="PRFL.00.0019"/>
    <n v="0"/>
    <n v="0"/>
    <m/>
    <m/>
    <m/>
    <m/>
    <d v="2022-01-10T10:06:00"/>
    <n v="0"/>
    <n v="0"/>
    <x v="15"/>
    <n v="420"/>
  </r>
  <r>
    <n v="15765718953"/>
    <n v="279"/>
    <m/>
    <x v="57"/>
    <n v="15058698393"/>
    <x v="0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73255"/>
    <s v="Produto 02"/>
    <n v="300"/>
    <n v="13.4"/>
    <n v="0"/>
    <n v="10.747"/>
    <n v="4020"/>
    <n v="18"/>
    <s v="PRFL.00.0023"/>
    <n v="0"/>
    <n v="0"/>
    <m/>
    <m/>
    <m/>
    <m/>
    <d v="2022-01-10T10:06:00"/>
    <n v="0"/>
    <n v="0"/>
    <x v="6"/>
    <n v="81"/>
  </r>
  <r>
    <n v="15765718953"/>
    <n v="279"/>
    <m/>
    <x v="57"/>
    <n v="15058698393"/>
    <x v="10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99089"/>
    <s v="Produto 09"/>
    <n v="100"/>
    <n v="19.3"/>
    <n v="0"/>
    <n v="16.804400000000001"/>
    <n v="1930"/>
    <n v="18"/>
    <s v="PRFL.00.0027"/>
    <n v="0"/>
    <n v="0"/>
    <m/>
    <m/>
    <m/>
    <m/>
    <d v="2022-01-10T10:06:00"/>
    <n v="0"/>
    <n v="0"/>
    <x v="4"/>
    <n v="110.00000000000001"/>
  </r>
  <r>
    <n v="15765718953"/>
    <n v="279"/>
    <m/>
    <x v="57"/>
    <n v="15058698393"/>
    <x v="14"/>
    <s v="21.267.641/0001-87"/>
    <s v="LOC RODOVIA DEP JOAO LEOPOLDO JA, 11432"/>
    <s v="CENTRO"/>
    <s v="PINHAIS"/>
    <n v="83320382"/>
    <s v="PR"/>
    <s v="Fabio@Install.com.br"/>
    <n v="41998972354"/>
    <n v="0"/>
    <n v="0"/>
    <m/>
    <s v="Atendido"/>
    <n v="15016093155"/>
    <s v="Produto 06"/>
    <n v="100"/>
    <n v="16.7"/>
    <n v="0"/>
    <n v="14.4596"/>
    <n v="1670"/>
    <n v="18"/>
    <s v="PRFL.00.0026"/>
    <n v="0"/>
    <n v="0"/>
    <m/>
    <m/>
    <m/>
    <m/>
    <d v="2022-01-10T10:06:00"/>
    <n v="0"/>
    <n v="0"/>
    <x v="0"/>
    <n v="50"/>
  </r>
  <r>
    <n v="15765932342"/>
    <n v="281"/>
    <m/>
    <x v="57"/>
    <n v="15339582855"/>
    <x v="11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Em aberto"/>
    <n v="15016093155"/>
    <s v="Produto 10"/>
    <n v="1000"/>
    <n v="16.7"/>
    <n v="0"/>
    <n v="14.4596"/>
    <n v="16700"/>
    <n v="83"/>
    <s v="PRFL.00.0026"/>
    <n v="0"/>
    <n v="0"/>
    <m/>
    <m/>
    <m/>
    <m/>
    <m/>
    <n v="0"/>
    <n v="0"/>
    <x v="3"/>
    <n v="1100"/>
  </r>
  <r>
    <n v="15765932342"/>
    <n v="281"/>
    <m/>
    <x v="57"/>
    <n v="15339582855"/>
    <x v="9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Em aberto"/>
    <n v="15016099089"/>
    <s v="Produto 07"/>
    <n v="1000"/>
    <n v="19.3"/>
    <n v="0"/>
    <n v="16.804400000000001"/>
    <n v="19300"/>
    <n v="83"/>
    <s v="PRFL.00.0027"/>
    <n v="0"/>
    <n v="0"/>
    <m/>
    <m/>
    <m/>
    <m/>
    <m/>
    <n v="0"/>
    <n v="0"/>
    <x v="12"/>
    <n v="1100"/>
  </r>
  <r>
    <n v="15765932342"/>
    <n v="281"/>
    <m/>
    <x v="57"/>
    <n v="15339582855"/>
    <x v="12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Em aberto"/>
    <n v="15016099089"/>
    <s v="Produto 10"/>
    <n v="500"/>
    <n v="18.010000000000002"/>
    <n v="0"/>
    <n v="16.804400000000001"/>
    <n v="9005"/>
    <n v="83"/>
    <s v="PRFL.00.0027"/>
    <n v="0"/>
    <n v="0"/>
    <m/>
    <m/>
    <m/>
    <m/>
    <m/>
    <n v="0"/>
    <n v="0"/>
    <x v="3"/>
    <n v="550"/>
  </r>
  <r>
    <n v="15765932342"/>
    <n v="281"/>
    <m/>
    <x v="57"/>
    <n v="15339582855"/>
    <x v="8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Em aberto"/>
    <n v="15016043939"/>
    <s v="Produto 09"/>
    <n v="4000"/>
    <n v="12.45"/>
    <n v="0"/>
    <n v="10.747"/>
    <n v="49800"/>
    <n v="83"/>
    <s v="PRFL.00.0019"/>
    <n v="0"/>
    <n v="0"/>
    <m/>
    <m/>
    <m/>
    <m/>
    <m/>
    <n v="0"/>
    <n v="0"/>
    <x v="4"/>
    <n v="4400"/>
  </r>
  <r>
    <n v="15765932342"/>
    <n v="281"/>
    <m/>
    <x v="57"/>
    <n v="15339582855"/>
    <x v="5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Em aberto"/>
    <n v="15139667431"/>
    <s v="Produto 10"/>
    <n v="500"/>
    <n v="20"/>
    <n v="0"/>
    <n v="0"/>
    <n v="10000"/>
    <n v="83"/>
    <s v="PRFL.00.0028"/>
    <n v="0"/>
    <n v="0"/>
    <m/>
    <m/>
    <m/>
    <m/>
    <m/>
    <n v="0"/>
    <n v="0"/>
    <x v="3"/>
    <n v="550"/>
  </r>
  <r>
    <n v="15765932342"/>
    <n v="281"/>
    <m/>
    <x v="57"/>
    <n v="15339582855"/>
    <x v="5"/>
    <s v="11.948.531/0001-27"/>
    <s v="RUA JOSE FERNANDES MALDONADO, 255, BARRACAO C"/>
    <s v="BAIRRO ALTO"/>
    <s v="Curitiba"/>
    <n v="82840020"/>
    <s v="PR"/>
    <s v="Elizeu@gds.com.br"/>
    <n v="41995546245"/>
    <n v="0"/>
    <n v="0"/>
    <m/>
    <s v="Em aberto"/>
    <n v="15016099089"/>
    <s v="Produto 07"/>
    <n v="300"/>
    <n v="16.079999999999998"/>
    <n v="0"/>
    <n v="16.804400000000001"/>
    <n v="4824"/>
    <n v="83"/>
    <s v="PRFL.00.0027"/>
    <n v="0"/>
    <n v="0"/>
    <m/>
    <m/>
    <m/>
    <m/>
    <m/>
    <n v="0"/>
    <n v="0"/>
    <x v="12"/>
    <n v="330"/>
  </r>
  <r>
    <n v="15767144963"/>
    <n v="282"/>
    <m/>
    <x v="57"/>
    <n v="15615620581"/>
    <x v="0"/>
    <s v="40.289.673/0001-28"/>
    <s v="Rua João Batista Cordeiro, 388, -"/>
    <s v="São Defende"/>
    <s v="Crisciúma"/>
    <n v="88808073"/>
    <s v="SC"/>
    <s v="ilumigesso@gmail.com"/>
    <n v="48996577067"/>
    <n v="0"/>
    <n v="0"/>
    <s v="NFE 898"/>
    <s v="Em aberto"/>
    <n v="15016099089"/>
    <s v="Produto 08"/>
    <n v="120"/>
    <n v="20.9"/>
    <n v="0"/>
    <n v="16.804400000000001"/>
    <n v="2508"/>
    <n v="172"/>
    <s v="PRFL.00.0027"/>
    <n v="0"/>
    <n v="0"/>
    <s v="FERNANDO CARDOSO"/>
    <m/>
    <m/>
    <m/>
    <m/>
    <n v="0"/>
    <n v="0"/>
    <x v="14"/>
    <n v="132"/>
  </r>
  <r>
    <n v="15767144963"/>
    <n v="282"/>
    <m/>
    <x v="57"/>
    <n v="15615620581"/>
    <x v="3"/>
    <s v="40.289.673/0001-28"/>
    <s v="Rua João Batista Cordeiro, 388, -"/>
    <s v="São Defende"/>
    <s v="Crisciúma"/>
    <n v="88808073"/>
    <s v="SC"/>
    <s v="ilumigesso@gmail.com"/>
    <n v="48996577067"/>
    <n v="0"/>
    <n v="0"/>
    <s v="NFE 898"/>
    <s v="Em aberto"/>
    <n v="15016087271"/>
    <s v="Produto 04"/>
    <n v="50"/>
    <n v="17.899999999999999"/>
    <n v="0"/>
    <n v="14.4596"/>
    <n v="895"/>
    <n v="172"/>
    <s v="PRFL.00.0025"/>
    <n v="0"/>
    <n v="0"/>
    <s v="FERNANDO CARDOSO"/>
    <m/>
    <m/>
    <m/>
    <m/>
    <n v="0"/>
    <n v="0"/>
    <x v="10"/>
    <n v="30"/>
  </r>
  <r>
    <n v="15767144963"/>
    <n v="282"/>
    <m/>
    <x v="57"/>
    <n v="15615620581"/>
    <x v="16"/>
    <s v="40.289.673/0001-28"/>
    <s v="Rua João Batista Cordeiro, 388, -"/>
    <s v="São Defende"/>
    <s v="Crisciúma"/>
    <n v="88808073"/>
    <s v="SC"/>
    <s v="ilumigesso@gmail.com"/>
    <n v="48996577067"/>
    <n v="0"/>
    <n v="0"/>
    <s v="NFE 898"/>
    <s v="Em aberto"/>
    <n v="15016093155"/>
    <s v="Produto 08"/>
    <n v="60"/>
    <n v="17.899999999999999"/>
    <n v="0"/>
    <n v="14.4596"/>
    <n v="1074"/>
    <n v="172"/>
    <s v="PRFL.00.0026"/>
    <n v="0"/>
    <n v="0"/>
    <s v="FERNANDO CARDOSO"/>
    <m/>
    <m/>
    <m/>
    <m/>
    <n v="0"/>
    <n v="0"/>
    <x v="14"/>
    <n v="66"/>
  </r>
  <r>
    <n v="15767144963"/>
    <n v="282"/>
    <m/>
    <x v="57"/>
    <n v="15615620581"/>
    <x v="2"/>
    <s v="40.289.673/0001-28"/>
    <s v="Rua João Batista Cordeiro, 388, -"/>
    <s v="São Defende"/>
    <s v="Crisciúma"/>
    <n v="88808073"/>
    <s v="SC"/>
    <s v="ilumigesso@gmail.com"/>
    <n v="48996577067"/>
    <n v="0"/>
    <n v="0"/>
    <s v="NFE 898"/>
    <s v="Em aberto"/>
    <n v="15016080333"/>
    <s v="Produto 06"/>
    <n v="30"/>
    <n v="13.9"/>
    <n v="0"/>
    <n v="10.747"/>
    <n v="417"/>
    <n v="172"/>
    <s v="PRFL.00.0024"/>
    <n v="0"/>
    <n v="0"/>
    <s v="FERNANDO CARDOSO"/>
    <m/>
    <m/>
    <m/>
    <m/>
    <n v="0"/>
    <n v="0"/>
    <x v="0"/>
    <n v="15"/>
  </r>
  <r>
    <n v="15767144963"/>
    <n v="282"/>
    <m/>
    <x v="57"/>
    <n v="15615620581"/>
    <x v="6"/>
    <s v="40.289.673/0001-28"/>
    <s v="Rua João Batista Cordeiro, 388, -"/>
    <s v="São Defende"/>
    <s v="Crisciúma"/>
    <n v="88808073"/>
    <s v="SC"/>
    <s v="ilumigesso@gmail.com"/>
    <n v="48996577067"/>
    <n v="0"/>
    <n v="0"/>
    <s v="NFE 898"/>
    <s v="Em aberto"/>
    <n v="15016043939"/>
    <s v="Produto 10"/>
    <n v="120"/>
    <n v="13.3"/>
    <n v="0"/>
    <n v="10.747"/>
    <n v="1596"/>
    <n v="172"/>
    <s v="PRFL.00.0019"/>
    <n v="0"/>
    <n v="0"/>
    <s v="FERNANDO CARDOSO"/>
    <m/>
    <m/>
    <m/>
    <m/>
    <n v="0"/>
    <n v="0"/>
    <x v="3"/>
    <n v="132"/>
  </r>
  <r>
    <n v="15767144963"/>
    <n v="282"/>
    <m/>
    <x v="57"/>
    <n v="15615620581"/>
    <x v="6"/>
    <s v="40.289.673/0001-28"/>
    <s v="Rua João Batista Cordeiro, 388, -"/>
    <s v="São Defende"/>
    <s v="Crisciúma"/>
    <n v="88808073"/>
    <s v="SC"/>
    <s v="ilumigesso@gmail.com"/>
    <n v="48996577067"/>
    <n v="0"/>
    <n v="0"/>
    <s v="NFE 898"/>
    <s v="Em aberto"/>
    <n v="15015964159"/>
    <s v="Produto 10"/>
    <n v="60"/>
    <n v="15.9"/>
    <n v="0"/>
    <n v="10.285"/>
    <n v="954"/>
    <n v="172"/>
    <s v="PRFL.00.0014"/>
    <n v="0"/>
    <n v="0"/>
    <s v="FERNANDO CARDOSO"/>
    <m/>
    <m/>
    <m/>
    <m/>
    <n v="0"/>
    <n v="0"/>
    <x v="3"/>
    <n v="66"/>
  </r>
  <r>
    <n v="15767144963"/>
    <n v="282"/>
    <m/>
    <x v="57"/>
    <n v="15615620581"/>
    <x v="15"/>
    <s v="40.289.673/0001-28"/>
    <s v="Rua João Batista Cordeiro, 388, -"/>
    <s v="São Defende"/>
    <s v="Crisciúma"/>
    <n v="88808073"/>
    <s v="SC"/>
    <s v="ilumigesso@gmail.com"/>
    <n v="48996577067"/>
    <n v="0"/>
    <n v="0"/>
    <s v="NFE 898"/>
    <s v="Em aberto"/>
    <n v="15016049144"/>
    <s v="Produto 09"/>
    <n v="60"/>
    <n v="7.9"/>
    <n v="0"/>
    <n v="5.8620000000000001"/>
    <n v="474"/>
    <n v="172"/>
    <s v="PRFL.00.0020"/>
    <n v="0"/>
    <n v="0"/>
    <s v="FERNANDO CARDOSO"/>
    <m/>
    <m/>
    <m/>
    <m/>
    <n v="0"/>
    <n v="0"/>
    <x v="4"/>
    <n v="66"/>
  </r>
  <r>
    <n v="15768651838"/>
    <n v="283"/>
    <m/>
    <x v="57"/>
    <n v="15483144585"/>
    <x v="19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Em aberto"/>
    <n v="15016043939"/>
    <s v="Produto 09"/>
    <n v="500"/>
    <n v="12.8"/>
    <n v="0"/>
    <n v="10.747"/>
    <n v="6400"/>
    <n v="107"/>
    <s v="PRFL.00.0019"/>
    <n v="0"/>
    <n v="0"/>
    <s v="FERNANDO CARDOSO"/>
    <m/>
    <m/>
    <m/>
    <m/>
    <n v="0"/>
    <n v="0"/>
    <x v="4"/>
    <n v="550"/>
  </r>
  <r>
    <n v="15768651838"/>
    <n v="283"/>
    <m/>
    <x v="57"/>
    <n v="15483144585"/>
    <x v="7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Em aberto"/>
    <n v="15016073255"/>
    <s v="Produto 16"/>
    <n v="300"/>
    <n v="15"/>
    <n v="0"/>
    <n v="10.747"/>
    <n v="4500"/>
    <n v="107"/>
    <s v="PRFL.00.0023"/>
    <n v="0"/>
    <n v="0"/>
    <s v="FERNANDO CARDOSO"/>
    <m/>
    <m/>
    <m/>
    <m/>
    <n v="0"/>
    <n v="0"/>
    <x v="9"/>
    <n v="381"/>
  </r>
  <r>
    <n v="15768651838"/>
    <n v="283"/>
    <m/>
    <x v="57"/>
    <n v="15483144585"/>
    <x v="9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Em aberto"/>
    <n v="15016080333"/>
    <s v="Produto 14"/>
    <n v="150"/>
    <n v="13.4"/>
    <n v="0"/>
    <n v="10.747"/>
    <n v="2010"/>
    <n v="107"/>
    <s v="PRFL.00.0024"/>
    <n v="0"/>
    <n v="0"/>
    <s v="FERNANDO CARDOSO"/>
    <m/>
    <m/>
    <m/>
    <m/>
    <n v="0"/>
    <n v="0"/>
    <x v="1"/>
    <n v="210"/>
  </r>
  <r>
    <n v="15768651838"/>
    <n v="283"/>
    <m/>
    <x v="57"/>
    <n v="15483144585"/>
    <x v="10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Em aberto"/>
    <n v="15016093155"/>
    <s v="Produto 05"/>
    <n v="300"/>
    <n v="17.3"/>
    <n v="0"/>
    <n v="14.4596"/>
    <n v="5190"/>
    <n v="107"/>
    <s v="PRFL.00.0026"/>
    <n v="0"/>
    <n v="0"/>
    <s v="FERNANDO CARDOSO"/>
    <m/>
    <m/>
    <m/>
    <m/>
    <n v="0"/>
    <n v="0"/>
    <x v="5"/>
    <n v="180"/>
  </r>
  <r>
    <n v="15768651838"/>
    <n v="283"/>
    <m/>
    <x v="57"/>
    <n v="15483144585"/>
    <x v="0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Em aberto"/>
    <n v="15016087271"/>
    <s v="Produto 14"/>
    <n v="150"/>
    <n v="17.3"/>
    <n v="0"/>
    <n v="14.4596"/>
    <n v="2595"/>
    <n v="107"/>
    <s v="PRFL.00.0025"/>
    <n v="0"/>
    <n v="0"/>
    <s v="FERNANDO CARDOSO"/>
    <m/>
    <m/>
    <m/>
    <m/>
    <n v="0"/>
    <n v="0"/>
    <x v="1"/>
    <n v="210"/>
  </r>
  <r>
    <n v="15768651838"/>
    <n v="283"/>
    <m/>
    <x v="57"/>
    <n v="15483144585"/>
    <x v="7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Em aberto"/>
    <n v="15395751673"/>
    <s v="Produto 02"/>
    <n v="50"/>
    <n v="7.9"/>
    <n v="0"/>
    <n v="5.8620000000000001"/>
    <n v="395"/>
    <n v="107"/>
    <s v="PRFL.00.0039"/>
    <n v="0"/>
    <n v="0"/>
    <s v="FERNANDO CARDOSO"/>
    <m/>
    <m/>
    <m/>
    <m/>
    <n v="0"/>
    <n v="0"/>
    <x v="6"/>
    <n v="13.5"/>
  </r>
  <r>
    <n v="15768651838"/>
    <n v="283"/>
    <m/>
    <x v="57"/>
    <n v="15483144585"/>
    <x v="14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Em aberto"/>
    <n v="15016049144"/>
    <s v="Produto 07"/>
    <n v="400"/>
    <n v="7.3"/>
    <n v="0"/>
    <n v="5.8620000000000001"/>
    <n v="2920"/>
    <n v="107"/>
    <s v="PRFL.00.0020"/>
    <n v="0"/>
    <n v="0"/>
    <s v="FERNANDO CARDOSO"/>
    <m/>
    <m/>
    <m/>
    <m/>
    <n v="0"/>
    <n v="0"/>
    <x v="12"/>
    <n v="440.00000000000006"/>
  </r>
  <r>
    <n v="15768651838"/>
    <n v="283"/>
    <m/>
    <x v="57"/>
    <n v="15483144585"/>
    <x v="19"/>
    <s v="23.828.859/0001-99"/>
    <s v="Jornalista Rui Ademar Rodrigues, 1615, Galpão 1"/>
    <s v="São Domingos"/>
    <s v="Navegantes"/>
    <n v="88370777"/>
    <s v="SC"/>
    <s v="financeiro@dryobras.com.br"/>
    <n v="4733426422"/>
    <n v="0"/>
    <n v="0"/>
    <m/>
    <s v="Em aberto"/>
    <n v="15016099089"/>
    <s v="Produto 11"/>
    <n v="150"/>
    <n v="20.3"/>
    <n v="0"/>
    <n v="16.804400000000001"/>
    <n v="3045"/>
    <n v="107"/>
    <s v="PRFL.00.0027"/>
    <n v="0"/>
    <n v="0"/>
    <s v="FERNANDO CARDOSO"/>
    <m/>
    <m/>
    <m/>
    <m/>
    <n v="0"/>
    <n v="0"/>
    <x v="11"/>
    <n v="165"/>
  </r>
  <r>
    <n v="15769146301"/>
    <n v="284"/>
    <m/>
    <x v="57"/>
    <n v="15615810470"/>
    <x v="9"/>
    <s v="83.310.441/0066-62"/>
    <s v="RUA ANDRÃ? LUNARDI, 948"/>
    <s v="CENTRO"/>
    <s v="Xaxim"/>
    <n v="89825000"/>
    <s v="SC"/>
    <s v="fiscal@auroraalimentos.com.br"/>
    <n v="4933538650"/>
    <n v="0"/>
    <n v="0"/>
    <s v="NFE 896"/>
    <s v="Em aberto"/>
    <n v="15016080333"/>
    <s v="Produto 02"/>
    <n v="100"/>
    <n v="13.4"/>
    <n v="0"/>
    <n v="10.747"/>
    <n v="1340"/>
    <n v="174"/>
    <s v="PRFL.00.0024"/>
    <n v="0"/>
    <n v="0"/>
    <s v="FERNANDO CARDOSO"/>
    <m/>
    <m/>
    <m/>
    <m/>
    <n v="0"/>
    <n v="0"/>
    <x v="6"/>
    <n v="27"/>
  </r>
  <r>
    <n v="15769146301"/>
    <n v="284"/>
    <m/>
    <x v="57"/>
    <n v="15615810470"/>
    <x v="9"/>
    <s v="83.310.441/0066-62"/>
    <s v="RUA ANDRÃ? LUNARDI, 948"/>
    <s v="CENTRO"/>
    <s v="Xaxim"/>
    <n v="89825000"/>
    <s v="SC"/>
    <s v="fiscal@auroraalimentos.com.br"/>
    <n v="4933538650"/>
    <n v="0"/>
    <n v="0"/>
    <s v="NFE 896"/>
    <s v="Em aberto"/>
    <n v="15016093155"/>
    <s v="Produto 03"/>
    <n v="237"/>
    <n v="17.3"/>
    <n v="0"/>
    <n v="14.4596"/>
    <n v="4100.1000000000004"/>
    <n v="174"/>
    <s v="PRFL.00.0026"/>
    <n v="0"/>
    <n v="0"/>
    <s v="FERNANDO CARDOSO"/>
    <m/>
    <m/>
    <m/>
    <m/>
    <n v="0"/>
    <n v="0"/>
    <x v="13"/>
    <n v="142.19999999999999"/>
  </r>
  <r>
    <n v="15769146301"/>
    <n v="284"/>
    <m/>
    <x v="57"/>
    <n v="15615810470"/>
    <x v="12"/>
    <s v="83.310.441/0066-62"/>
    <s v="RUA ANDRÃ? LUNARDI, 948"/>
    <s v="CENTRO"/>
    <s v="Xaxim"/>
    <n v="89825000"/>
    <s v="SC"/>
    <s v="fiscal@auroraalimentos.com.br"/>
    <n v="4933538650"/>
    <n v="0"/>
    <n v="0"/>
    <s v="NFE 896"/>
    <s v="Em aberto"/>
    <n v="15016043939"/>
    <s v="Produto 16"/>
    <n v="1800"/>
    <n v="12.8"/>
    <n v="0"/>
    <n v="10.747"/>
    <n v="23040"/>
    <n v="174"/>
    <s v="PRFL.00.0019"/>
    <n v="0"/>
    <n v="0"/>
    <s v="FERNANDO CARDOSO"/>
    <m/>
    <m/>
    <m/>
    <m/>
    <n v="0"/>
    <n v="0"/>
    <x v="9"/>
    <n v="2286"/>
  </r>
  <r>
    <n v="15769146301"/>
    <n v="284"/>
    <m/>
    <x v="57"/>
    <n v="15615810470"/>
    <x v="14"/>
    <s v="83.310.441/0066-62"/>
    <s v="RUA ANDRÃ? LUNARDI, 948"/>
    <s v="CENTRO"/>
    <s v="Xaxim"/>
    <n v="89825000"/>
    <s v="SC"/>
    <s v="fiscal@auroraalimentos.com.br"/>
    <n v="4933538650"/>
    <n v="0"/>
    <n v="0"/>
    <s v="NFE 896"/>
    <s v="Em aberto"/>
    <n v="15016049144"/>
    <s v="Produto 16"/>
    <n v="2"/>
    <n v="7.5449999999999999"/>
    <n v="0"/>
    <n v="5.8620000000000001"/>
    <n v="15.09"/>
    <n v="174"/>
    <s v="PRFL.00.0020"/>
    <n v="0"/>
    <n v="0"/>
    <s v="FERNANDO CARDOSO"/>
    <m/>
    <m/>
    <m/>
    <m/>
    <n v="0"/>
    <n v="0"/>
    <x v="9"/>
    <n v="2.54"/>
  </r>
  <r>
    <n v="15779568115"/>
    <n v="285"/>
    <m/>
    <x v="58"/>
    <n v="15481553907"/>
    <x v="6"/>
    <s v="06.293.474/0001-55"/>
    <s v="Rodovia do papel,Pr,160, 550, N/A"/>
    <s v="AREA 01"/>
    <s v="Telêmaco Borba"/>
    <n v="0"/>
    <s v="PR"/>
    <s v="jonasdeoliver@gmail.com"/>
    <n v="4299826321"/>
    <n v="0"/>
    <n v="0"/>
    <m/>
    <s v="Em aberto"/>
    <n v="15016043939"/>
    <s v="Produto 01"/>
    <n v="200"/>
    <n v="14.1"/>
    <n v="0"/>
    <n v="10.747"/>
    <n v="2820"/>
    <n v="106"/>
    <s v="PRFL.00.0019"/>
    <n v="0"/>
    <n v="0"/>
    <s v="AMANDA HUBBE"/>
    <m/>
    <m/>
    <m/>
    <m/>
    <n v="0"/>
    <n v="0"/>
    <x v="7"/>
    <n v="80"/>
  </r>
  <r>
    <n v="15779568115"/>
    <n v="285"/>
    <m/>
    <x v="58"/>
    <n v="15481553907"/>
    <x v="6"/>
    <s v="06.293.474/0001-55"/>
    <s v="Rodovia do papel,Pr,160, 550, N/A"/>
    <s v="AREA 01"/>
    <s v="Telêmaco Borba"/>
    <n v="0"/>
    <s v="PR"/>
    <s v="jonasdeoliver@gmail.com"/>
    <n v="4299826321"/>
    <n v="0"/>
    <n v="0"/>
    <m/>
    <s v="Em aberto"/>
    <n v="15016073255"/>
    <s v="Produto 09"/>
    <n v="120"/>
    <n v="16.600000000000001"/>
    <n v="0"/>
    <n v="10.747"/>
    <n v="1992"/>
    <n v="106"/>
    <s v="PRFL.00.0023"/>
    <n v="0"/>
    <n v="0"/>
    <s v="AMANDA HUBBE"/>
    <m/>
    <m/>
    <m/>
    <m/>
    <n v="0"/>
    <n v="0"/>
    <x v="4"/>
    <n v="132"/>
  </r>
  <r>
    <n v="15779568115"/>
    <n v="285"/>
    <m/>
    <x v="58"/>
    <n v="15481553907"/>
    <x v="13"/>
    <s v="06.293.474/0001-55"/>
    <s v="Rodovia do papel,Pr,160, 550, N/A"/>
    <s v="AREA 01"/>
    <s v="Telêmaco Borba"/>
    <n v="0"/>
    <s v="PR"/>
    <s v="jonasdeoliver@gmail.com"/>
    <n v="4299826321"/>
    <n v="0"/>
    <n v="0"/>
    <m/>
    <s v="Em aberto"/>
    <n v="15016049144"/>
    <s v="Produto 13"/>
    <n v="100"/>
    <n v="8.3800000000000008"/>
    <n v="0"/>
    <n v="5.8620000000000001"/>
    <n v="838"/>
    <n v="106"/>
    <s v="PRFL.00.0020"/>
    <n v="0"/>
    <n v="0"/>
    <s v="AMANDA HUBBE"/>
    <m/>
    <m/>
    <m/>
    <m/>
    <n v="0"/>
    <n v="0"/>
    <x v="2"/>
    <n v="140"/>
  </r>
  <r>
    <n v="15779568115"/>
    <n v="285"/>
    <m/>
    <x v="58"/>
    <n v="15481553907"/>
    <x v="0"/>
    <s v="06.293.474/0001-55"/>
    <s v="Rodovia do papel,Pr,160, 550, N/A"/>
    <s v="AREA 01"/>
    <s v="Telêmaco Borba"/>
    <n v="0"/>
    <s v="PR"/>
    <s v="jonasdeoliver@gmail.com"/>
    <n v="4299826321"/>
    <n v="0"/>
    <n v="0"/>
    <m/>
    <s v="Em aberto"/>
    <n v="15016093155"/>
    <s v="Produto 11"/>
    <n v="40"/>
    <n v="18.649999999999999"/>
    <n v="0"/>
    <n v="14.4596"/>
    <n v="746"/>
    <n v="106"/>
    <s v="PRFL.00.0026"/>
    <n v="0"/>
    <n v="0"/>
    <s v="AMANDA HUBBE"/>
    <m/>
    <m/>
    <m/>
    <m/>
    <n v="0"/>
    <n v="0"/>
    <x v="11"/>
    <n v="44"/>
  </r>
  <r>
    <n v="15779568115"/>
    <n v="285"/>
    <m/>
    <x v="58"/>
    <n v="15481553907"/>
    <x v="0"/>
    <s v="06.293.474/0001-55"/>
    <s v="Rodovia do papel,Pr,160, 550, N/A"/>
    <s v="AREA 01"/>
    <s v="Telêmaco Borba"/>
    <n v="0"/>
    <s v="PR"/>
    <s v="jonasdeoliver@gmail.com"/>
    <n v="4299826321"/>
    <n v="0"/>
    <n v="0"/>
    <m/>
    <s v="Em aberto"/>
    <n v="15016080333"/>
    <s v="Produto 01"/>
    <n v="20"/>
    <n v="15.5"/>
    <n v="0"/>
    <n v="10.747"/>
    <n v="310"/>
    <n v="106"/>
    <s v="PRFL.00.0024"/>
    <n v="0"/>
    <n v="0"/>
    <s v="AMANDA HUBBE"/>
    <m/>
    <m/>
    <m/>
    <m/>
    <n v="0"/>
    <n v="0"/>
    <x v="7"/>
    <n v="8"/>
  </r>
  <r>
    <n v="15779748539"/>
    <n v="286"/>
    <m/>
    <x v="58"/>
    <n v="15295556615"/>
    <x v="6"/>
    <s v="38.290.178/0001-97"/>
    <s v="AV CHANCELER HORACIO LAFFER, 863, SL 02"/>
    <s v="CENTRO"/>
    <s v="Telêmaco Borba"/>
    <n v="84261350"/>
    <s v="PR"/>
    <m/>
    <n v="4284158927"/>
    <n v="0"/>
    <n v="0"/>
    <m/>
    <s v="Em aberto"/>
    <n v="15016043939"/>
    <s v="Produto 10"/>
    <n v="200"/>
    <n v="14.1"/>
    <n v="0"/>
    <n v="10.747"/>
    <n v="2820"/>
    <n v="79"/>
    <s v="PRFL.00.0019"/>
    <n v="0"/>
    <n v="0"/>
    <s v="AMANDA HUBBE"/>
    <m/>
    <m/>
    <m/>
    <m/>
    <n v="0"/>
    <n v="0"/>
    <x v="3"/>
    <n v="220.00000000000003"/>
  </r>
  <r>
    <n v="15779748539"/>
    <n v="286"/>
    <m/>
    <x v="58"/>
    <n v="15295556615"/>
    <x v="12"/>
    <s v="38.290.178/0001-97"/>
    <s v="AV CHANCELER HORACIO LAFFER, 863, SL 02"/>
    <s v="CENTRO"/>
    <s v="Telêmaco Borba"/>
    <n v="84261350"/>
    <s v="PR"/>
    <m/>
    <n v="4284158927"/>
    <n v="0"/>
    <n v="0"/>
    <m/>
    <s v="Em aberto"/>
    <n v="15016073255"/>
    <s v="Produto 12"/>
    <n v="100"/>
    <n v="16.600000000000001"/>
    <n v="0"/>
    <n v="10.747"/>
    <n v="1660"/>
    <n v="79"/>
    <s v="PRFL.00.0023"/>
    <n v="0"/>
    <n v="0"/>
    <s v="AMANDA HUBBE"/>
    <m/>
    <m/>
    <m/>
    <m/>
    <n v="0"/>
    <n v="0"/>
    <x v="15"/>
    <n v="140"/>
  </r>
  <r>
    <n v="15779748539"/>
    <n v="286"/>
    <m/>
    <x v="58"/>
    <n v="15295556615"/>
    <x v="13"/>
    <s v="38.290.178/0001-97"/>
    <s v="AV CHANCELER HORACIO LAFFER, 863, SL 02"/>
    <s v="CENTRO"/>
    <s v="Telêmaco Borba"/>
    <n v="84261350"/>
    <s v="PR"/>
    <m/>
    <n v="4284158927"/>
    <n v="0"/>
    <n v="0"/>
    <m/>
    <s v="Em aberto"/>
    <n v="15016049144"/>
    <s v="Produto 17"/>
    <n v="200"/>
    <n v="8.18"/>
    <n v="0"/>
    <n v="5.8620000000000001"/>
    <n v="1636"/>
    <n v="79"/>
    <s v="PRFL.00.0020"/>
    <n v="0"/>
    <n v="0"/>
    <s v="AMANDA HUBBE"/>
    <m/>
    <m/>
    <m/>
    <m/>
    <n v="0"/>
    <n v="0"/>
    <x v="8"/>
    <n v="2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d v="2022-04-05T00:00:00"/>
    <x v="0"/>
    <n v="2605"/>
    <n v="6"/>
    <x v="0"/>
    <x v="0"/>
    <s v="Abr"/>
    <x v="0"/>
    <x v="0"/>
  </r>
  <r>
    <x v="1"/>
    <d v="2022-05-20T00:00:00"/>
    <x v="1"/>
    <n v="180"/>
    <n v="51"/>
    <x v="1"/>
    <x v="0"/>
    <s v="Mai"/>
    <x v="0"/>
    <x v="1"/>
  </r>
  <r>
    <x v="2"/>
    <d v="2021-12-07T00:00:00"/>
    <x v="0"/>
    <n v="273"/>
    <n v="-113"/>
    <x v="2"/>
    <x v="1"/>
    <s v="Dez"/>
    <x v="1"/>
    <x v="0"/>
  </r>
  <r>
    <x v="3"/>
    <d v="2022-04-11T00:00:00"/>
    <x v="0"/>
    <n v="1710"/>
    <n v="12"/>
    <x v="0"/>
    <x v="0"/>
    <s v="Abr"/>
    <x v="0"/>
    <x v="0"/>
  </r>
  <r>
    <x v="4"/>
    <d v="2022-03-23T00:00:00"/>
    <x v="2"/>
    <n v="875"/>
    <n v="-7"/>
    <x v="2"/>
    <x v="0"/>
    <s v="Mar"/>
    <x v="0"/>
    <x v="2"/>
  </r>
  <r>
    <x v="4"/>
    <d v="2022-04-16T00:00:00"/>
    <x v="3"/>
    <n v="870"/>
    <n v="17"/>
    <x v="3"/>
    <x v="0"/>
    <s v="Abr"/>
    <x v="0"/>
    <x v="1"/>
  </r>
  <r>
    <x v="1"/>
    <d v="2022-02-05T00:00:00"/>
    <x v="1"/>
    <n v="903"/>
    <n v="-53"/>
    <x v="2"/>
    <x v="1"/>
    <s v="Fev"/>
    <x v="0"/>
    <x v="3"/>
  </r>
  <r>
    <x v="1"/>
    <d v="2022-05-25T00:00:00"/>
    <x v="1"/>
    <n v="667"/>
    <n v="56"/>
    <x v="1"/>
    <x v="0"/>
    <s v="Mai"/>
    <x v="0"/>
    <x v="1"/>
  </r>
  <r>
    <x v="0"/>
    <d v="2022-05-06T00:00:00"/>
    <x v="3"/>
    <n v="952"/>
    <n v="37"/>
    <x v="4"/>
    <x v="0"/>
    <s v="Mai"/>
    <x v="0"/>
    <x v="1"/>
  </r>
  <r>
    <x v="5"/>
    <d v="2022-04-04T00:00:00"/>
    <x v="1"/>
    <n v="1962"/>
    <n v="5"/>
    <x v="0"/>
    <x v="0"/>
    <s v="Abr"/>
    <x v="0"/>
    <x v="1"/>
  </r>
  <r>
    <x v="1"/>
    <d v="2021-12-22T00:00:00"/>
    <x v="1"/>
    <n v="2412"/>
    <n v="-98"/>
    <x v="2"/>
    <x v="1"/>
    <s v="Dez"/>
    <x v="1"/>
    <x v="3"/>
  </r>
  <r>
    <x v="2"/>
    <d v="2021-12-23T00:00:00"/>
    <x v="3"/>
    <n v="1371"/>
    <n v="-97"/>
    <x v="2"/>
    <x v="1"/>
    <s v="Dez"/>
    <x v="1"/>
    <x v="3"/>
  </r>
  <r>
    <x v="1"/>
    <d v="2022-03-04T00:00:00"/>
    <x v="0"/>
    <n v="596"/>
    <n v="-26"/>
    <x v="2"/>
    <x v="2"/>
    <s v="Mar"/>
    <x v="0"/>
    <x v="0"/>
  </r>
  <r>
    <x v="6"/>
    <d v="2022-01-05T00:00:00"/>
    <x v="0"/>
    <n v="2545"/>
    <n v="-84"/>
    <x v="2"/>
    <x v="1"/>
    <s v="Jan"/>
    <x v="0"/>
    <x v="0"/>
  </r>
  <r>
    <x v="7"/>
    <d v="2022-02-25T00:00:00"/>
    <x v="2"/>
    <n v="1681"/>
    <n v="-33"/>
    <x v="2"/>
    <x v="0"/>
    <s v="Fev"/>
    <x v="0"/>
    <x v="2"/>
  </r>
  <r>
    <x v="8"/>
    <d v="2022-02-08T00:00:00"/>
    <x v="1"/>
    <n v="2584"/>
    <n v="-50"/>
    <x v="2"/>
    <x v="1"/>
    <s v="Fev"/>
    <x v="0"/>
    <x v="3"/>
  </r>
  <r>
    <x v="0"/>
    <d v="2021-12-30T00:00:00"/>
    <x v="1"/>
    <n v="901"/>
    <n v="-90"/>
    <x v="2"/>
    <x v="1"/>
    <s v="Dez"/>
    <x v="1"/>
    <x v="3"/>
  </r>
  <r>
    <x v="4"/>
    <d v="2022-04-23T00:00:00"/>
    <x v="0"/>
    <n v="1933"/>
    <n v="24"/>
    <x v="3"/>
    <x v="0"/>
    <s v="Abr"/>
    <x v="0"/>
    <x v="0"/>
  </r>
  <r>
    <x v="2"/>
    <d v="2022-04-28T00:00:00"/>
    <x v="3"/>
    <n v="2321"/>
    <n v="29"/>
    <x v="3"/>
    <x v="0"/>
    <s v="Abr"/>
    <x v="0"/>
    <x v="1"/>
  </r>
  <r>
    <x v="5"/>
    <d v="2022-05-07T00:00:00"/>
    <x v="1"/>
    <n v="2270"/>
    <n v="38"/>
    <x v="4"/>
    <x v="0"/>
    <s v="Mai"/>
    <x v="0"/>
    <x v="1"/>
  </r>
  <r>
    <x v="6"/>
    <d v="2022-05-04T00:00:00"/>
    <x v="0"/>
    <n v="1602"/>
    <n v="35"/>
    <x v="4"/>
    <x v="0"/>
    <s v="Mai"/>
    <x v="0"/>
    <x v="0"/>
  </r>
  <r>
    <x v="5"/>
    <d v="2021-12-10T00:00:00"/>
    <x v="0"/>
    <n v="1527"/>
    <n v="-110"/>
    <x v="2"/>
    <x v="1"/>
    <s v="Dez"/>
    <x v="1"/>
    <x v="0"/>
  </r>
  <r>
    <x v="3"/>
    <d v="2022-02-27T00:00:00"/>
    <x v="2"/>
    <n v="1619"/>
    <n v="-31"/>
    <x v="2"/>
    <x v="0"/>
    <s v="Fev"/>
    <x v="0"/>
    <x v="2"/>
  </r>
  <r>
    <x v="7"/>
    <d v="2021-12-17T00:00:00"/>
    <x v="2"/>
    <n v="2234"/>
    <n v="-103"/>
    <x v="2"/>
    <x v="0"/>
    <s v="Dez"/>
    <x v="1"/>
    <x v="2"/>
  </r>
  <r>
    <x v="4"/>
    <d v="2022-02-27T00:00:00"/>
    <x v="2"/>
    <n v="1414"/>
    <n v="-31"/>
    <x v="2"/>
    <x v="0"/>
    <s v="Fev"/>
    <x v="0"/>
    <x v="2"/>
  </r>
  <r>
    <x v="5"/>
    <d v="2022-02-20T00:00:00"/>
    <x v="2"/>
    <n v="680"/>
    <n v="-38"/>
    <x v="2"/>
    <x v="0"/>
    <s v="Fev"/>
    <x v="0"/>
    <x v="2"/>
  </r>
  <r>
    <x v="3"/>
    <d v="2022-03-13T00:00:00"/>
    <x v="2"/>
    <n v="683"/>
    <n v="-17"/>
    <x v="2"/>
    <x v="0"/>
    <s v="Mar"/>
    <x v="0"/>
    <x v="2"/>
  </r>
  <r>
    <x v="9"/>
    <d v="2022-05-29T00:00:00"/>
    <x v="0"/>
    <n v="1636"/>
    <n v="60"/>
    <x v="1"/>
    <x v="0"/>
    <s v="Mai"/>
    <x v="0"/>
    <x v="0"/>
  </r>
  <r>
    <x v="5"/>
    <d v="2022-01-22T00:00:00"/>
    <x v="2"/>
    <n v="322"/>
    <n v="-67"/>
    <x v="2"/>
    <x v="0"/>
    <s v="Jan"/>
    <x v="0"/>
    <x v="2"/>
  </r>
  <r>
    <x v="4"/>
    <d v="2022-05-15T00:00:00"/>
    <x v="2"/>
    <n v="2569"/>
    <n v="46"/>
    <x v="2"/>
    <x v="0"/>
    <s v="Mai"/>
    <x v="0"/>
    <x v="2"/>
  </r>
  <r>
    <x v="7"/>
    <d v="2022-03-06T00:00:00"/>
    <x v="2"/>
    <n v="2033"/>
    <n v="-24"/>
    <x v="2"/>
    <x v="0"/>
    <s v="Mar"/>
    <x v="0"/>
    <x v="2"/>
  </r>
  <r>
    <x v="7"/>
    <d v="2022-01-15T00:00:00"/>
    <x v="3"/>
    <n v="915"/>
    <n v="-74"/>
    <x v="2"/>
    <x v="1"/>
    <s v="Jan"/>
    <x v="0"/>
    <x v="3"/>
  </r>
  <r>
    <x v="3"/>
    <d v="2021-12-24T00:00:00"/>
    <x v="0"/>
    <n v="2184"/>
    <n v="-96"/>
    <x v="2"/>
    <x v="1"/>
    <s v="Dez"/>
    <x v="1"/>
    <x v="0"/>
  </r>
  <r>
    <x v="6"/>
    <d v="2022-03-01T00:00:00"/>
    <x v="1"/>
    <n v="1094"/>
    <n v="-29"/>
    <x v="2"/>
    <x v="2"/>
    <s v="Mar"/>
    <x v="0"/>
    <x v="3"/>
  </r>
  <r>
    <x v="7"/>
    <d v="2022-05-18T00:00:00"/>
    <x v="2"/>
    <n v="1726"/>
    <n v="49"/>
    <x v="2"/>
    <x v="0"/>
    <s v="Mai"/>
    <x v="0"/>
    <x v="2"/>
  </r>
  <r>
    <x v="1"/>
    <d v="2021-12-10T00:00:00"/>
    <x v="0"/>
    <n v="592"/>
    <n v="-110"/>
    <x v="2"/>
    <x v="1"/>
    <s v="Dez"/>
    <x v="1"/>
    <x v="0"/>
  </r>
  <r>
    <x v="8"/>
    <d v="2022-01-18T00:00:00"/>
    <x v="0"/>
    <n v="2086"/>
    <n v="-71"/>
    <x v="2"/>
    <x v="1"/>
    <s v="Jan"/>
    <x v="0"/>
    <x v="0"/>
  </r>
  <r>
    <x v="5"/>
    <d v="2022-01-18T00:00:00"/>
    <x v="0"/>
    <n v="675"/>
    <n v="-71"/>
    <x v="2"/>
    <x v="1"/>
    <s v="Jan"/>
    <x v="0"/>
    <x v="0"/>
  </r>
  <r>
    <x v="4"/>
    <d v="2022-02-06T00:00:00"/>
    <x v="1"/>
    <n v="199"/>
    <n v="-52"/>
    <x v="2"/>
    <x v="1"/>
    <s v="Fev"/>
    <x v="0"/>
    <x v="3"/>
  </r>
  <r>
    <x v="3"/>
    <d v="2022-02-25T00:00:00"/>
    <x v="2"/>
    <n v="1306"/>
    <n v="-33"/>
    <x v="2"/>
    <x v="0"/>
    <s v="Fev"/>
    <x v="0"/>
    <x v="2"/>
  </r>
  <r>
    <x v="6"/>
    <d v="2022-04-18T00:00:00"/>
    <x v="2"/>
    <n v="1244"/>
    <n v="19"/>
    <x v="2"/>
    <x v="0"/>
    <s v="Abr"/>
    <x v="0"/>
    <x v="2"/>
  </r>
  <r>
    <x v="6"/>
    <d v="2022-04-30T00:00:00"/>
    <x v="2"/>
    <n v="2360"/>
    <n v="31"/>
    <x v="2"/>
    <x v="0"/>
    <s v="Abr"/>
    <x v="0"/>
    <x v="2"/>
  </r>
  <r>
    <x v="7"/>
    <d v="2022-03-09T00:00:00"/>
    <x v="1"/>
    <n v="2591"/>
    <n v="-21"/>
    <x v="2"/>
    <x v="2"/>
    <s v="Mar"/>
    <x v="0"/>
    <x v="3"/>
  </r>
  <r>
    <x v="0"/>
    <d v="2022-03-17T00:00:00"/>
    <x v="1"/>
    <n v="2527"/>
    <n v="-13"/>
    <x v="2"/>
    <x v="3"/>
    <s v="Mar"/>
    <x v="0"/>
    <x v="3"/>
  </r>
  <r>
    <x v="1"/>
    <d v="2022-02-21T00:00:00"/>
    <x v="0"/>
    <n v="1016"/>
    <n v="-37"/>
    <x v="2"/>
    <x v="4"/>
    <s v="Fev"/>
    <x v="0"/>
    <x v="0"/>
  </r>
  <r>
    <x v="6"/>
    <d v="2022-03-19T00:00:00"/>
    <x v="1"/>
    <n v="659"/>
    <n v="-11"/>
    <x v="2"/>
    <x v="3"/>
    <s v="Mar"/>
    <x v="0"/>
    <x v="3"/>
  </r>
  <r>
    <x v="3"/>
    <d v="2022-04-27T00:00:00"/>
    <x v="1"/>
    <n v="1046"/>
    <n v="28"/>
    <x v="3"/>
    <x v="0"/>
    <s v="Abr"/>
    <x v="0"/>
    <x v="1"/>
  </r>
  <r>
    <x v="6"/>
    <d v="2022-03-31T00:00:00"/>
    <x v="1"/>
    <n v="1062"/>
    <n v="1"/>
    <x v="0"/>
    <x v="0"/>
    <s v="Mar"/>
    <x v="0"/>
    <x v="1"/>
  </r>
  <r>
    <x v="3"/>
    <d v="2022-05-01T00:00:00"/>
    <x v="1"/>
    <n v="2516"/>
    <n v="32"/>
    <x v="4"/>
    <x v="0"/>
    <s v="Mai"/>
    <x v="0"/>
    <x v="1"/>
  </r>
  <r>
    <x v="6"/>
    <d v="2022-01-30T00:00:00"/>
    <x v="0"/>
    <n v="1822"/>
    <n v="-59"/>
    <x v="2"/>
    <x v="1"/>
    <s v="Jan"/>
    <x v="0"/>
    <x v="0"/>
  </r>
  <r>
    <x v="2"/>
    <d v="2022-01-05T00:00:00"/>
    <x v="1"/>
    <n v="1568"/>
    <n v="-84"/>
    <x v="2"/>
    <x v="1"/>
    <s v="Jan"/>
    <x v="0"/>
    <x v="3"/>
  </r>
  <r>
    <x v="1"/>
    <d v="2022-01-07T00:00:00"/>
    <x v="1"/>
    <n v="787"/>
    <n v="-82"/>
    <x v="2"/>
    <x v="1"/>
    <s v="Jan"/>
    <x v="0"/>
    <x v="3"/>
  </r>
  <r>
    <x v="3"/>
    <d v="2022-04-21T00:00:00"/>
    <x v="3"/>
    <n v="1275"/>
    <n v="22"/>
    <x v="3"/>
    <x v="0"/>
    <s v="Abr"/>
    <x v="0"/>
    <x v="1"/>
  </r>
  <r>
    <x v="6"/>
    <d v="2021-12-20T00:00:00"/>
    <x v="2"/>
    <n v="797"/>
    <n v="-100"/>
    <x v="2"/>
    <x v="0"/>
    <s v="Dez"/>
    <x v="1"/>
    <x v="2"/>
  </r>
  <r>
    <x v="1"/>
    <d v="2022-02-10T00:00:00"/>
    <x v="1"/>
    <n v="2641"/>
    <n v="-48"/>
    <x v="2"/>
    <x v="1"/>
    <s v="Fev"/>
    <x v="0"/>
    <x v="3"/>
  </r>
  <r>
    <x v="3"/>
    <d v="2022-01-19T00:00:00"/>
    <x v="2"/>
    <n v="709"/>
    <n v="-70"/>
    <x v="2"/>
    <x v="0"/>
    <s v="Jan"/>
    <x v="0"/>
    <x v="2"/>
  </r>
  <r>
    <x v="6"/>
    <d v="2021-12-02T00:00:00"/>
    <x v="3"/>
    <n v="2022"/>
    <n v="-118"/>
    <x v="2"/>
    <x v="1"/>
    <s v="Dez"/>
    <x v="1"/>
    <x v="3"/>
  </r>
  <r>
    <x v="1"/>
    <d v="2022-01-19T00:00:00"/>
    <x v="0"/>
    <n v="260"/>
    <n v="-70"/>
    <x v="2"/>
    <x v="1"/>
    <s v="Jan"/>
    <x v="0"/>
    <x v="0"/>
  </r>
  <r>
    <x v="1"/>
    <d v="2022-01-10T00:00:00"/>
    <x v="1"/>
    <n v="2103"/>
    <n v="-79"/>
    <x v="2"/>
    <x v="1"/>
    <s v="Jan"/>
    <x v="0"/>
    <x v="3"/>
  </r>
  <r>
    <x v="9"/>
    <d v="2022-01-06T00:00:00"/>
    <x v="1"/>
    <n v="1315"/>
    <n v="-83"/>
    <x v="2"/>
    <x v="1"/>
    <s v="Jan"/>
    <x v="0"/>
    <x v="3"/>
  </r>
  <r>
    <x v="8"/>
    <d v="2022-03-20T00:00:00"/>
    <x v="0"/>
    <n v="1843"/>
    <n v="-10"/>
    <x v="2"/>
    <x v="3"/>
    <s v="Mar"/>
    <x v="0"/>
    <x v="0"/>
  </r>
  <r>
    <x v="7"/>
    <d v="2022-05-05T00:00:00"/>
    <x v="3"/>
    <n v="1471"/>
    <n v="36"/>
    <x v="4"/>
    <x v="0"/>
    <s v="Mai"/>
    <x v="0"/>
    <x v="1"/>
  </r>
  <r>
    <x v="2"/>
    <d v="2022-02-05T00:00:00"/>
    <x v="0"/>
    <n v="2677"/>
    <n v="-53"/>
    <x v="2"/>
    <x v="1"/>
    <s v="Fev"/>
    <x v="0"/>
    <x v="0"/>
  </r>
  <r>
    <x v="5"/>
    <d v="2022-01-23T00:00:00"/>
    <x v="2"/>
    <n v="1354"/>
    <n v="-66"/>
    <x v="2"/>
    <x v="0"/>
    <s v="Jan"/>
    <x v="0"/>
    <x v="2"/>
  </r>
  <r>
    <x v="8"/>
    <d v="2022-05-22T00:00:00"/>
    <x v="1"/>
    <n v="1972"/>
    <n v="53"/>
    <x v="1"/>
    <x v="0"/>
    <s v="Mai"/>
    <x v="0"/>
    <x v="1"/>
  </r>
  <r>
    <x v="6"/>
    <d v="2022-03-16T00:00:00"/>
    <x v="3"/>
    <n v="781"/>
    <n v="-14"/>
    <x v="2"/>
    <x v="3"/>
    <s v="Mar"/>
    <x v="0"/>
    <x v="3"/>
  </r>
  <r>
    <x v="5"/>
    <d v="2022-03-24T00:00:00"/>
    <x v="2"/>
    <n v="553"/>
    <n v="-6"/>
    <x v="2"/>
    <x v="0"/>
    <s v="Mar"/>
    <x v="0"/>
    <x v="2"/>
  </r>
  <r>
    <x v="7"/>
    <d v="2022-05-02T00:00:00"/>
    <x v="0"/>
    <n v="2430"/>
    <n v="33"/>
    <x v="4"/>
    <x v="0"/>
    <s v="Mai"/>
    <x v="0"/>
    <x v="0"/>
  </r>
  <r>
    <x v="0"/>
    <d v="2022-03-07T00:00:00"/>
    <x v="1"/>
    <n v="1842"/>
    <n v="-23"/>
    <x v="2"/>
    <x v="2"/>
    <s v="Mar"/>
    <x v="0"/>
    <x v="3"/>
  </r>
  <r>
    <x v="8"/>
    <d v="2022-03-31T00:00:00"/>
    <x v="2"/>
    <n v="1242"/>
    <n v="1"/>
    <x v="2"/>
    <x v="0"/>
    <s v="Mar"/>
    <x v="0"/>
    <x v="2"/>
  </r>
  <r>
    <x v="1"/>
    <d v="2022-02-07T00:00:00"/>
    <x v="1"/>
    <n v="2471"/>
    <n v="-51"/>
    <x v="2"/>
    <x v="1"/>
    <s v="Fev"/>
    <x v="0"/>
    <x v="3"/>
  </r>
  <r>
    <x v="3"/>
    <d v="2022-05-28T00:00:00"/>
    <x v="0"/>
    <n v="466"/>
    <n v="59"/>
    <x v="1"/>
    <x v="0"/>
    <s v="Mai"/>
    <x v="0"/>
    <x v="0"/>
  </r>
  <r>
    <x v="3"/>
    <d v="2022-05-13T00:00:00"/>
    <x v="0"/>
    <n v="1973"/>
    <n v="44"/>
    <x v="4"/>
    <x v="0"/>
    <s v="Mai"/>
    <x v="0"/>
    <x v="0"/>
  </r>
  <r>
    <x v="9"/>
    <d v="2022-04-10T00:00:00"/>
    <x v="3"/>
    <n v="1078"/>
    <n v="11"/>
    <x v="0"/>
    <x v="0"/>
    <s v="Abr"/>
    <x v="0"/>
    <x v="1"/>
  </r>
  <r>
    <x v="5"/>
    <d v="2022-01-06T00:00:00"/>
    <x v="1"/>
    <n v="1761"/>
    <n v="-83"/>
    <x v="2"/>
    <x v="1"/>
    <s v="Jan"/>
    <x v="0"/>
    <x v="3"/>
  </r>
  <r>
    <x v="9"/>
    <d v="2021-12-28T00:00:00"/>
    <x v="0"/>
    <n v="2407"/>
    <n v="-92"/>
    <x v="2"/>
    <x v="1"/>
    <s v="Dez"/>
    <x v="1"/>
    <x v="0"/>
  </r>
  <r>
    <x v="6"/>
    <d v="2021-12-05T00:00:00"/>
    <x v="1"/>
    <n v="2302"/>
    <n v="-115"/>
    <x v="2"/>
    <x v="1"/>
    <s v="Dez"/>
    <x v="1"/>
    <x v="3"/>
  </r>
  <r>
    <x v="7"/>
    <d v="2022-03-15T00:00:00"/>
    <x v="3"/>
    <n v="2162"/>
    <n v="-15"/>
    <x v="2"/>
    <x v="2"/>
    <s v="Mar"/>
    <x v="0"/>
    <x v="3"/>
  </r>
  <r>
    <x v="0"/>
    <d v="2022-02-21T00:00:00"/>
    <x v="0"/>
    <n v="498"/>
    <n v="-37"/>
    <x v="2"/>
    <x v="4"/>
    <s v="Fev"/>
    <x v="0"/>
    <x v="0"/>
  </r>
  <r>
    <x v="4"/>
    <d v="2022-01-30T00:00:00"/>
    <x v="1"/>
    <n v="1421"/>
    <n v="-59"/>
    <x v="2"/>
    <x v="1"/>
    <s v="Jan"/>
    <x v="0"/>
    <x v="3"/>
  </r>
  <r>
    <x v="6"/>
    <d v="2021-12-03T00:00:00"/>
    <x v="1"/>
    <n v="1858"/>
    <n v="-117"/>
    <x v="2"/>
    <x v="1"/>
    <s v="Dez"/>
    <x v="1"/>
    <x v="3"/>
  </r>
  <r>
    <x v="9"/>
    <d v="2021-12-06T00:00:00"/>
    <x v="0"/>
    <n v="1466"/>
    <n v="-114"/>
    <x v="2"/>
    <x v="1"/>
    <s v="Dez"/>
    <x v="1"/>
    <x v="0"/>
  </r>
  <r>
    <x v="1"/>
    <d v="2022-05-28T00:00:00"/>
    <x v="1"/>
    <n v="1077"/>
    <n v="59"/>
    <x v="1"/>
    <x v="0"/>
    <s v="Mai"/>
    <x v="0"/>
    <x v="1"/>
  </r>
  <r>
    <x v="5"/>
    <d v="2022-03-11T00:00:00"/>
    <x v="1"/>
    <n v="419"/>
    <n v="-19"/>
    <x v="2"/>
    <x v="2"/>
    <s v="Mar"/>
    <x v="0"/>
    <x v="3"/>
  </r>
  <r>
    <x v="6"/>
    <d v="2022-05-12T00:00:00"/>
    <x v="0"/>
    <n v="2275"/>
    <n v="43"/>
    <x v="4"/>
    <x v="0"/>
    <s v="Mai"/>
    <x v="0"/>
    <x v="0"/>
  </r>
  <r>
    <x v="6"/>
    <d v="2022-04-21T00:00:00"/>
    <x v="2"/>
    <n v="1167"/>
    <n v="22"/>
    <x v="2"/>
    <x v="0"/>
    <s v="Abr"/>
    <x v="0"/>
    <x v="2"/>
  </r>
  <r>
    <x v="3"/>
    <d v="2022-01-30T00:00:00"/>
    <x v="0"/>
    <n v="1212"/>
    <n v="-59"/>
    <x v="2"/>
    <x v="1"/>
    <s v="Jan"/>
    <x v="0"/>
    <x v="0"/>
  </r>
  <r>
    <x v="0"/>
    <d v="2022-04-11T00:00:00"/>
    <x v="3"/>
    <n v="1714"/>
    <n v="12"/>
    <x v="0"/>
    <x v="0"/>
    <s v="Abr"/>
    <x v="0"/>
    <x v="1"/>
  </r>
  <r>
    <x v="2"/>
    <d v="2022-04-07T00:00:00"/>
    <x v="3"/>
    <n v="1493"/>
    <n v="8"/>
    <x v="0"/>
    <x v="0"/>
    <s v="Abr"/>
    <x v="0"/>
    <x v="1"/>
  </r>
  <r>
    <x v="4"/>
    <d v="2022-03-24T00:00:00"/>
    <x v="0"/>
    <n v="1711"/>
    <n v="-6"/>
    <x v="2"/>
    <x v="3"/>
    <s v="Mar"/>
    <x v="0"/>
    <x v="0"/>
  </r>
  <r>
    <x v="7"/>
    <d v="2022-02-13T00:00:00"/>
    <x v="2"/>
    <n v="2257"/>
    <n v="-45"/>
    <x v="2"/>
    <x v="0"/>
    <s v="Fev"/>
    <x v="0"/>
    <x v="2"/>
  </r>
  <r>
    <x v="0"/>
    <d v="2022-05-16T00:00:00"/>
    <x v="2"/>
    <n v="208"/>
    <n v="47"/>
    <x v="2"/>
    <x v="0"/>
    <s v="Mai"/>
    <x v="0"/>
    <x v="2"/>
  </r>
  <r>
    <x v="4"/>
    <d v="2022-01-28T00:00:00"/>
    <x v="3"/>
    <n v="2561"/>
    <n v="-61"/>
    <x v="2"/>
    <x v="1"/>
    <s v="Jan"/>
    <x v="0"/>
    <x v="3"/>
  </r>
  <r>
    <x v="9"/>
    <d v="2022-02-21T00:00:00"/>
    <x v="3"/>
    <n v="636"/>
    <n v="-37"/>
    <x v="2"/>
    <x v="4"/>
    <s v="Fev"/>
    <x v="0"/>
    <x v="3"/>
  </r>
  <r>
    <x v="9"/>
    <d v="2021-12-22T00:00:00"/>
    <x v="0"/>
    <n v="994"/>
    <n v="-98"/>
    <x v="2"/>
    <x v="1"/>
    <s v="Dez"/>
    <x v="1"/>
    <x v="0"/>
  </r>
  <r>
    <x v="7"/>
    <d v="2022-04-04T00:00:00"/>
    <x v="3"/>
    <n v="1604"/>
    <n v="5"/>
    <x v="0"/>
    <x v="0"/>
    <s v="Abr"/>
    <x v="0"/>
    <x v="1"/>
  </r>
  <r>
    <x v="2"/>
    <d v="2022-01-31T00:00:00"/>
    <x v="1"/>
    <n v="808"/>
    <n v="-58"/>
    <x v="2"/>
    <x v="1"/>
    <s v="Jan"/>
    <x v="0"/>
    <x v="3"/>
  </r>
  <r>
    <x v="3"/>
    <d v="2022-01-03T00:00:00"/>
    <x v="3"/>
    <n v="1234"/>
    <n v="-86"/>
    <x v="2"/>
    <x v="1"/>
    <s v="Jan"/>
    <x v="0"/>
    <x v="3"/>
  </r>
  <r>
    <x v="6"/>
    <d v="2022-02-01T00:00:00"/>
    <x v="1"/>
    <n v="2308"/>
    <n v="-57"/>
    <x v="2"/>
    <x v="1"/>
    <s v="Fev"/>
    <x v="0"/>
    <x v="3"/>
  </r>
  <r>
    <x v="2"/>
    <d v="2022-04-07T00:00:00"/>
    <x v="3"/>
    <n v="2360"/>
    <n v="8"/>
    <x v="0"/>
    <x v="0"/>
    <s v="Abr"/>
    <x v="0"/>
    <x v="1"/>
  </r>
  <r>
    <x v="1"/>
    <d v="2022-02-11T00:00:00"/>
    <x v="2"/>
    <n v="764"/>
    <n v="-47"/>
    <x v="2"/>
    <x v="0"/>
    <s v="Fev"/>
    <x v="0"/>
    <x v="2"/>
  </r>
  <r>
    <x v="9"/>
    <d v="2022-03-21T00:00:00"/>
    <x v="3"/>
    <n v="1001"/>
    <n v="-9"/>
    <x v="2"/>
    <x v="3"/>
    <s v="Mar"/>
    <x v="0"/>
    <x v="3"/>
  </r>
  <r>
    <x v="2"/>
    <d v="2022-02-06T00:00:00"/>
    <x v="2"/>
    <n v="1713"/>
    <n v="-52"/>
    <x v="2"/>
    <x v="0"/>
    <s v="Fev"/>
    <x v="0"/>
    <x v="2"/>
  </r>
  <r>
    <x v="7"/>
    <d v="2021-12-28T00:00:00"/>
    <x v="0"/>
    <n v="2360"/>
    <n v="-92"/>
    <x v="2"/>
    <x v="1"/>
    <s v="Dez"/>
    <x v="1"/>
    <x v="0"/>
  </r>
  <r>
    <x v="3"/>
    <d v="2022-05-03T00:00:00"/>
    <x v="3"/>
    <n v="815"/>
    <n v="34"/>
    <x v="4"/>
    <x v="0"/>
    <s v="Mai"/>
    <x v="0"/>
    <x v="1"/>
  </r>
  <r>
    <x v="1"/>
    <d v="2021-12-13T00:00:00"/>
    <x v="0"/>
    <n v="2199"/>
    <n v="-107"/>
    <x v="2"/>
    <x v="1"/>
    <s v="Dez"/>
    <x v="1"/>
    <x v="0"/>
  </r>
  <r>
    <x v="0"/>
    <d v="2022-02-02T00:00:00"/>
    <x v="2"/>
    <n v="1351"/>
    <n v="-56"/>
    <x v="2"/>
    <x v="0"/>
    <s v="Fev"/>
    <x v="0"/>
    <x v="2"/>
  </r>
  <r>
    <x v="2"/>
    <d v="2022-04-23T00:00:00"/>
    <x v="2"/>
    <n v="339"/>
    <n v="24"/>
    <x v="2"/>
    <x v="0"/>
    <s v="Abr"/>
    <x v="0"/>
    <x v="2"/>
  </r>
  <r>
    <x v="9"/>
    <d v="2022-05-12T00:00:00"/>
    <x v="0"/>
    <n v="1653"/>
    <n v="43"/>
    <x v="4"/>
    <x v="0"/>
    <s v="Mai"/>
    <x v="0"/>
    <x v="0"/>
  </r>
  <r>
    <x v="2"/>
    <d v="2022-04-01T00:00:00"/>
    <x v="0"/>
    <n v="230"/>
    <n v="2"/>
    <x v="0"/>
    <x v="0"/>
    <s v="Abr"/>
    <x v="0"/>
    <x v="0"/>
  </r>
  <r>
    <x v="6"/>
    <d v="2022-05-21T00:00:00"/>
    <x v="3"/>
    <n v="205"/>
    <n v="52"/>
    <x v="1"/>
    <x v="0"/>
    <s v="Mai"/>
    <x v="0"/>
    <x v="1"/>
  </r>
  <r>
    <x v="0"/>
    <d v="2022-02-28T00:00:00"/>
    <x v="1"/>
    <n v="2005"/>
    <n v="-30"/>
    <x v="2"/>
    <x v="4"/>
    <s v="Fev"/>
    <x v="0"/>
    <x v="3"/>
  </r>
  <r>
    <x v="8"/>
    <d v="2021-12-11T00:00:00"/>
    <x v="0"/>
    <n v="667"/>
    <n v="-109"/>
    <x v="2"/>
    <x v="1"/>
    <s v="Dez"/>
    <x v="1"/>
    <x v="0"/>
  </r>
  <r>
    <x v="1"/>
    <d v="2022-04-05T00:00:00"/>
    <x v="1"/>
    <n v="2623"/>
    <n v="6"/>
    <x v="0"/>
    <x v="0"/>
    <s v="Abr"/>
    <x v="0"/>
    <x v="1"/>
  </r>
  <r>
    <x v="2"/>
    <d v="2021-12-30T00:00:00"/>
    <x v="1"/>
    <n v="386"/>
    <n v="-90"/>
    <x v="2"/>
    <x v="1"/>
    <s v="Dez"/>
    <x v="1"/>
    <x v="3"/>
  </r>
  <r>
    <x v="2"/>
    <d v="2022-02-03T00:00:00"/>
    <x v="2"/>
    <n v="1783"/>
    <n v="-55"/>
    <x v="2"/>
    <x v="0"/>
    <s v="Fev"/>
    <x v="0"/>
    <x v="2"/>
  </r>
  <r>
    <x v="3"/>
    <d v="2022-04-22T00:00:00"/>
    <x v="1"/>
    <n v="1536"/>
    <n v="23"/>
    <x v="3"/>
    <x v="0"/>
    <s v="Abr"/>
    <x v="0"/>
    <x v="1"/>
  </r>
  <r>
    <x v="8"/>
    <d v="2022-03-01T00:00:00"/>
    <x v="3"/>
    <n v="817"/>
    <n v="-29"/>
    <x v="2"/>
    <x v="2"/>
    <s v="Mar"/>
    <x v="0"/>
    <x v="3"/>
  </r>
  <r>
    <x v="4"/>
    <d v="2021-12-24T00:00:00"/>
    <x v="2"/>
    <n v="763"/>
    <n v="-96"/>
    <x v="2"/>
    <x v="0"/>
    <s v="Dez"/>
    <x v="1"/>
    <x v="2"/>
  </r>
  <r>
    <x v="7"/>
    <d v="2022-05-04T00:00:00"/>
    <x v="3"/>
    <n v="797"/>
    <n v="35"/>
    <x v="4"/>
    <x v="0"/>
    <s v="Mai"/>
    <x v="0"/>
    <x v="1"/>
  </r>
  <r>
    <x v="1"/>
    <d v="2022-03-09T00:00:00"/>
    <x v="1"/>
    <n v="1704"/>
    <n v="-21"/>
    <x v="2"/>
    <x v="2"/>
    <s v="Mar"/>
    <x v="0"/>
    <x v="3"/>
  </r>
  <r>
    <x v="4"/>
    <d v="2022-01-15T00:00:00"/>
    <x v="3"/>
    <n v="668"/>
    <n v="-74"/>
    <x v="2"/>
    <x v="1"/>
    <s v="Jan"/>
    <x v="0"/>
    <x v="3"/>
  </r>
  <r>
    <x v="1"/>
    <d v="2022-03-26T00:00:00"/>
    <x v="1"/>
    <n v="2036"/>
    <n v="-4"/>
    <x v="2"/>
    <x v="3"/>
    <s v="Mar"/>
    <x v="0"/>
    <x v="3"/>
  </r>
  <r>
    <x v="1"/>
    <d v="2022-05-21T00:00:00"/>
    <x v="1"/>
    <n v="1048"/>
    <n v="52"/>
    <x v="1"/>
    <x v="0"/>
    <s v="Mai"/>
    <x v="0"/>
    <x v="1"/>
  </r>
  <r>
    <x v="0"/>
    <d v="2022-03-05T00:00:00"/>
    <x v="1"/>
    <n v="2502"/>
    <n v="-25"/>
    <x v="2"/>
    <x v="2"/>
    <s v="Mar"/>
    <x v="0"/>
    <x v="3"/>
  </r>
  <r>
    <x v="6"/>
    <d v="2022-02-17T00:00:00"/>
    <x v="1"/>
    <n v="1430"/>
    <n v="-41"/>
    <x v="2"/>
    <x v="4"/>
    <s v="Fev"/>
    <x v="0"/>
    <x v="3"/>
  </r>
  <r>
    <x v="9"/>
    <d v="2022-03-26T00:00:00"/>
    <x v="1"/>
    <n v="1996"/>
    <n v="-4"/>
    <x v="2"/>
    <x v="3"/>
    <s v="Mar"/>
    <x v="0"/>
    <x v="3"/>
  </r>
  <r>
    <x v="0"/>
    <d v="2022-05-01T00:00:00"/>
    <x v="2"/>
    <n v="882"/>
    <n v="32"/>
    <x v="2"/>
    <x v="0"/>
    <s v="Mai"/>
    <x v="0"/>
    <x v="2"/>
  </r>
  <r>
    <x v="2"/>
    <d v="2022-04-09T00:00:00"/>
    <x v="1"/>
    <n v="1776"/>
    <n v="10"/>
    <x v="0"/>
    <x v="0"/>
    <s v="Abr"/>
    <x v="0"/>
    <x v="1"/>
  </r>
  <r>
    <x v="0"/>
    <d v="2022-02-23T00:00:00"/>
    <x v="2"/>
    <n v="556"/>
    <n v="-35"/>
    <x v="2"/>
    <x v="0"/>
    <s v="Fev"/>
    <x v="0"/>
    <x v="2"/>
  </r>
  <r>
    <x v="7"/>
    <d v="2022-03-11T00:00:00"/>
    <x v="1"/>
    <n v="2030"/>
    <n v="-19"/>
    <x v="2"/>
    <x v="2"/>
    <s v="Mar"/>
    <x v="0"/>
    <x v="3"/>
  </r>
  <r>
    <x v="4"/>
    <d v="2022-02-20T00:00:00"/>
    <x v="0"/>
    <n v="1078"/>
    <n v="-38"/>
    <x v="2"/>
    <x v="4"/>
    <s v="Fev"/>
    <x v="0"/>
    <x v="0"/>
  </r>
  <r>
    <x v="4"/>
    <d v="2021-12-30T00:00:00"/>
    <x v="3"/>
    <n v="759"/>
    <n v="-90"/>
    <x v="2"/>
    <x v="1"/>
    <s v="Dez"/>
    <x v="1"/>
    <x v="3"/>
  </r>
  <r>
    <x v="8"/>
    <d v="2021-12-23T00:00:00"/>
    <x v="2"/>
    <n v="1700"/>
    <n v="-97"/>
    <x v="2"/>
    <x v="0"/>
    <s v="Dez"/>
    <x v="1"/>
    <x v="2"/>
  </r>
  <r>
    <x v="6"/>
    <d v="2022-05-21T00:00:00"/>
    <x v="0"/>
    <n v="2182"/>
    <n v="52"/>
    <x v="1"/>
    <x v="0"/>
    <s v="Mai"/>
    <x v="0"/>
    <x v="0"/>
  </r>
  <r>
    <x v="6"/>
    <d v="2021-12-04T00:00:00"/>
    <x v="2"/>
    <n v="1978"/>
    <n v="-116"/>
    <x v="2"/>
    <x v="0"/>
    <s v="Dez"/>
    <x v="1"/>
    <x v="2"/>
  </r>
  <r>
    <x v="3"/>
    <d v="2022-05-19T00:00:00"/>
    <x v="3"/>
    <n v="1926"/>
    <n v="50"/>
    <x v="1"/>
    <x v="0"/>
    <s v="Mai"/>
    <x v="0"/>
    <x v="1"/>
  </r>
  <r>
    <x v="8"/>
    <d v="2022-05-10T00:00:00"/>
    <x v="0"/>
    <n v="1437"/>
    <n v="41"/>
    <x v="4"/>
    <x v="0"/>
    <s v="Mai"/>
    <x v="0"/>
    <x v="0"/>
  </r>
  <r>
    <x v="0"/>
    <d v="2022-02-07T00:00:00"/>
    <x v="0"/>
    <n v="2465"/>
    <n v="-51"/>
    <x v="2"/>
    <x v="1"/>
    <s v="Fev"/>
    <x v="0"/>
    <x v="0"/>
  </r>
  <r>
    <x v="9"/>
    <d v="2022-01-20T00:00:00"/>
    <x v="1"/>
    <n v="2159"/>
    <n v="-69"/>
    <x v="2"/>
    <x v="1"/>
    <s v="Jan"/>
    <x v="0"/>
    <x v="3"/>
  </r>
  <r>
    <x v="4"/>
    <d v="2022-03-25T00:00:00"/>
    <x v="1"/>
    <n v="1955"/>
    <n v="-5"/>
    <x v="2"/>
    <x v="3"/>
    <s v="Mar"/>
    <x v="0"/>
    <x v="3"/>
  </r>
  <r>
    <x v="3"/>
    <d v="2022-02-08T00:00:00"/>
    <x v="1"/>
    <n v="1309"/>
    <n v="-50"/>
    <x v="2"/>
    <x v="1"/>
    <s v="Fev"/>
    <x v="0"/>
    <x v="3"/>
  </r>
  <r>
    <x v="0"/>
    <d v="2022-04-16T00:00:00"/>
    <x v="2"/>
    <n v="902"/>
    <n v="17"/>
    <x v="2"/>
    <x v="0"/>
    <s v="Abr"/>
    <x v="0"/>
    <x v="2"/>
  </r>
  <r>
    <x v="7"/>
    <d v="2022-02-01T00:00:00"/>
    <x v="1"/>
    <n v="1545"/>
    <n v="-57"/>
    <x v="2"/>
    <x v="1"/>
    <s v="Fev"/>
    <x v="0"/>
    <x v="3"/>
  </r>
  <r>
    <x v="7"/>
    <d v="2022-01-09T00:00:00"/>
    <x v="3"/>
    <n v="369"/>
    <n v="-80"/>
    <x v="2"/>
    <x v="1"/>
    <s v="Jan"/>
    <x v="0"/>
    <x v="3"/>
  </r>
  <r>
    <x v="3"/>
    <d v="2022-03-14T00:00:00"/>
    <x v="2"/>
    <n v="1214"/>
    <n v="-16"/>
    <x v="2"/>
    <x v="0"/>
    <s v="Mar"/>
    <x v="0"/>
    <x v="2"/>
  </r>
  <r>
    <x v="4"/>
    <d v="2022-02-01T00:00:00"/>
    <x v="3"/>
    <n v="2405"/>
    <n v="-57"/>
    <x v="2"/>
    <x v="1"/>
    <s v="Fev"/>
    <x v="0"/>
    <x v="3"/>
  </r>
  <r>
    <x v="8"/>
    <d v="2022-01-06T00:00:00"/>
    <x v="0"/>
    <n v="2350"/>
    <n v="-83"/>
    <x v="2"/>
    <x v="1"/>
    <s v="Jan"/>
    <x v="0"/>
    <x v="0"/>
  </r>
  <r>
    <x v="6"/>
    <d v="2022-03-06T00:00:00"/>
    <x v="3"/>
    <n v="1040"/>
    <n v="-24"/>
    <x v="2"/>
    <x v="2"/>
    <s v="Mar"/>
    <x v="0"/>
    <x v="3"/>
  </r>
  <r>
    <x v="3"/>
    <d v="2022-03-30T00:00:00"/>
    <x v="2"/>
    <n v="2429"/>
    <n v="0"/>
    <x v="2"/>
    <x v="0"/>
    <s v="Mar"/>
    <x v="0"/>
    <x v="2"/>
  </r>
  <r>
    <x v="2"/>
    <d v="2021-12-12T00:00:00"/>
    <x v="3"/>
    <n v="2547"/>
    <n v="-108"/>
    <x v="2"/>
    <x v="1"/>
    <s v="Dez"/>
    <x v="1"/>
    <x v="3"/>
  </r>
  <r>
    <x v="1"/>
    <d v="2022-03-29T00:00:00"/>
    <x v="2"/>
    <n v="2347"/>
    <n v="-1"/>
    <x v="2"/>
    <x v="3"/>
    <s v="Mar"/>
    <x v="0"/>
    <x v="3"/>
  </r>
  <r>
    <x v="0"/>
    <d v="2021-12-15T00:00:00"/>
    <x v="1"/>
    <n v="272"/>
    <n v="-105"/>
    <x v="2"/>
    <x v="1"/>
    <s v="Dez"/>
    <x v="1"/>
    <x v="3"/>
  </r>
  <r>
    <x v="4"/>
    <d v="2022-05-07T00:00:00"/>
    <x v="3"/>
    <n v="1454"/>
    <n v="38"/>
    <x v="4"/>
    <x v="0"/>
    <s v="Mai"/>
    <x v="0"/>
    <x v="1"/>
  </r>
  <r>
    <x v="9"/>
    <d v="2021-12-08T00:00:00"/>
    <x v="1"/>
    <n v="172"/>
    <n v="-112"/>
    <x v="2"/>
    <x v="1"/>
    <s v="Dez"/>
    <x v="1"/>
    <x v="3"/>
  </r>
  <r>
    <x v="1"/>
    <d v="2022-02-26T00:00:00"/>
    <x v="1"/>
    <n v="950"/>
    <n v="-32"/>
    <x v="2"/>
    <x v="4"/>
    <s v="Fev"/>
    <x v="0"/>
    <x v="3"/>
  </r>
  <r>
    <x v="7"/>
    <d v="2021-12-06T00:00:00"/>
    <x v="1"/>
    <n v="2222"/>
    <n v="-114"/>
    <x v="2"/>
    <x v="1"/>
    <s v="Dez"/>
    <x v="1"/>
    <x v="3"/>
  </r>
  <r>
    <x v="9"/>
    <d v="2022-02-15T00:00:00"/>
    <x v="2"/>
    <n v="990"/>
    <n v="-43"/>
    <x v="2"/>
    <x v="0"/>
    <s v="Fev"/>
    <x v="0"/>
    <x v="2"/>
  </r>
  <r>
    <x v="2"/>
    <d v="2022-05-22T00:00:00"/>
    <x v="0"/>
    <n v="1845"/>
    <n v="53"/>
    <x v="1"/>
    <x v="0"/>
    <s v="Mai"/>
    <x v="0"/>
    <x v="0"/>
  </r>
  <r>
    <x v="3"/>
    <d v="2021-12-30T00:00:00"/>
    <x v="3"/>
    <n v="269"/>
    <n v="-90"/>
    <x v="2"/>
    <x v="1"/>
    <s v="Dez"/>
    <x v="1"/>
    <x v="3"/>
  </r>
  <r>
    <x v="5"/>
    <d v="2022-05-02T00:00:00"/>
    <x v="0"/>
    <n v="678"/>
    <n v="33"/>
    <x v="4"/>
    <x v="0"/>
    <s v="Mai"/>
    <x v="0"/>
    <x v="0"/>
  </r>
  <r>
    <x v="0"/>
    <d v="2022-03-10T00:00:00"/>
    <x v="1"/>
    <n v="1530"/>
    <n v="-20"/>
    <x v="2"/>
    <x v="2"/>
    <s v="Mar"/>
    <x v="0"/>
    <x v="3"/>
  </r>
  <r>
    <x v="4"/>
    <d v="2022-01-13T00:00:00"/>
    <x v="3"/>
    <n v="1948"/>
    <n v="-76"/>
    <x v="2"/>
    <x v="1"/>
    <s v="Jan"/>
    <x v="0"/>
    <x v="3"/>
  </r>
  <r>
    <x v="5"/>
    <d v="2022-02-19T00:00:00"/>
    <x v="0"/>
    <n v="1052"/>
    <n v="-39"/>
    <x v="2"/>
    <x v="4"/>
    <s v="Fev"/>
    <x v="0"/>
    <x v="0"/>
  </r>
  <r>
    <x v="5"/>
    <d v="2022-03-12T00:00:00"/>
    <x v="1"/>
    <n v="563"/>
    <n v="-18"/>
    <x v="2"/>
    <x v="2"/>
    <s v="Mar"/>
    <x v="0"/>
    <x v="3"/>
  </r>
  <r>
    <x v="4"/>
    <d v="2022-04-26T00:00:00"/>
    <x v="1"/>
    <n v="900"/>
    <n v="27"/>
    <x v="3"/>
    <x v="0"/>
    <s v="Abr"/>
    <x v="0"/>
    <x v="1"/>
  </r>
  <r>
    <x v="6"/>
    <d v="2022-05-23T00:00:00"/>
    <x v="0"/>
    <n v="2526"/>
    <n v="54"/>
    <x v="1"/>
    <x v="0"/>
    <s v="Mai"/>
    <x v="0"/>
    <x v="0"/>
  </r>
  <r>
    <x v="6"/>
    <d v="2022-02-06T00:00:00"/>
    <x v="3"/>
    <n v="2303"/>
    <n v="-52"/>
    <x v="2"/>
    <x v="1"/>
    <s v="Fev"/>
    <x v="0"/>
    <x v="3"/>
  </r>
  <r>
    <x v="5"/>
    <d v="2022-02-04T00:00:00"/>
    <x v="2"/>
    <n v="735"/>
    <n v="-54"/>
    <x v="2"/>
    <x v="0"/>
    <s v="Fev"/>
    <x v="0"/>
    <x v="2"/>
  </r>
  <r>
    <x v="2"/>
    <d v="2022-02-18T00:00:00"/>
    <x v="1"/>
    <n v="1188"/>
    <n v="-40"/>
    <x v="2"/>
    <x v="4"/>
    <s v="Fev"/>
    <x v="0"/>
    <x v="3"/>
  </r>
  <r>
    <x v="0"/>
    <d v="2022-03-05T00:00:00"/>
    <x v="0"/>
    <n v="729"/>
    <n v="-25"/>
    <x v="2"/>
    <x v="2"/>
    <s v="Mar"/>
    <x v="0"/>
    <x v="0"/>
  </r>
  <r>
    <x v="1"/>
    <d v="2021-12-29T00:00:00"/>
    <x v="1"/>
    <n v="2460"/>
    <n v="-91"/>
    <x v="2"/>
    <x v="1"/>
    <s v="Dez"/>
    <x v="1"/>
    <x v="3"/>
  </r>
  <r>
    <x v="0"/>
    <d v="2021-12-17T00:00:00"/>
    <x v="0"/>
    <n v="323"/>
    <n v="-103"/>
    <x v="2"/>
    <x v="1"/>
    <s v="Dez"/>
    <x v="1"/>
    <x v="0"/>
  </r>
  <r>
    <x v="8"/>
    <d v="2021-12-08T00:00:00"/>
    <x v="1"/>
    <n v="755"/>
    <n v="-112"/>
    <x v="2"/>
    <x v="1"/>
    <s v="Dez"/>
    <x v="1"/>
    <x v="3"/>
  </r>
  <r>
    <x v="2"/>
    <d v="2021-12-20T00:00:00"/>
    <x v="0"/>
    <n v="2541"/>
    <n v="-100"/>
    <x v="2"/>
    <x v="1"/>
    <s v="Dez"/>
    <x v="1"/>
    <x v="0"/>
  </r>
  <r>
    <x v="5"/>
    <d v="2022-05-16T00:00:00"/>
    <x v="0"/>
    <n v="1214"/>
    <n v="47"/>
    <x v="1"/>
    <x v="0"/>
    <s v="Mai"/>
    <x v="0"/>
    <x v="0"/>
  </r>
  <r>
    <x v="5"/>
    <d v="2022-04-03T00:00:00"/>
    <x v="2"/>
    <n v="1689"/>
    <n v="4"/>
    <x v="0"/>
    <x v="0"/>
    <s v="Abr"/>
    <x v="0"/>
    <x v="1"/>
  </r>
  <r>
    <x v="1"/>
    <d v="2022-01-06T00:00:00"/>
    <x v="0"/>
    <n v="1119"/>
    <n v="-83"/>
    <x v="2"/>
    <x v="1"/>
    <s v="Jan"/>
    <x v="0"/>
    <x v="0"/>
  </r>
  <r>
    <x v="9"/>
    <d v="2022-04-04T00:00:00"/>
    <x v="1"/>
    <n v="1254"/>
    <n v="5"/>
    <x v="0"/>
    <x v="0"/>
    <s v="Abr"/>
    <x v="0"/>
    <x v="1"/>
  </r>
  <r>
    <x v="0"/>
    <d v="2022-04-12T00:00:00"/>
    <x v="2"/>
    <n v="765"/>
    <n v="13"/>
    <x v="2"/>
    <x v="0"/>
    <s v="Abr"/>
    <x v="0"/>
    <x v="2"/>
  </r>
  <r>
    <x v="8"/>
    <d v="2022-05-01T00:00:00"/>
    <x v="0"/>
    <n v="2018"/>
    <n v="32"/>
    <x v="4"/>
    <x v="0"/>
    <s v="Mai"/>
    <x v="0"/>
    <x v="0"/>
  </r>
  <r>
    <x v="0"/>
    <d v="2022-04-06T00:00:00"/>
    <x v="0"/>
    <n v="2686"/>
    <n v="7"/>
    <x v="0"/>
    <x v="0"/>
    <s v="Abr"/>
    <x v="0"/>
    <x v="0"/>
  </r>
  <r>
    <x v="1"/>
    <d v="2022-04-18T00:00:00"/>
    <x v="1"/>
    <n v="1833"/>
    <n v="19"/>
    <x v="3"/>
    <x v="0"/>
    <s v="Abr"/>
    <x v="0"/>
    <x v="1"/>
  </r>
  <r>
    <x v="9"/>
    <d v="2022-05-15T00:00:00"/>
    <x v="3"/>
    <n v="2371"/>
    <n v="46"/>
    <x v="1"/>
    <x v="0"/>
    <s v="Mai"/>
    <x v="0"/>
    <x v="1"/>
  </r>
  <r>
    <x v="7"/>
    <d v="2022-02-04T00:00:00"/>
    <x v="0"/>
    <n v="560"/>
    <n v="-54"/>
    <x v="2"/>
    <x v="1"/>
    <s v="Fev"/>
    <x v="0"/>
    <x v="0"/>
  </r>
  <r>
    <x v="8"/>
    <d v="2022-01-27T00:00:00"/>
    <x v="2"/>
    <n v="304"/>
    <n v="-62"/>
    <x v="2"/>
    <x v="0"/>
    <s v="Jan"/>
    <x v="0"/>
    <x v="2"/>
  </r>
  <r>
    <x v="7"/>
    <d v="2022-05-18T00:00:00"/>
    <x v="3"/>
    <n v="2154"/>
    <n v="49"/>
    <x v="1"/>
    <x v="0"/>
    <s v="Mai"/>
    <x v="0"/>
    <x v="1"/>
  </r>
  <r>
    <x v="1"/>
    <d v="2022-01-08T00:00:00"/>
    <x v="0"/>
    <n v="2058"/>
    <n v="-81"/>
    <x v="2"/>
    <x v="1"/>
    <s v="Jan"/>
    <x v="0"/>
    <x v="0"/>
  </r>
  <r>
    <x v="0"/>
    <d v="2022-03-06T00:00:00"/>
    <x v="2"/>
    <n v="2397"/>
    <n v="-24"/>
    <x v="2"/>
    <x v="0"/>
    <s v="Mar"/>
    <x v="0"/>
    <x v="2"/>
  </r>
  <r>
    <x v="9"/>
    <d v="2021-12-27T00:00:00"/>
    <x v="1"/>
    <n v="2203"/>
    <n v="-93"/>
    <x v="2"/>
    <x v="1"/>
    <s v="Dez"/>
    <x v="1"/>
    <x v="3"/>
  </r>
  <r>
    <x v="3"/>
    <d v="2022-01-17T00:00:00"/>
    <x v="2"/>
    <n v="1217"/>
    <n v="-72"/>
    <x v="2"/>
    <x v="0"/>
    <s v="Jan"/>
    <x v="0"/>
    <x v="2"/>
  </r>
  <r>
    <x v="4"/>
    <d v="2021-12-27T00:00:00"/>
    <x v="2"/>
    <n v="551"/>
    <n v="-93"/>
    <x v="2"/>
    <x v="0"/>
    <s v="Dez"/>
    <x v="1"/>
    <x v="2"/>
  </r>
  <r>
    <x v="7"/>
    <d v="2022-03-12T00:00:00"/>
    <x v="3"/>
    <n v="2361"/>
    <n v="-18"/>
    <x v="2"/>
    <x v="2"/>
    <s v="Mar"/>
    <x v="0"/>
    <x v="3"/>
  </r>
  <r>
    <x v="9"/>
    <d v="2021-12-04T00:00:00"/>
    <x v="0"/>
    <n v="932"/>
    <n v="-116"/>
    <x v="2"/>
    <x v="1"/>
    <s v="Dez"/>
    <x v="1"/>
    <x v="0"/>
  </r>
  <r>
    <x v="8"/>
    <d v="2022-05-02T00:00:00"/>
    <x v="2"/>
    <n v="1610"/>
    <n v="33"/>
    <x v="2"/>
    <x v="0"/>
    <s v="Mai"/>
    <x v="0"/>
    <x v="2"/>
  </r>
  <r>
    <x v="3"/>
    <d v="2022-01-18T00:00:00"/>
    <x v="3"/>
    <n v="331"/>
    <n v="-71"/>
    <x v="2"/>
    <x v="1"/>
    <s v="Jan"/>
    <x v="0"/>
    <x v="3"/>
  </r>
  <r>
    <x v="7"/>
    <d v="2022-01-07T00:00:00"/>
    <x v="2"/>
    <n v="1195"/>
    <n v="-82"/>
    <x v="2"/>
    <x v="0"/>
    <s v="Jan"/>
    <x v="0"/>
    <x v="2"/>
  </r>
  <r>
    <x v="2"/>
    <d v="2021-12-06T00:00:00"/>
    <x v="2"/>
    <n v="1151"/>
    <n v="-114"/>
    <x v="2"/>
    <x v="0"/>
    <s v="Dez"/>
    <x v="1"/>
    <x v="2"/>
  </r>
  <r>
    <x v="3"/>
    <d v="2022-04-21T00:00:00"/>
    <x v="1"/>
    <n v="2064"/>
    <n v="22"/>
    <x v="3"/>
    <x v="0"/>
    <s v="Abr"/>
    <x v="0"/>
    <x v="1"/>
  </r>
  <r>
    <x v="1"/>
    <d v="2021-12-09T00:00:00"/>
    <x v="1"/>
    <n v="1649"/>
    <n v="-111"/>
    <x v="2"/>
    <x v="1"/>
    <s v="Dez"/>
    <x v="1"/>
    <x v="3"/>
  </r>
  <r>
    <x v="8"/>
    <d v="2022-04-05T00:00:00"/>
    <x v="2"/>
    <n v="261"/>
    <n v="6"/>
    <x v="2"/>
    <x v="0"/>
    <s v="Abr"/>
    <x v="0"/>
    <x v="2"/>
  </r>
  <r>
    <x v="8"/>
    <d v="2022-05-24T00:00:00"/>
    <x v="1"/>
    <n v="2008"/>
    <n v="55"/>
    <x v="1"/>
    <x v="0"/>
    <s v="Mai"/>
    <x v="0"/>
    <x v="1"/>
  </r>
  <r>
    <x v="2"/>
    <d v="2022-04-22T00:00:00"/>
    <x v="3"/>
    <n v="1953"/>
    <n v="23"/>
    <x v="3"/>
    <x v="0"/>
    <s v="Abr"/>
    <x v="0"/>
    <x v="1"/>
  </r>
  <r>
    <x v="4"/>
    <d v="2022-02-25T00:00:00"/>
    <x v="0"/>
    <n v="842"/>
    <n v="-33"/>
    <x v="2"/>
    <x v="4"/>
    <s v="Fev"/>
    <x v="0"/>
    <x v="0"/>
  </r>
  <r>
    <x v="2"/>
    <d v="2022-03-02T00:00:00"/>
    <x v="1"/>
    <n v="335"/>
    <n v="-28"/>
    <x v="2"/>
    <x v="2"/>
    <s v="Mar"/>
    <x v="0"/>
    <x v="3"/>
  </r>
  <r>
    <x v="7"/>
    <d v="2022-05-04T00:00:00"/>
    <x v="2"/>
    <n v="2327"/>
    <n v="35"/>
    <x v="2"/>
    <x v="0"/>
    <s v="Mai"/>
    <x v="0"/>
    <x v="2"/>
  </r>
  <r>
    <x v="4"/>
    <d v="2022-05-02T00:00:00"/>
    <x v="1"/>
    <n v="2504"/>
    <n v="33"/>
    <x v="4"/>
    <x v="0"/>
    <s v="Mai"/>
    <x v="0"/>
    <x v="1"/>
  </r>
  <r>
    <x v="3"/>
    <d v="2022-04-27T00:00:00"/>
    <x v="3"/>
    <n v="1853"/>
    <n v="28"/>
    <x v="3"/>
    <x v="0"/>
    <s v="Abr"/>
    <x v="0"/>
    <x v="1"/>
  </r>
  <r>
    <x v="4"/>
    <d v="2022-03-26T00:00:00"/>
    <x v="2"/>
    <n v="801"/>
    <n v="-4"/>
    <x v="2"/>
    <x v="0"/>
    <s v="Mar"/>
    <x v="0"/>
    <x v="2"/>
  </r>
  <r>
    <x v="0"/>
    <d v="2021-12-15T00:00:00"/>
    <x v="0"/>
    <n v="2519"/>
    <n v="-105"/>
    <x v="2"/>
    <x v="1"/>
    <s v="Dez"/>
    <x v="1"/>
    <x v="0"/>
  </r>
  <r>
    <x v="7"/>
    <d v="2022-04-04T00:00:00"/>
    <x v="0"/>
    <n v="1759"/>
    <n v="5"/>
    <x v="0"/>
    <x v="0"/>
    <s v="Abr"/>
    <x v="0"/>
    <x v="0"/>
  </r>
  <r>
    <x v="9"/>
    <d v="2022-01-14T00:00:00"/>
    <x v="2"/>
    <n v="1594"/>
    <n v="-75"/>
    <x v="2"/>
    <x v="0"/>
    <s v="Jan"/>
    <x v="0"/>
    <x v="2"/>
  </r>
  <r>
    <x v="9"/>
    <d v="2022-02-04T00:00:00"/>
    <x v="0"/>
    <n v="1860"/>
    <n v="-54"/>
    <x v="2"/>
    <x v="1"/>
    <s v="Fev"/>
    <x v="0"/>
    <x v="0"/>
  </r>
  <r>
    <x v="7"/>
    <d v="2022-05-12T00:00:00"/>
    <x v="0"/>
    <n v="2547"/>
    <n v="43"/>
    <x v="4"/>
    <x v="0"/>
    <s v="Mai"/>
    <x v="0"/>
    <x v="0"/>
  </r>
  <r>
    <x v="8"/>
    <d v="2022-05-16T00:00:00"/>
    <x v="3"/>
    <n v="1060"/>
    <n v="47"/>
    <x v="1"/>
    <x v="0"/>
    <s v="Mai"/>
    <x v="0"/>
    <x v="1"/>
  </r>
  <r>
    <x v="6"/>
    <d v="2022-01-15T00:00:00"/>
    <x v="2"/>
    <n v="576"/>
    <n v="-74"/>
    <x v="2"/>
    <x v="0"/>
    <s v="Jan"/>
    <x v="0"/>
    <x v="2"/>
  </r>
  <r>
    <x v="5"/>
    <d v="2022-03-07T00:00:00"/>
    <x v="2"/>
    <n v="2289"/>
    <n v="-23"/>
    <x v="2"/>
    <x v="2"/>
    <s v="Mar"/>
    <x v="0"/>
    <x v="3"/>
  </r>
  <r>
    <x v="8"/>
    <d v="2022-05-05T00:00:00"/>
    <x v="0"/>
    <n v="352"/>
    <n v="36"/>
    <x v="4"/>
    <x v="0"/>
    <s v="Mai"/>
    <x v="0"/>
    <x v="0"/>
  </r>
  <r>
    <x v="8"/>
    <d v="2022-05-29T00:00:00"/>
    <x v="1"/>
    <n v="1610"/>
    <n v="60"/>
    <x v="1"/>
    <x v="0"/>
    <s v="Mai"/>
    <x v="0"/>
    <x v="1"/>
  </r>
  <r>
    <x v="4"/>
    <d v="2022-05-16T00:00:00"/>
    <x v="0"/>
    <n v="1858"/>
    <n v="47"/>
    <x v="1"/>
    <x v="0"/>
    <s v="Mai"/>
    <x v="0"/>
    <x v="0"/>
  </r>
  <r>
    <x v="1"/>
    <d v="2022-03-22T00:00:00"/>
    <x v="0"/>
    <n v="2158"/>
    <n v="-8"/>
    <x v="2"/>
    <x v="3"/>
    <s v="Mar"/>
    <x v="0"/>
    <x v="0"/>
  </r>
  <r>
    <x v="5"/>
    <d v="2022-03-21T00:00:00"/>
    <x v="2"/>
    <n v="2591"/>
    <n v="-9"/>
    <x v="2"/>
    <x v="3"/>
    <s v="Mar"/>
    <x v="0"/>
    <x v="3"/>
  </r>
  <r>
    <x v="3"/>
    <d v="2021-12-23T00:00:00"/>
    <x v="0"/>
    <n v="2390"/>
    <n v="-97"/>
    <x v="2"/>
    <x v="1"/>
    <s v="Dez"/>
    <x v="1"/>
    <x v="0"/>
  </r>
  <r>
    <x v="2"/>
    <d v="2022-01-29T00:00:00"/>
    <x v="2"/>
    <n v="1718"/>
    <n v="-60"/>
    <x v="2"/>
    <x v="0"/>
    <s v="Jan"/>
    <x v="0"/>
    <x v="2"/>
  </r>
  <r>
    <x v="8"/>
    <d v="2021-12-07T00:00:00"/>
    <x v="0"/>
    <n v="2274"/>
    <n v="-113"/>
    <x v="2"/>
    <x v="1"/>
    <s v="Dez"/>
    <x v="1"/>
    <x v="0"/>
  </r>
  <r>
    <x v="0"/>
    <d v="2022-04-05T00:00:00"/>
    <x v="1"/>
    <n v="337"/>
    <n v="6"/>
    <x v="0"/>
    <x v="0"/>
    <s v="Abr"/>
    <x v="0"/>
    <x v="1"/>
  </r>
  <r>
    <x v="8"/>
    <d v="2022-03-20T00:00:00"/>
    <x v="2"/>
    <n v="289"/>
    <n v="-10"/>
    <x v="2"/>
    <x v="0"/>
    <s v="Mar"/>
    <x v="0"/>
    <x v="2"/>
  </r>
  <r>
    <x v="6"/>
    <d v="2022-04-28T00:00:00"/>
    <x v="1"/>
    <n v="1585"/>
    <n v="29"/>
    <x v="3"/>
    <x v="0"/>
    <s v="Abr"/>
    <x v="0"/>
    <x v="1"/>
  </r>
  <r>
    <x v="7"/>
    <d v="2022-05-18T00:00:00"/>
    <x v="2"/>
    <n v="2347"/>
    <n v="49"/>
    <x v="2"/>
    <x v="0"/>
    <s v="Mai"/>
    <x v="0"/>
    <x v="2"/>
  </r>
  <r>
    <x v="7"/>
    <d v="2021-12-28T00:00:00"/>
    <x v="3"/>
    <n v="171"/>
    <n v="-92"/>
    <x v="2"/>
    <x v="1"/>
    <s v="Dez"/>
    <x v="1"/>
    <x v="3"/>
  </r>
  <r>
    <x v="5"/>
    <d v="2022-05-19T00:00:00"/>
    <x v="2"/>
    <n v="2080"/>
    <n v="50"/>
    <x v="2"/>
    <x v="0"/>
    <s v="Mai"/>
    <x v="0"/>
    <x v="2"/>
  </r>
  <r>
    <x v="3"/>
    <d v="2022-02-19T00:00:00"/>
    <x v="3"/>
    <n v="772"/>
    <n v="-39"/>
    <x v="2"/>
    <x v="4"/>
    <s v="Fev"/>
    <x v="0"/>
    <x v="3"/>
  </r>
  <r>
    <x v="7"/>
    <d v="2022-02-09T00:00:00"/>
    <x v="2"/>
    <n v="1012"/>
    <n v="-49"/>
    <x v="2"/>
    <x v="0"/>
    <s v="Fev"/>
    <x v="0"/>
    <x v="2"/>
  </r>
  <r>
    <x v="9"/>
    <d v="2021-12-10T00:00:00"/>
    <x v="0"/>
    <n v="1797"/>
    <n v="-110"/>
    <x v="2"/>
    <x v="1"/>
    <s v="Dez"/>
    <x v="1"/>
    <x v="0"/>
  </r>
  <r>
    <x v="9"/>
    <d v="2022-02-09T00:00:00"/>
    <x v="0"/>
    <n v="901"/>
    <n v="-49"/>
    <x v="2"/>
    <x v="1"/>
    <s v="Fev"/>
    <x v="0"/>
    <x v="0"/>
  </r>
  <r>
    <x v="0"/>
    <d v="2021-12-18T00:00:00"/>
    <x v="1"/>
    <n v="1971"/>
    <n v="-102"/>
    <x v="2"/>
    <x v="1"/>
    <s v="Dez"/>
    <x v="1"/>
    <x v="3"/>
  </r>
  <r>
    <x v="3"/>
    <d v="2022-03-13T00:00:00"/>
    <x v="1"/>
    <n v="2690"/>
    <n v="-17"/>
    <x v="2"/>
    <x v="2"/>
    <s v="Mar"/>
    <x v="0"/>
    <x v="3"/>
  </r>
  <r>
    <x v="6"/>
    <d v="2022-02-12T00:00:00"/>
    <x v="2"/>
    <n v="1558"/>
    <n v="-46"/>
    <x v="2"/>
    <x v="0"/>
    <s v="Fev"/>
    <x v="0"/>
    <x v="2"/>
  </r>
  <r>
    <x v="7"/>
    <d v="2022-01-16T00:00:00"/>
    <x v="2"/>
    <n v="529"/>
    <n v="-73"/>
    <x v="2"/>
    <x v="0"/>
    <s v="Jan"/>
    <x v="0"/>
    <x v="2"/>
  </r>
  <r>
    <x v="1"/>
    <d v="2022-03-29T00:00:00"/>
    <x v="1"/>
    <n v="1418"/>
    <n v="-1"/>
    <x v="2"/>
    <x v="3"/>
    <s v="Mar"/>
    <x v="0"/>
    <x v="3"/>
  </r>
  <r>
    <x v="1"/>
    <d v="2022-02-22T00:00:00"/>
    <x v="2"/>
    <n v="2568"/>
    <n v="-36"/>
    <x v="2"/>
    <x v="4"/>
    <s v="Fev"/>
    <x v="0"/>
    <x v="3"/>
  </r>
  <r>
    <x v="6"/>
    <d v="2022-03-02T00:00:00"/>
    <x v="0"/>
    <n v="1730"/>
    <n v="-28"/>
    <x v="2"/>
    <x v="2"/>
    <s v="Mar"/>
    <x v="0"/>
    <x v="0"/>
  </r>
  <r>
    <x v="2"/>
    <d v="2022-04-20T00:00:00"/>
    <x v="3"/>
    <n v="1636"/>
    <n v="21"/>
    <x v="3"/>
    <x v="0"/>
    <s v="Abr"/>
    <x v="0"/>
    <x v="1"/>
  </r>
  <r>
    <x v="3"/>
    <d v="2022-05-08T00:00:00"/>
    <x v="0"/>
    <n v="1195"/>
    <n v="39"/>
    <x v="4"/>
    <x v="0"/>
    <s v="Mai"/>
    <x v="0"/>
    <x v="0"/>
  </r>
  <r>
    <x v="1"/>
    <d v="2022-05-10T00:00:00"/>
    <x v="0"/>
    <n v="1471"/>
    <n v="41"/>
    <x v="4"/>
    <x v="0"/>
    <s v="Mai"/>
    <x v="0"/>
    <x v="0"/>
  </r>
  <r>
    <x v="5"/>
    <d v="2022-05-23T00:00:00"/>
    <x v="2"/>
    <n v="2384"/>
    <n v="54"/>
    <x v="1"/>
    <x v="0"/>
    <s v="Mai"/>
    <x v="0"/>
    <x v="1"/>
  </r>
  <r>
    <x v="0"/>
    <d v="2022-04-25T00:00:00"/>
    <x v="1"/>
    <n v="1900"/>
    <n v="26"/>
    <x v="3"/>
    <x v="0"/>
    <s v="Abr"/>
    <x v="0"/>
    <x v="1"/>
  </r>
  <r>
    <x v="8"/>
    <d v="2022-03-09T00:00:00"/>
    <x v="0"/>
    <n v="532"/>
    <n v="-21"/>
    <x v="2"/>
    <x v="2"/>
    <s v="Mar"/>
    <x v="0"/>
    <x v="0"/>
  </r>
  <r>
    <x v="9"/>
    <d v="2021-12-02T00:00:00"/>
    <x v="3"/>
    <n v="587"/>
    <n v="-118"/>
    <x v="2"/>
    <x v="1"/>
    <s v="Dez"/>
    <x v="1"/>
    <x v="3"/>
  </r>
  <r>
    <x v="3"/>
    <d v="2022-02-08T00:00:00"/>
    <x v="3"/>
    <n v="877"/>
    <n v="-50"/>
    <x v="2"/>
    <x v="1"/>
    <s v="Fev"/>
    <x v="0"/>
    <x v="3"/>
  </r>
  <r>
    <x v="2"/>
    <d v="2022-05-22T00:00:00"/>
    <x v="2"/>
    <n v="945"/>
    <n v="53"/>
    <x v="2"/>
    <x v="0"/>
    <s v="Mai"/>
    <x v="0"/>
    <x v="2"/>
  </r>
  <r>
    <x v="6"/>
    <d v="2022-05-23T00:00:00"/>
    <x v="2"/>
    <n v="2272"/>
    <n v="54"/>
    <x v="2"/>
    <x v="0"/>
    <s v="Mai"/>
    <x v="0"/>
    <x v="2"/>
  </r>
  <r>
    <x v="6"/>
    <d v="2022-02-04T00:00:00"/>
    <x v="1"/>
    <n v="1408"/>
    <n v="-54"/>
    <x v="2"/>
    <x v="1"/>
    <s v="Fev"/>
    <x v="0"/>
    <x v="3"/>
  </r>
  <r>
    <x v="7"/>
    <d v="2022-05-30T00:00:00"/>
    <x v="2"/>
    <n v="1466"/>
    <n v="61"/>
    <x v="2"/>
    <x v="0"/>
    <s v="Mai"/>
    <x v="0"/>
    <x v="2"/>
  </r>
  <r>
    <x v="7"/>
    <d v="2022-03-07T00:00:00"/>
    <x v="1"/>
    <n v="1549"/>
    <n v="-23"/>
    <x v="2"/>
    <x v="2"/>
    <s v="Mar"/>
    <x v="0"/>
    <x v="3"/>
  </r>
  <r>
    <x v="4"/>
    <d v="2021-12-15T00:00:00"/>
    <x v="2"/>
    <n v="2427"/>
    <n v="-105"/>
    <x v="2"/>
    <x v="0"/>
    <s v="Dez"/>
    <x v="1"/>
    <x v="2"/>
  </r>
  <r>
    <x v="7"/>
    <d v="2022-02-08T00:00:00"/>
    <x v="0"/>
    <n v="616"/>
    <n v="-50"/>
    <x v="2"/>
    <x v="1"/>
    <s v="Fev"/>
    <x v="0"/>
    <x v="0"/>
  </r>
  <r>
    <x v="2"/>
    <d v="2022-05-21T00:00:00"/>
    <x v="3"/>
    <n v="2265"/>
    <n v="52"/>
    <x v="1"/>
    <x v="0"/>
    <s v="Mai"/>
    <x v="0"/>
    <x v="1"/>
  </r>
  <r>
    <x v="4"/>
    <d v="2022-04-13T00:00:00"/>
    <x v="3"/>
    <n v="1172"/>
    <n v="14"/>
    <x v="0"/>
    <x v="0"/>
    <s v="Abr"/>
    <x v="0"/>
    <x v="1"/>
  </r>
  <r>
    <x v="4"/>
    <d v="2022-02-09T00:00:00"/>
    <x v="2"/>
    <n v="978"/>
    <n v="-49"/>
    <x v="2"/>
    <x v="0"/>
    <s v="Fev"/>
    <x v="0"/>
    <x v="2"/>
  </r>
  <r>
    <x v="8"/>
    <d v="2022-03-28T00:00:00"/>
    <x v="0"/>
    <n v="477"/>
    <n v="-2"/>
    <x v="2"/>
    <x v="3"/>
    <s v="Mar"/>
    <x v="0"/>
    <x v="0"/>
  </r>
  <r>
    <x v="6"/>
    <d v="2022-02-02T00:00:00"/>
    <x v="0"/>
    <n v="1371"/>
    <n v="-56"/>
    <x v="2"/>
    <x v="1"/>
    <s v="Fev"/>
    <x v="0"/>
    <x v="0"/>
  </r>
  <r>
    <x v="3"/>
    <d v="2022-02-09T00:00:00"/>
    <x v="3"/>
    <n v="881"/>
    <n v="-49"/>
    <x v="2"/>
    <x v="1"/>
    <s v="Fev"/>
    <x v="0"/>
    <x v="3"/>
  </r>
  <r>
    <x v="7"/>
    <d v="2022-01-01T00:00:00"/>
    <x v="3"/>
    <n v="1856"/>
    <n v="-88"/>
    <x v="2"/>
    <x v="1"/>
    <s v="Jan"/>
    <x v="0"/>
    <x v="3"/>
  </r>
  <r>
    <x v="7"/>
    <d v="2022-03-19T00:00:00"/>
    <x v="1"/>
    <n v="1206"/>
    <n v="-11"/>
    <x v="2"/>
    <x v="3"/>
    <s v="Mar"/>
    <x v="0"/>
    <x v="3"/>
  </r>
  <r>
    <x v="2"/>
    <d v="2022-05-13T00:00:00"/>
    <x v="3"/>
    <n v="1222"/>
    <n v="44"/>
    <x v="4"/>
    <x v="0"/>
    <s v="Mai"/>
    <x v="0"/>
    <x v="1"/>
  </r>
  <r>
    <x v="2"/>
    <d v="2021-12-01T00:00:00"/>
    <x v="3"/>
    <n v="2079"/>
    <n v="-119"/>
    <x v="2"/>
    <x v="1"/>
    <s v="Dez"/>
    <x v="1"/>
    <x v="3"/>
  </r>
  <r>
    <x v="5"/>
    <d v="2022-03-25T00:00:00"/>
    <x v="0"/>
    <n v="1600"/>
    <n v="-5"/>
    <x v="2"/>
    <x v="3"/>
    <s v="Mar"/>
    <x v="0"/>
    <x v="0"/>
  </r>
  <r>
    <x v="2"/>
    <d v="2022-01-06T00:00:00"/>
    <x v="0"/>
    <n v="2308"/>
    <n v="-83"/>
    <x v="2"/>
    <x v="1"/>
    <s v="Jan"/>
    <x v="0"/>
    <x v="0"/>
  </r>
  <r>
    <x v="5"/>
    <d v="2022-04-12T00:00:00"/>
    <x v="2"/>
    <n v="1775"/>
    <n v="13"/>
    <x v="2"/>
    <x v="0"/>
    <s v="Abr"/>
    <x v="0"/>
    <x v="2"/>
  </r>
  <r>
    <x v="2"/>
    <d v="2022-04-07T00:00:00"/>
    <x v="3"/>
    <n v="2376"/>
    <n v="8"/>
    <x v="0"/>
    <x v="0"/>
    <s v="Abr"/>
    <x v="0"/>
    <x v="1"/>
  </r>
  <r>
    <x v="0"/>
    <d v="2022-03-17T00:00:00"/>
    <x v="1"/>
    <n v="1314"/>
    <n v="-13"/>
    <x v="2"/>
    <x v="3"/>
    <s v="Mar"/>
    <x v="0"/>
    <x v="3"/>
  </r>
  <r>
    <x v="3"/>
    <d v="2022-04-07T00:00:00"/>
    <x v="0"/>
    <n v="1168"/>
    <n v="8"/>
    <x v="0"/>
    <x v="0"/>
    <s v="Abr"/>
    <x v="0"/>
    <x v="0"/>
  </r>
  <r>
    <x v="2"/>
    <d v="2021-12-14T00:00:00"/>
    <x v="1"/>
    <n v="2361"/>
    <n v="-106"/>
    <x v="2"/>
    <x v="1"/>
    <s v="Dez"/>
    <x v="1"/>
    <x v="3"/>
  </r>
  <r>
    <x v="8"/>
    <d v="2022-01-31T00:00:00"/>
    <x v="1"/>
    <n v="1664"/>
    <n v="-58"/>
    <x v="2"/>
    <x v="1"/>
    <s v="Jan"/>
    <x v="0"/>
    <x v="3"/>
  </r>
  <r>
    <x v="7"/>
    <d v="2022-03-11T00:00:00"/>
    <x v="3"/>
    <n v="2229"/>
    <n v="-19"/>
    <x v="2"/>
    <x v="2"/>
    <s v="Mar"/>
    <x v="0"/>
    <x v="3"/>
  </r>
  <r>
    <x v="2"/>
    <d v="2022-03-02T00:00:00"/>
    <x v="1"/>
    <n v="2236"/>
    <n v="-28"/>
    <x v="2"/>
    <x v="2"/>
    <s v="Mar"/>
    <x v="0"/>
    <x v="3"/>
  </r>
  <r>
    <x v="1"/>
    <d v="2022-05-01T00:00:00"/>
    <x v="1"/>
    <n v="967"/>
    <n v="32"/>
    <x v="4"/>
    <x v="0"/>
    <s v="Mai"/>
    <x v="0"/>
    <x v="1"/>
  </r>
  <r>
    <x v="5"/>
    <d v="2022-02-20T00:00:00"/>
    <x v="2"/>
    <n v="2456"/>
    <n v="-38"/>
    <x v="2"/>
    <x v="4"/>
    <s v="Fev"/>
    <x v="0"/>
    <x v="3"/>
  </r>
  <r>
    <x v="0"/>
    <d v="2022-05-18T00:00:00"/>
    <x v="3"/>
    <n v="1226"/>
    <n v="49"/>
    <x v="1"/>
    <x v="0"/>
    <s v="Mai"/>
    <x v="0"/>
    <x v="1"/>
  </r>
  <r>
    <x v="4"/>
    <d v="2021-12-27T00:00:00"/>
    <x v="1"/>
    <n v="315"/>
    <n v="-93"/>
    <x v="2"/>
    <x v="1"/>
    <s v="Dez"/>
    <x v="1"/>
    <x v="3"/>
  </r>
  <r>
    <x v="6"/>
    <d v="2021-12-23T00:00:00"/>
    <x v="0"/>
    <n v="914"/>
    <n v="-97"/>
    <x v="2"/>
    <x v="1"/>
    <s v="Dez"/>
    <x v="1"/>
    <x v="0"/>
  </r>
  <r>
    <x v="8"/>
    <d v="2021-12-07T00:00:00"/>
    <x v="2"/>
    <n v="772"/>
    <n v="-113"/>
    <x v="2"/>
    <x v="0"/>
    <s v="Dez"/>
    <x v="1"/>
    <x v="2"/>
  </r>
  <r>
    <x v="1"/>
    <d v="2022-01-26T00:00:00"/>
    <x v="1"/>
    <n v="1037"/>
    <n v="-63"/>
    <x v="2"/>
    <x v="1"/>
    <s v="Jan"/>
    <x v="0"/>
    <x v="3"/>
  </r>
  <r>
    <x v="2"/>
    <d v="2022-05-04T00:00:00"/>
    <x v="3"/>
    <n v="388"/>
    <n v="35"/>
    <x v="4"/>
    <x v="0"/>
    <s v="Mai"/>
    <x v="0"/>
    <x v="1"/>
  </r>
  <r>
    <x v="7"/>
    <d v="2022-02-21T00:00:00"/>
    <x v="1"/>
    <n v="1614"/>
    <n v="-37"/>
    <x v="2"/>
    <x v="4"/>
    <s v="Fev"/>
    <x v="0"/>
    <x v="3"/>
  </r>
  <r>
    <x v="0"/>
    <d v="2022-01-03T00:00:00"/>
    <x v="0"/>
    <n v="554"/>
    <n v="-86"/>
    <x v="2"/>
    <x v="1"/>
    <s v="Jan"/>
    <x v="0"/>
    <x v="0"/>
  </r>
  <r>
    <x v="0"/>
    <d v="2022-01-05T00:00:00"/>
    <x v="2"/>
    <n v="2342"/>
    <n v="-84"/>
    <x v="2"/>
    <x v="0"/>
    <s v="Jan"/>
    <x v="0"/>
    <x v="2"/>
  </r>
  <r>
    <x v="9"/>
    <d v="2022-05-18T00:00:00"/>
    <x v="1"/>
    <n v="300"/>
    <n v="49"/>
    <x v="1"/>
    <x v="0"/>
    <s v="Mai"/>
    <x v="0"/>
    <x v="1"/>
  </r>
  <r>
    <x v="1"/>
    <d v="2022-01-18T00:00:00"/>
    <x v="0"/>
    <n v="2316"/>
    <n v="-71"/>
    <x v="2"/>
    <x v="1"/>
    <s v="Jan"/>
    <x v="0"/>
    <x v="0"/>
  </r>
  <r>
    <x v="0"/>
    <d v="2022-03-24T00:00:00"/>
    <x v="1"/>
    <n v="2686"/>
    <n v="-6"/>
    <x v="2"/>
    <x v="3"/>
    <s v="Mar"/>
    <x v="0"/>
    <x v="3"/>
  </r>
  <r>
    <x v="4"/>
    <d v="2022-03-30T00:00:00"/>
    <x v="3"/>
    <n v="2156"/>
    <n v="0"/>
    <x v="0"/>
    <x v="0"/>
    <s v="Mar"/>
    <x v="0"/>
    <x v="1"/>
  </r>
  <r>
    <x v="8"/>
    <d v="2022-05-03T00:00:00"/>
    <x v="2"/>
    <n v="1226"/>
    <n v="34"/>
    <x v="2"/>
    <x v="0"/>
    <s v="Mai"/>
    <x v="0"/>
    <x v="2"/>
  </r>
  <r>
    <x v="1"/>
    <d v="2022-04-26T00:00:00"/>
    <x v="0"/>
    <n v="229"/>
    <n v="27"/>
    <x v="3"/>
    <x v="0"/>
    <s v="Abr"/>
    <x v="0"/>
    <x v="0"/>
  </r>
  <r>
    <x v="9"/>
    <d v="2022-01-13T00:00:00"/>
    <x v="0"/>
    <n v="1271"/>
    <n v="-76"/>
    <x v="2"/>
    <x v="1"/>
    <s v="Jan"/>
    <x v="0"/>
    <x v="0"/>
  </r>
  <r>
    <x v="8"/>
    <d v="2022-01-26T00:00:00"/>
    <x v="0"/>
    <n v="521"/>
    <n v="-63"/>
    <x v="2"/>
    <x v="1"/>
    <s v="Jan"/>
    <x v="0"/>
    <x v="0"/>
  </r>
  <r>
    <x v="9"/>
    <d v="2022-02-26T00:00:00"/>
    <x v="3"/>
    <n v="463"/>
    <n v="-32"/>
    <x v="2"/>
    <x v="4"/>
    <s v="Fev"/>
    <x v="0"/>
    <x v="3"/>
  </r>
  <r>
    <x v="7"/>
    <d v="2022-03-07T00:00:00"/>
    <x v="3"/>
    <n v="1398"/>
    <n v="-23"/>
    <x v="2"/>
    <x v="2"/>
    <s v="Mar"/>
    <x v="0"/>
    <x v="3"/>
  </r>
  <r>
    <x v="4"/>
    <d v="2022-02-13T00:00:00"/>
    <x v="3"/>
    <n v="1779"/>
    <n v="-45"/>
    <x v="2"/>
    <x v="1"/>
    <s v="Fev"/>
    <x v="0"/>
    <x v="3"/>
  </r>
  <r>
    <x v="0"/>
    <d v="2022-01-26T00:00:00"/>
    <x v="2"/>
    <n v="542"/>
    <n v="-63"/>
    <x v="2"/>
    <x v="0"/>
    <s v="Jan"/>
    <x v="0"/>
    <x v="2"/>
  </r>
  <r>
    <x v="2"/>
    <d v="2022-05-20T00:00:00"/>
    <x v="1"/>
    <n v="2208"/>
    <n v="51"/>
    <x v="1"/>
    <x v="0"/>
    <s v="Mai"/>
    <x v="0"/>
    <x v="1"/>
  </r>
  <r>
    <x v="3"/>
    <d v="2022-05-19T00:00:00"/>
    <x v="1"/>
    <n v="2390"/>
    <n v="50"/>
    <x v="1"/>
    <x v="0"/>
    <s v="Mai"/>
    <x v="0"/>
    <x v="1"/>
  </r>
  <r>
    <x v="3"/>
    <d v="2022-01-07T00:00:00"/>
    <x v="3"/>
    <n v="898"/>
    <n v="-82"/>
    <x v="2"/>
    <x v="1"/>
    <s v="Jan"/>
    <x v="0"/>
    <x v="3"/>
  </r>
  <r>
    <x v="6"/>
    <d v="2022-03-25T00:00:00"/>
    <x v="1"/>
    <n v="1033"/>
    <n v="-5"/>
    <x v="2"/>
    <x v="3"/>
    <s v="Mar"/>
    <x v="0"/>
    <x v="3"/>
  </r>
  <r>
    <x v="5"/>
    <d v="2022-05-07T00:00:00"/>
    <x v="1"/>
    <n v="981"/>
    <n v="38"/>
    <x v="4"/>
    <x v="0"/>
    <s v="Mai"/>
    <x v="0"/>
    <x v="1"/>
  </r>
  <r>
    <x v="4"/>
    <d v="2022-05-06T00:00:00"/>
    <x v="0"/>
    <n v="1042"/>
    <n v="37"/>
    <x v="4"/>
    <x v="0"/>
    <s v="Mai"/>
    <x v="0"/>
    <x v="0"/>
  </r>
  <r>
    <x v="1"/>
    <d v="2022-03-12T00:00:00"/>
    <x v="0"/>
    <n v="597"/>
    <n v="-18"/>
    <x v="2"/>
    <x v="2"/>
    <s v="Mar"/>
    <x v="0"/>
    <x v="0"/>
  </r>
  <r>
    <x v="7"/>
    <d v="2022-05-20T00:00:00"/>
    <x v="3"/>
    <n v="2499"/>
    <n v="51"/>
    <x v="1"/>
    <x v="0"/>
    <s v="Mai"/>
    <x v="0"/>
    <x v="1"/>
  </r>
  <r>
    <x v="8"/>
    <d v="2022-02-13T00:00:00"/>
    <x v="1"/>
    <n v="929"/>
    <n v="-45"/>
    <x v="2"/>
    <x v="1"/>
    <s v="Fev"/>
    <x v="0"/>
    <x v="3"/>
  </r>
  <r>
    <x v="0"/>
    <d v="2022-04-25T00:00:00"/>
    <x v="2"/>
    <n v="758"/>
    <n v="26"/>
    <x v="2"/>
    <x v="0"/>
    <s v="Abr"/>
    <x v="0"/>
    <x v="2"/>
  </r>
  <r>
    <x v="9"/>
    <d v="2022-05-30T00:00:00"/>
    <x v="2"/>
    <n v="1632"/>
    <n v="61"/>
    <x v="2"/>
    <x v="0"/>
    <s v="Mai"/>
    <x v="0"/>
    <x v="2"/>
  </r>
  <r>
    <x v="1"/>
    <d v="2022-02-18T00:00:00"/>
    <x v="2"/>
    <n v="2013"/>
    <n v="-40"/>
    <x v="2"/>
    <x v="0"/>
    <s v="Fev"/>
    <x v="0"/>
    <x v="2"/>
  </r>
  <r>
    <x v="9"/>
    <d v="2021-12-17T00:00:00"/>
    <x v="1"/>
    <n v="2006"/>
    <n v="-103"/>
    <x v="2"/>
    <x v="1"/>
    <s v="Dez"/>
    <x v="1"/>
    <x v="3"/>
  </r>
  <r>
    <x v="4"/>
    <d v="2022-01-21T00:00:00"/>
    <x v="1"/>
    <n v="1250"/>
    <n v="-68"/>
    <x v="2"/>
    <x v="1"/>
    <s v="Jan"/>
    <x v="0"/>
    <x v="3"/>
  </r>
  <r>
    <x v="8"/>
    <d v="2021-12-26T00:00:00"/>
    <x v="1"/>
    <n v="1303"/>
    <n v="-94"/>
    <x v="2"/>
    <x v="1"/>
    <s v="Dez"/>
    <x v="1"/>
    <x v="3"/>
  </r>
  <r>
    <x v="4"/>
    <d v="2022-03-19T00:00:00"/>
    <x v="3"/>
    <n v="648"/>
    <n v="-11"/>
    <x v="2"/>
    <x v="3"/>
    <s v="Mar"/>
    <x v="0"/>
    <x v="3"/>
  </r>
  <r>
    <x v="2"/>
    <d v="2022-01-18T00:00:00"/>
    <x v="2"/>
    <n v="592"/>
    <n v="-71"/>
    <x v="2"/>
    <x v="0"/>
    <s v="Jan"/>
    <x v="0"/>
    <x v="2"/>
  </r>
  <r>
    <x v="0"/>
    <d v="2021-12-14T00:00:00"/>
    <x v="1"/>
    <n v="2194"/>
    <n v="-106"/>
    <x v="2"/>
    <x v="1"/>
    <s v="Dez"/>
    <x v="1"/>
    <x v="3"/>
  </r>
  <r>
    <x v="7"/>
    <d v="2022-01-10T00:00:00"/>
    <x v="1"/>
    <n v="2156"/>
    <n v="-79"/>
    <x v="2"/>
    <x v="1"/>
    <s v="Jan"/>
    <x v="0"/>
    <x v="3"/>
  </r>
  <r>
    <x v="9"/>
    <d v="2022-04-27T00:00:00"/>
    <x v="3"/>
    <n v="1703"/>
    <n v="28"/>
    <x v="3"/>
    <x v="0"/>
    <s v="Abr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d v="2022-01-08T00:00:00"/>
    <n v="5911"/>
    <x v="0"/>
  </r>
  <r>
    <x v="1"/>
    <d v="2022-01-09T00:00:00"/>
    <n v="1972"/>
    <x v="0"/>
  </r>
  <r>
    <x v="0"/>
    <d v="2022-01-09T00:00:00"/>
    <n v="1192"/>
    <x v="0"/>
  </r>
  <r>
    <x v="2"/>
    <d v="2022-01-10T00:00:00"/>
    <n v="4187"/>
    <x v="1"/>
  </r>
  <r>
    <x v="1"/>
    <d v="2022-01-10T00:00:00"/>
    <n v="4187"/>
    <x v="1"/>
  </r>
  <r>
    <x v="2"/>
    <d v="2022-01-12T00:00:00"/>
    <n v="1192"/>
    <x v="1"/>
  </r>
  <r>
    <x v="3"/>
    <d v="2022-01-14T00:00:00"/>
    <n v="1365"/>
    <x v="1"/>
  </r>
  <r>
    <x v="0"/>
    <d v="2022-01-13T00:00:00"/>
    <n v="5256"/>
    <x v="1"/>
  </r>
  <r>
    <x v="3"/>
    <d v="2022-01-17T00:00:00"/>
    <n v="2547"/>
    <x v="2"/>
  </r>
  <r>
    <x v="0"/>
    <d v="2022-01-17T00:00:00"/>
    <n v="2530"/>
    <x v="2"/>
  </r>
  <r>
    <x v="3"/>
    <d v="2022-01-17T00:00:00"/>
    <n v="1167"/>
    <x v="2"/>
  </r>
  <r>
    <x v="2"/>
    <d v="2022-01-19T00:00:00"/>
    <n v="4927"/>
    <x v="2"/>
  </r>
  <r>
    <x v="1"/>
    <d v="2022-01-19T00:00:00"/>
    <n v="7789"/>
    <x v="2"/>
  </r>
  <r>
    <x v="1"/>
    <d v="2022-01-21T00:00:00"/>
    <n v="4085"/>
    <x v="2"/>
  </r>
  <r>
    <x v="1"/>
    <d v="2022-01-21T00:00:00"/>
    <n v="4153"/>
    <x v="2"/>
  </r>
  <r>
    <x v="2"/>
    <d v="2022-01-21T00:00:00"/>
    <n v="3618"/>
    <x v="2"/>
  </r>
  <r>
    <x v="0"/>
    <d v="2022-01-23T00:00:00"/>
    <n v="5911"/>
    <x v="2"/>
  </r>
  <r>
    <x v="0"/>
    <d v="2022-01-24T00:00:00"/>
    <n v="1972"/>
    <x v="3"/>
  </r>
  <r>
    <x v="0"/>
    <d v="2022-01-26T00:00:00"/>
    <n v="4927"/>
    <x v="3"/>
  </r>
  <r>
    <x v="1"/>
    <d v="2022-01-29T00:00:00"/>
    <n v="1365"/>
    <x v="3"/>
  </r>
  <r>
    <x v="2"/>
    <d v="2022-01-29T00:00:00"/>
    <n v="4845"/>
    <x v="3"/>
  </r>
  <r>
    <x v="4"/>
    <d v="2022-01-28T00:00:00"/>
    <n v="5256"/>
    <x v="3"/>
  </r>
  <r>
    <x v="0"/>
    <d v="2022-02-01T00:00:00"/>
    <n v="1167"/>
    <x v="4"/>
  </r>
  <r>
    <x v="3"/>
    <d v="2022-02-02T00:00:00"/>
    <n v="4927"/>
    <x v="4"/>
  </r>
  <r>
    <x v="3"/>
    <d v="2022-02-05T00:00:00"/>
    <n v="3619"/>
    <x v="4"/>
  </r>
  <r>
    <x v="1"/>
    <d v="2022-02-05T00:00:00"/>
    <n v="2773"/>
    <x v="4"/>
  </r>
  <r>
    <x v="4"/>
    <d v="2022-02-07T00:00:00"/>
    <n v="5911"/>
    <x v="5"/>
  </r>
  <r>
    <x v="2"/>
    <d v="2022-02-08T00:00:00"/>
    <n v="1972"/>
    <x v="5"/>
  </r>
  <r>
    <x v="3"/>
    <d v="2022-02-09T00:00:00"/>
    <n v="4927"/>
    <x v="5"/>
  </r>
  <r>
    <x v="2"/>
    <d v="2022-02-13T00:00:00"/>
    <n v="4845"/>
    <x v="5"/>
  </r>
  <r>
    <x v="2"/>
    <d v="2022-02-12T00:00:00"/>
    <n v="5256"/>
    <x v="5"/>
  </r>
  <r>
    <x v="1"/>
    <d v="2022-02-13T00:00:00"/>
    <n v="1366"/>
    <x v="5"/>
  </r>
  <r>
    <x v="1"/>
    <d v="2022-02-20T00:00:00"/>
    <n v="2773"/>
    <x v="6"/>
  </r>
  <r>
    <x v="1"/>
    <d v="2022-02-28T00:00:00"/>
    <n v="4845"/>
    <x v="7"/>
  </r>
  <r>
    <x v="3"/>
    <d v="2022-03-10T00:00:00"/>
    <n v="2773"/>
    <x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n v="15455633497"/>
    <n v="1"/>
    <d v="2021-12-03T00:00:00"/>
    <n v="15139603329"/>
    <s v="Comprador 07"/>
    <n v="0"/>
    <m/>
    <s v="Atendido"/>
    <n v="15016073255"/>
    <s v="PRFL.00.0023"/>
    <m/>
    <s v="Produto 16"/>
    <n v="2520"/>
    <n v="14.2"/>
    <s v="PC"/>
    <n v="0"/>
    <n v="4713"/>
    <x v="0"/>
    <n v="0.05"/>
    <n v="1"/>
    <n v="2520"/>
    <n v="37573.199999999997"/>
    <x v="0"/>
    <x v="0"/>
  </r>
  <r>
    <n v="15493600861"/>
    <n v="3"/>
    <d v="2021-12-07T00:00:00"/>
    <n v="14772821922"/>
    <s v="Comprador 02"/>
    <n v="0"/>
    <m/>
    <s v="Atendido"/>
    <n v="14980702561"/>
    <s v="ICHP.00.0006"/>
    <m/>
    <s v="Produto 15"/>
    <n v="13359"/>
    <n v="7.74"/>
    <s v="KG"/>
    <n v="0"/>
    <n v="4982"/>
    <x v="1"/>
    <n v="0"/>
    <n v="1.1000000000000001"/>
    <n v="14694.900000000001"/>
    <n v="103398.66"/>
    <x v="0"/>
    <x v="0"/>
  </r>
  <r>
    <n v="15531010205"/>
    <n v="4"/>
    <d v="2021-12-10T00:00:00"/>
    <n v="15139603329"/>
    <s v="Comprador 03"/>
    <n v="0"/>
    <m/>
    <s v="Atendido"/>
    <n v="15016043939"/>
    <s v="PRFL.00.0019"/>
    <m/>
    <s v="Produto 01"/>
    <n v="2520"/>
    <n v="13.75"/>
    <s v="PC"/>
    <n v="0"/>
    <n v="5008"/>
    <x v="2"/>
    <n v="0"/>
    <n v="1.1000000000000001"/>
    <n v="2772"/>
    <n v="34650"/>
    <x v="0"/>
    <x v="0"/>
  </r>
  <r>
    <n v="15531010205"/>
    <n v="4"/>
    <d v="2021-12-10T00:00:00"/>
    <n v="15139603329"/>
    <s v="Comprador 19"/>
    <n v="0"/>
    <m/>
    <s v="Atendido"/>
    <n v="15016093155"/>
    <s v="PRFL.00.0026"/>
    <m/>
    <s v="Produto 11"/>
    <n v="300"/>
    <n v="21.1"/>
    <s v="PC"/>
    <n v="0"/>
    <n v="5008"/>
    <x v="3"/>
    <n v="0"/>
    <n v="1"/>
    <n v="300"/>
    <n v="6330"/>
    <x v="0"/>
    <x v="0"/>
  </r>
  <r>
    <n v="15583785440"/>
    <n v="5"/>
    <d v="2021-12-10T00:00:00"/>
    <n v="14772821922"/>
    <s v="Comprador 05"/>
    <n v="0"/>
    <m/>
    <s v="Atendido"/>
    <n v="14980702561"/>
    <s v="ICHP.00.0006"/>
    <m/>
    <s v="Produto 10"/>
    <n v="24620"/>
    <n v="9.15"/>
    <s v="KG"/>
    <n v="0"/>
    <m/>
    <x v="4"/>
    <n v="0"/>
    <n v="1"/>
    <n v="24620"/>
    <n v="225273"/>
    <x v="0"/>
    <x v="0"/>
  </r>
  <r>
    <n v="15634553057"/>
    <n v="6"/>
    <d v="2021-12-20T00:00:00"/>
    <n v="15139603329"/>
    <s v="Comprador 09"/>
    <n v="0"/>
    <m/>
    <s v="Atendido"/>
    <n v="15016073255"/>
    <s v="PRFL.00.0023"/>
    <m/>
    <s v="Produto 08"/>
    <n v="2520"/>
    <n v="13.9"/>
    <s v="PC"/>
    <n v="0"/>
    <n v="4955"/>
    <x v="5"/>
    <n v="0"/>
    <n v="1"/>
    <n v="2520"/>
    <n v="35028"/>
    <x v="0"/>
    <x v="0"/>
  </r>
  <r>
    <n v="15634593361"/>
    <n v="7"/>
    <d v="2021-12-20T00:00:00"/>
    <n v="15478914765"/>
    <s v="Comprador 17"/>
    <n v="0"/>
    <m/>
    <s v="Atendido"/>
    <n v="15395751673"/>
    <s v="PRFL.00.0039"/>
    <m/>
    <s v="Produto 15"/>
    <n v="700"/>
    <n v="7.14"/>
    <s v="PC"/>
    <n v="0"/>
    <n v="5094"/>
    <x v="1"/>
    <n v="0"/>
    <n v="1.1000000000000001"/>
    <n v="770.00000000000011"/>
    <n v="4998"/>
    <x v="0"/>
    <x v="0"/>
  </r>
  <r>
    <n v="15634894365"/>
    <n v="8"/>
    <d v="2021-12-20T00:00:00"/>
    <n v="15603445654"/>
    <s v="Comprador 03"/>
    <n v="0"/>
    <m/>
    <s v="Atendido"/>
    <n v="14981306750"/>
    <s v="MTUC.00.0003"/>
    <m/>
    <s v="Produto 12"/>
    <n v="2"/>
    <n v="213.26"/>
    <s v="RL"/>
    <n v="0"/>
    <n v="5082"/>
    <x v="6"/>
    <n v="0"/>
    <n v="1"/>
    <n v="2"/>
    <n v="426.52"/>
    <x v="0"/>
    <x v="0"/>
  </r>
  <r>
    <n v="15635001792"/>
    <n v="9"/>
    <d v="2021-12-20T00:00:00"/>
    <n v="15603436233"/>
    <s v="Comprador 03"/>
    <n v="0"/>
    <m/>
    <s v="Atendido"/>
    <n v="15634854583"/>
    <s v="SRV0.00.0012"/>
    <m/>
    <s v="Produto 10"/>
    <n v="1"/>
    <n v="1600"/>
    <m/>
    <n v="0"/>
    <n v="5085"/>
    <x v="4"/>
    <n v="0"/>
    <n v="1"/>
    <n v="1"/>
    <n v="1600"/>
    <x v="0"/>
    <x v="0"/>
  </r>
  <r>
    <n v="15635057711"/>
    <n v="10"/>
    <d v="2021-12-20T00:00:00"/>
    <n v="15603436233"/>
    <s v="Comprador 13"/>
    <n v="0"/>
    <m/>
    <s v="Atendido"/>
    <n v="15634854583"/>
    <s v="SRV0.00.0012"/>
    <m/>
    <s v="Produto 13"/>
    <n v="2"/>
    <n v="1950"/>
    <m/>
    <n v="0"/>
    <n v="5085"/>
    <x v="7"/>
    <n v="0"/>
    <n v="0.4"/>
    <n v="0.8"/>
    <n v="3900"/>
    <x v="0"/>
    <x v="0"/>
  </r>
  <r>
    <n v="15656137428"/>
    <n v="11"/>
    <d v="2021-12-22T00:00:00"/>
    <n v="15130445011"/>
    <s v="Comprador 09"/>
    <n v="0"/>
    <m/>
    <s v="Atendido"/>
    <n v="14981313809"/>
    <s v="ICHP.00.0001"/>
    <m/>
    <s v="Produto 13"/>
    <n v="20402"/>
    <n v="9.1999999999999993"/>
    <s v="KG"/>
    <n v="0"/>
    <m/>
    <x v="7"/>
    <n v="0"/>
    <n v="0.4"/>
    <n v="8160.8"/>
    <n v="187698.4"/>
    <x v="0"/>
    <x v="0"/>
  </r>
  <r>
    <n v="15656216577"/>
    <n v="12"/>
    <d v="2021-12-22T00:00:00"/>
    <n v="15139603329"/>
    <s v="Comprador 12"/>
    <n v="0"/>
    <m/>
    <s v="Atendido"/>
    <n v="15016073255"/>
    <s v="PRFL.00.0023"/>
    <m/>
    <s v="Produto 03"/>
    <n v="4620"/>
    <n v="13.9"/>
    <s v="PC"/>
    <n v="0"/>
    <n v="5095"/>
    <x v="8"/>
    <n v="0.05"/>
    <n v="1"/>
    <n v="4620"/>
    <n v="67428.899999999994"/>
    <x v="0"/>
    <x v="0"/>
  </r>
  <r>
    <n v="15656216577"/>
    <n v="12"/>
    <d v="2021-12-22T00:00:00"/>
    <n v="15139603329"/>
    <s v="Comprador 10"/>
    <n v="0"/>
    <m/>
    <s v="Atendido"/>
    <n v="15016093155"/>
    <s v="PRFL.00.0026"/>
    <m/>
    <s v="Produto 08"/>
    <n v="900"/>
    <n v="21.1"/>
    <s v="PC"/>
    <n v="0"/>
    <n v="5095"/>
    <x v="5"/>
    <n v="0"/>
    <n v="1"/>
    <n v="900"/>
    <n v="18990"/>
    <x v="0"/>
    <x v="0"/>
  </r>
  <r>
    <n v="15656379350"/>
    <n v="13"/>
    <d v="2021-12-22T00:00:00"/>
    <n v="15018323304"/>
    <s v="Comprador 18"/>
    <n v="0"/>
    <m/>
    <s v="Atendido"/>
    <n v="14981313809"/>
    <s v="ICHP.00.0001"/>
    <m/>
    <s v="Produto 10"/>
    <n v="25497"/>
    <n v="9.3800000000000008"/>
    <s v="KG"/>
    <n v="0"/>
    <m/>
    <x v="4"/>
    <n v="0"/>
    <n v="1"/>
    <n v="25497"/>
    <n v="239161.86000000002"/>
    <x v="0"/>
    <x v="0"/>
  </r>
  <r>
    <n v="15656392237"/>
    <n v="14"/>
    <d v="2021-12-22T00:00:00"/>
    <n v="15018323304"/>
    <s v="Comprador 14"/>
    <n v="0"/>
    <m/>
    <s v="Atendido"/>
    <n v="14981313809"/>
    <s v="ICHP.00.0001"/>
    <m/>
    <s v="Produto 04"/>
    <n v="7100"/>
    <n v="9.65"/>
    <s v="KG"/>
    <n v="0"/>
    <m/>
    <x v="9"/>
    <n v="0"/>
    <n v="1.1000000000000001"/>
    <n v="7810.0000000000009"/>
    <n v="68515"/>
    <x v="0"/>
    <x v="0"/>
  </r>
  <r>
    <n v="15656403917"/>
    <n v="15"/>
    <d v="2021-12-22T00:00:00"/>
    <n v="15018323304"/>
    <s v="Comprador 11"/>
    <n v="0"/>
    <m/>
    <s v="Atendido"/>
    <n v="14981313809"/>
    <s v="ICHP.00.0001"/>
    <m/>
    <s v="Produto 03"/>
    <n v="7510"/>
    <n v="9.35"/>
    <s v="KG"/>
    <n v="0"/>
    <m/>
    <x v="8"/>
    <n v="0.05"/>
    <n v="1"/>
    <n v="7510"/>
    <n v="73729.425000000003"/>
    <x v="0"/>
    <x v="0"/>
  </r>
  <r>
    <n v="15656417923"/>
    <n v="16"/>
    <d v="2021-12-22T00:00:00"/>
    <n v="15018323304"/>
    <s v="Comprador 16"/>
    <n v="0"/>
    <m/>
    <s v="Atendido"/>
    <n v="14981313809"/>
    <s v="ICHP.00.0001"/>
    <m/>
    <s v="Produto 05"/>
    <n v="23476"/>
    <n v="9.48"/>
    <s v="KG"/>
    <n v="0"/>
    <m/>
    <x v="10"/>
    <n v="0"/>
    <n v="1.42"/>
    <n v="33335.919999999998"/>
    <n v="222552.48"/>
    <x v="0"/>
    <x v="0"/>
  </r>
  <r>
    <n v="15656431575"/>
    <n v="17"/>
    <d v="2021-12-22T00:00:00"/>
    <n v="15018323304"/>
    <s v="Comprador 11"/>
    <n v="0"/>
    <m/>
    <s v="Atendido"/>
    <n v="14981313809"/>
    <s v="ICHP.00.0001"/>
    <m/>
    <s v="Produto 10"/>
    <n v="26808"/>
    <n v="9.1999999999999993"/>
    <s v="KG"/>
    <n v="0"/>
    <m/>
    <x v="4"/>
    <n v="0"/>
    <n v="1"/>
    <n v="26808"/>
    <n v="246633.59999999998"/>
    <x v="0"/>
    <x v="0"/>
  </r>
  <r>
    <n v="15656455702"/>
    <n v="18"/>
    <d v="2021-12-22T00:00:00"/>
    <n v="15478914765"/>
    <s v="Comprador 08"/>
    <n v="0"/>
    <m/>
    <s v="Atendido"/>
    <n v="15395751673"/>
    <s v="PRFL.00.0039"/>
    <m/>
    <s v="Produto 13"/>
    <n v="1700"/>
    <n v="7.14"/>
    <s v="PC"/>
    <n v="0"/>
    <n v="5094"/>
    <x v="7"/>
    <n v="0"/>
    <n v="0.4"/>
    <n v="680"/>
    <n v="12138"/>
    <x v="0"/>
    <x v="0"/>
  </r>
  <r>
    <n v="15656725936"/>
    <n v="19"/>
    <d v="2021-12-22T00:00:00"/>
    <n v="14772821922"/>
    <s v="Comprador 15"/>
    <n v="0"/>
    <m/>
    <s v="Atendido"/>
    <n v="14980702561"/>
    <s v="ICHP.00.0006"/>
    <m/>
    <s v="Produto 15"/>
    <n v="23968"/>
    <n v="9.77"/>
    <s v="KG"/>
    <n v="0"/>
    <n v="3646"/>
    <x v="1"/>
    <n v="0"/>
    <n v="1.1000000000000001"/>
    <n v="26364.800000000003"/>
    <n v="234167.36"/>
    <x v="0"/>
    <x v="0"/>
  </r>
  <r>
    <n v="15656740402"/>
    <n v="20"/>
    <d v="2021-12-22T00:00:00"/>
    <n v="14772821922"/>
    <s v="Comprador 13"/>
    <n v="0"/>
    <m/>
    <s v="Atendido"/>
    <n v="14980702561"/>
    <s v="ICHP.00.0006"/>
    <m/>
    <s v="Produto 01"/>
    <n v="13440"/>
    <n v="9.3000000000000007"/>
    <s v="KG"/>
    <n v="0"/>
    <n v="3977"/>
    <x v="2"/>
    <n v="0"/>
    <n v="1.1000000000000001"/>
    <n v="14784.000000000002"/>
    <n v="124992.00000000001"/>
    <x v="0"/>
    <x v="0"/>
  </r>
  <r>
    <n v="15656778040"/>
    <n v="21"/>
    <d v="2021-12-22T00:00:00"/>
    <n v="14772821922"/>
    <s v="Comprador 13"/>
    <n v="0"/>
    <m/>
    <s v="Atendido"/>
    <n v="14980702561"/>
    <s v="ICHP.00.0006"/>
    <m/>
    <s v="Produto 10"/>
    <n v="11818"/>
    <n v="9.3000000000000007"/>
    <s v="KG"/>
    <n v="0"/>
    <n v="4013"/>
    <x v="4"/>
    <n v="0"/>
    <n v="1"/>
    <n v="11818"/>
    <n v="109907.40000000001"/>
    <x v="0"/>
    <x v="0"/>
  </r>
  <r>
    <n v="15656795929"/>
    <n v="22"/>
    <d v="2021-12-22T00:00:00"/>
    <n v="14772821922"/>
    <s v="Comprador 03"/>
    <n v="0"/>
    <m/>
    <s v="Atendido"/>
    <n v="14980702561"/>
    <s v="ICHP.00.0006"/>
    <m/>
    <s v="Produto 05"/>
    <n v="8588"/>
    <n v="9.3000000000000007"/>
    <s v="KG"/>
    <n v="0"/>
    <n v="4118"/>
    <x v="10"/>
    <n v="0"/>
    <n v="1.42"/>
    <n v="12194.96"/>
    <n v="79868.400000000009"/>
    <x v="0"/>
    <x v="0"/>
  </r>
  <r>
    <n v="15656813379"/>
    <n v="23"/>
    <d v="2021-12-22T00:00:00"/>
    <n v="14772821922"/>
    <s v="Comprador 02"/>
    <n v="0"/>
    <m/>
    <s v="Atendido"/>
    <n v="14980702561"/>
    <s v="ICHP.00.0006"/>
    <m/>
    <s v="Produto 05"/>
    <n v="14106"/>
    <n v="7.93"/>
    <s v="KG"/>
    <n v="0"/>
    <n v="4606"/>
    <x v="10"/>
    <n v="0"/>
    <n v="1.42"/>
    <n v="20030.52"/>
    <n v="111860.58"/>
    <x v="0"/>
    <x v="0"/>
  </r>
  <r>
    <n v="15656822711"/>
    <n v="24"/>
    <d v="2021-12-22T00:00:00"/>
    <n v="14772821922"/>
    <s v="Comprador 01"/>
    <n v="0"/>
    <m/>
    <s v="Atendido"/>
    <n v="14980702561"/>
    <s v="ICHP.00.0006"/>
    <m/>
    <s v="Produto 04"/>
    <n v="27695"/>
    <n v="8.98"/>
    <s v="KG"/>
    <n v="0"/>
    <n v="4606"/>
    <x v="9"/>
    <n v="0"/>
    <n v="1.1000000000000001"/>
    <n v="30464.500000000004"/>
    <n v="248701.1"/>
    <x v="0"/>
    <x v="0"/>
  </r>
  <r>
    <n v="15656842731"/>
    <n v="25"/>
    <d v="2021-12-22T00:00:00"/>
    <n v="14772821922"/>
    <s v="Comprador 04"/>
    <n v="0"/>
    <m/>
    <s v="Atendido"/>
    <n v="14980702561"/>
    <s v="ICHP.00.0006"/>
    <m/>
    <s v="Produto 14"/>
    <n v="25188"/>
    <n v="9.5"/>
    <s v="KG"/>
    <n v="0"/>
    <n v="4730"/>
    <x v="11"/>
    <n v="0"/>
    <n v="1.68"/>
    <n v="42315.839999999997"/>
    <n v="239286"/>
    <x v="0"/>
    <x v="0"/>
  </r>
  <r>
    <n v="15656853363"/>
    <n v="26"/>
    <d v="2021-12-22T00:00:00"/>
    <n v="14772821922"/>
    <s v="Comprador 14"/>
    <n v="0"/>
    <m/>
    <s v="Atendido"/>
    <n v="14980702561"/>
    <s v="ICHP.00.0006"/>
    <m/>
    <s v="Produto 01"/>
    <n v="25043"/>
    <n v="9.4"/>
    <s v="KG"/>
    <n v="0"/>
    <n v="4748"/>
    <x v="2"/>
    <n v="0"/>
    <n v="1.1000000000000001"/>
    <n v="27547.300000000003"/>
    <n v="235404.2"/>
    <x v="0"/>
    <x v="0"/>
  </r>
  <r>
    <n v="15656876602"/>
    <n v="27"/>
    <d v="2021-12-22T00:00:00"/>
    <n v="15450924520"/>
    <s v="Comprador 12"/>
    <n v="0"/>
    <m/>
    <s v="Atendido"/>
    <n v="14980702561"/>
    <s v="ICHP.00.0006"/>
    <m/>
    <s v="Produto 12"/>
    <n v="22885"/>
    <n v="8.75"/>
    <s v="KG"/>
    <n v="0"/>
    <n v="4842"/>
    <x v="6"/>
    <n v="0"/>
    <n v="1"/>
    <n v="22885"/>
    <n v="200243.75"/>
    <x v="0"/>
    <x v="0"/>
  </r>
  <r>
    <n v="15657069663"/>
    <n v="28"/>
    <d v="2021-12-22T00:00:00"/>
    <n v="14979221560"/>
    <s v="Comprador 20"/>
    <n v="0"/>
    <m/>
    <s v="Atendido"/>
    <n v="14979354095"/>
    <s v="INDS.00.0001"/>
    <n v="50790031"/>
    <s v="Produto 03"/>
    <n v="23968"/>
    <n v="0.18"/>
    <s v="TO"/>
    <n v="0"/>
    <n v="3682"/>
    <x v="8"/>
    <n v="0.05"/>
    <n v="1"/>
    <n v="23968"/>
    <n v="4529.9519999999993"/>
    <x v="0"/>
    <x v="0"/>
  </r>
  <r>
    <n v="15657078733"/>
    <n v="29"/>
    <d v="2021-12-22T00:00:00"/>
    <n v="14979221560"/>
    <s v="Comprador 13"/>
    <n v="0"/>
    <m/>
    <s v="Atendido"/>
    <n v="14979354095"/>
    <s v="INDS.00.0001"/>
    <n v="50790031"/>
    <s v="Produto 15"/>
    <n v="30773"/>
    <n v="0.18"/>
    <s v="TO"/>
    <n v="0"/>
    <s v="3983/4041/4132"/>
    <x v="1"/>
    <n v="0"/>
    <n v="1.1000000000000001"/>
    <n v="33850.300000000003"/>
    <n v="5539.1399999999994"/>
    <x v="0"/>
    <x v="0"/>
  </r>
  <r>
    <n v="15657087809"/>
    <n v="30"/>
    <d v="2021-12-22T00:00:00"/>
    <n v="14979221560"/>
    <s v="Comprador 20"/>
    <n v="0"/>
    <m/>
    <s v="Atendido"/>
    <n v="14979354095"/>
    <s v="INDS.00.0001"/>
    <n v="50790031"/>
    <s v="Produto 11"/>
    <n v="42704"/>
    <n v="0.18"/>
    <s v="TO"/>
    <n v="0"/>
    <s v="4235/4287/4348"/>
    <x v="3"/>
    <n v="0"/>
    <n v="1"/>
    <n v="42704"/>
    <n v="7686.7199999999993"/>
    <x v="0"/>
    <x v="0"/>
  </r>
  <r>
    <n v="15657095851"/>
    <n v="31"/>
    <d v="2021-12-22T00:00:00"/>
    <n v="14979221560"/>
    <s v="Comprador 08"/>
    <n v="0"/>
    <m/>
    <s v="Atendido"/>
    <n v="14979354095"/>
    <s v="INDS.00.0001"/>
    <n v="50790031"/>
    <s v="Produto 15"/>
    <n v="59789"/>
    <n v="0.18"/>
    <s v="TO"/>
    <n v="0"/>
    <s v="4541/4563/4579/4600/4617/4626"/>
    <x v="1"/>
    <n v="0"/>
    <n v="1.1000000000000001"/>
    <n v="65767.900000000009"/>
    <n v="10762.02"/>
    <x v="0"/>
    <x v="0"/>
  </r>
  <r>
    <n v="15657105737"/>
    <n v="32"/>
    <d v="2021-12-22T00:00:00"/>
    <n v="14979221560"/>
    <s v="Comprador 02"/>
    <n v="0"/>
    <m/>
    <s v="Atendido"/>
    <n v="14979354095"/>
    <s v="INDS.00.0001"/>
    <n v="50790031"/>
    <s v="Produto 15"/>
    <n v="87863"/>
    <n v="0.18"/>
    <s v="TO"/>
    <n v="0"/>
    <s v="4706/4723/4745/4763/4770/4836/"/>
    <x v="1"/>
    <n v="0"/>
    <n v="1.1000000000000001"/>
    <n v="96649.3"/>
    <n v="15815.34"/>
    <x v="0"/>
    <x v="0"/>
  </r>
  <r>
    <n v="15657118424"/>
    <n v="33"/>
    <d v="2021-12-22T00:00:00"/>
    <n v="14979221560"/>
    <s v="Comprador 19"/>
    <n v="0"/>
    <m/>
    <s v="Atendido"/>
    <n v="14979354095"/>
    <s v="INDS.00.0001"/>
    <n v="50790031"/>
    <s v="Produto 15"/>
    <n v="97789"/>
    <n v="0.18"/>
    <s v="TO"/>
    <n v="0"/>
    <s v="4954/4957/4966/5009/5060/5062"/>
    <x v="1"/>
    <n v="0"/>
    <n v="1.1000000000000001"/>
    <n v="107567.90000000001"/>
    <n v="17602.02"/>
    <x v="0"/>
    <x v="0"/>
  </r>
  <r>
    <n v="15657154163"/>
    <n v="34"/>
    <d v="2021-12-22T00:00:00"/>
    <n v="15130445011"/>
    <s v="Comprador 20"/>
    <n v="0"/>
    <m/>
    <s v="Atendido"/>
    <n v="14981313809"/>
    <s v="ICHP.00.0001"/>
    <m/>
    <s v="Produto 01"/>
    <n v="20690"/>
    <n v="9.35"/>
    <s v="KG"/>
    <n v="0"/>
    <n v="4597"/>
    <x v="2"/>
    <n v="0"/>
    <n v="1.1000000000000001"/>
    <n v="22759.000000000004"/>
    <n v="193451.5"/>
    <x v="0"/>
    <x v="0"/>
  </r>
  <r>
    <n v="15657181694"/>
    <n v="35"/>
    <d v="2021-12-22T00:00:00"/>
    <n v="15603436233"/>
    <s v="Comprador 16"/>
    <n v="0"/>
    <m/>
    <s v="Atendido"/>
    <n v="15634854583"/>
    <s v="SRV0.00.0012"/>
    <m/>
    <s v="Produto 16"/>
    <n v="1"/>
    <n v="700"/>
    <s v="KG"/>
    <n v="0"/>
    <n v="5016"/>
    <x v="0"/>
    <n v="0.05"/>
    <n v="1"/>
    <n v="1"/>
    <n v="735"/>
    <x v="0"/>
    <x v="0"/>
  </r>
  <r>
    <n v="15657200117"/>
    <n v="36"/>
    <d v="2021-12-22T00:00:00"/>
    <n v="15603436233"/>
    <s v="Comprador 06"/>
    <n v="0"/>
    <m/>
    <s v="Atendido"/>
    <n v="15634854583"/>
    <s v="SRV0.00.0012"/>
    <m/>
    <s v="Produto 15"/>
    <n v="6"/>
    <n v="1600"/>
    <s v="KG"/>
    <n v="0"/>
    <s v="4568/4674/4737/4820/4212"/>
    <x v="1"/>
    <n v="0"/>
    <n v="1.1000000000000001"/>
    <n v="6.6000000000000005"/>
    <n v="9600"/>
    <x v="0"/>
    <x v="0"/>
  </r>
  <r>
    <n v="15657200117"/>
    <n v="36"/>
    <d v="2021-12-22T00:00:00"/>
    <n v="15603436233"/>
    <s v="Comprador 11"/>
    <n v="0"/>
    <m/>
    <s v="Atendido"/>
    <n v="15634854583"/>
    <s v="SRV0.00.0012"/>
    <m/>
    <s v="Produto 07"/>
    <n v="1"/>
    <n v="1532.22"/>
    <s v="KG"/>
    <n v="0"/>
    <s v="4568/4674/4737/4820/4212"/>
    <x v="12"/>
    <n v="0"/>
    <n v="0.5"/>
    <n v="0.5"/>
    <n v="1532.22"/>
    <x v="0"/>
    <x v="0"/>
  </r>
  <r>
    <n v="15657315090"/>
    <n v="37"/>
    <d v="2021-12-22T00:00:00"/>
    <n v="15506057572"/>
    <s v="Comprador 01"/>
    <n v="0"/>
    <m/>
    <s v="Atendido"/>
    <n v="15657228743"/>
    <s v="INDS.00.0003"/>
    <m/>
    <s v="Produto 09"/>
    <n v="1"/>
    <n v="5460"/>
    <s v="KG"/>
    <n v="0"/>
    <s v="4538/4833"/>
    <x v="13"/>
    <n v="0"/>
    <n v="1"/>
    <n v="1"/>
    <n v="5460"/>
    <x v="0"/>
    <x v="0"/>
  </r>
  <r>
    <n v="15657315090"/>
    <n v="37"/>
    <d v="2021-12-22T00:00:00"/>
    <n v="15506057572"/>
    <s v="Comprador 20"/>
    <n v="0"/>
    <m/>
    <s v="Atendido"/>
    <n v="15657228743"/>
    <s v="INDS.00.0003"/>
    <m/>
    <s v="Produto 06"/>
    <n v="1"/>
    <n v="2940"/>
    <s v="KG"/>
    <n v="0"/>
    <s v="4538/4833"/>
    <x v="14"/>
    <n v="0"/>
    <n v="1.1000000000000001"/>
    <n v="1.1000000000000001"/>
    <n v="2940"/>
    <x v="0"/>
    <x v="0"/>
  </r>
  <r>
    <n v="15664190124"/>
    <n v="38"/>
    <d v="2021-12-23T00:00:00"/>
    <n v="14772821922"/>
    <s v="Comprador 02"/>
    <n v="0"/>
    <m/>
    <s v="Atendido"/>
    <n v="14980702561"/>
    <s v="ICHP.00.0006"/>
    <m/>
    <s v="Produto 09"/>
    <n v="15214"/>
    <n v="9.1"/>
    <s v="KG"/>
    <n v="0"/>
    <n v="5138"/>
    <x v="13"/>
    <n v="0"/>
    <n v="1"/>
    <n v="15214"/>
    <n v="138447.4"/>
    <x v="0"/>
    <x v="0"/>
  </r>
  <r>
    <n v="15765793815"/>
    <n v="39"/>
    <d v="2022-01-07T00:00:00"/>
    <n v="15612894064"/>
    <s v="Comprador 15"/>
    <n v="0"/>
    <m/>
    <s v="Atendido"/>
    <n v="15505704439"/>
    <s v="SRV0.00.0001"/>
    <m/>
    <s v="Produto 01"/>
    <n v="20402"/>
    <n v="0.25"/>
    <s v="KG"/>
    <n v="0"/>
    <s v="005157 / 005192 "/>
    <x v="2"/>
    <n v="0"/>
    <n v="1.1000000000000001"/>
    <n v="22442.2"/>
    <n v="5100.5"/>
    <x v="1"/>
    <x v="1"/>
  </r>
  <r>
    <n v="15765833563"/>
    <n v="40"/>
    <d v="2022-01-07T00:00:00"/>
    <n v="15615465528"/>
    <s v="Comprador 11"/>
    <n v="0"/>
    <m/>
    <s v="Atendido"/>
    <n v="14981306750"/>
    <s v="MTUC.00.0003"/>
    <m/>
    <s v="Produto 06"/>
    <n v="4"/>
    <n v="150"/>
    <s v="RL"/>
    <n v="0"/>
    <n v="5191"/>
    <x v="14"/>
    <n v="0"/>
    <n v="1.1000000000000001"/>
    <n v="4.4000000000000004"/>
    <n v="600"/>
    <x v="1"/>
    <x v="1"/>
  </r>
  <r>
    <n v="15767585396"/>
    <n v="41"/>
    <d v="2022-01-07T00:00:00"/>
    <n v="15615669447"/>
    <s v="Comprador 18"/>
    <n v="0"/>
    <m/>
    <s v="Atendido"/>
    <n v="15515026542"/>
    <s v="PMV0.00.0010"/>
    <m/>
    <s v="Produto 02"/>
    <n v="2"/>
    <n v="335"/>
    <s v="UN"/>
    <n v="0"/>
    <n v="5193"/>
    <x v="15"/>
    <n v="0.05"/>
    <n v="1"/>
    <n v="2"/>
    <n v="703.5"/>
    <x v="1"/>
    <x v="1"/>
  </r>
  <r>
    <n v="15786585521"/>
    <n v="42"/>
    <d v="2022-01-10T00:00:00"/>
    <n v="15478914765"/>
    <s v="Comprador 20"/>
    <n v="0"/>
    <m/>
    <s v="Atendido"/>
    <n v="15290493701"/>
    <s v="PRFL.00.0030"/>
    <m/>
    <s v="Produto 02"/>
    <n v="500"/>
    <n v="6.46"/>
    <s v="PC"/>
    <n v="0"/>
    <n v="5213"/>
    <x v="15"/>
    <n v="0.05"/>
    <n v="1"/>
    <n v="500"/>
    <n v="3391.5"/>
    <x v="1"/>
    <x v="1"/>
  </r>
  <r>
    <n v="15786585521"/>
    <n v="42"/>
    <d v="2022-01-10T00:00:00"/>
    <n v="15478914765"/>
    <s v="Comprador 04"/>
    <n v="0"/>
    <m/>
    <s v="Atendido"/>
    <n v="15395751673"/>
    <s v="PRFL.00.0039"/>
    <m/>
    <s v="Produto 13"/>
    <n v="1000"/>
    <n v="7.14"/>
    <s v="PC"/>
    <n v="0"/>
    <n v="5213"/>
    <x v="7"/>
    <n v="0"/>
    <n v="0.4"/>
    <n v="400"/>
    <n v="7140"/>
    <x v="1"/>
    <x v="1"/>
  </r>
  <r>
    <n v="15786665795"/>
    <n v="43"/>
    <d v="2022-01-10T00:00:00"/>
    <n v="14979221560"/>
    <s v="Comprador 11"/>
    <n v="0"/>
    <m/>
    <s v="Atendido"/>
    <n v="14979354095"/>
    <s v="INDS.00.0001"/>
    <n v="50790031"/>
    <s v="Produto 07"/>
    <n v="15214"/>
    <n v="0.18"/>
    <s v="TO"/>
    <n v="0"/>
    <n v="5215"/>
    <x v="12"/>
    <n v="0"/>
    <n v="0.5"/>
    <n v="7607"/>
    <n v="2738.52"/>
    <x v="1"/>
    <x v="1"/>
  </r>
  <r>
    <n v="15804839090"/>
    <n v="44"/>
    <d v="2022-01-12T00:00:00"/>
    <n v="15139603329"/>
    <s v="Comprador 10"/>
    <n v="0"/>
    <m/>
    <s v="Atendido"/>
    <n v="15016073255"/>
    <s v="PRFL.00.0023"/>
    <m/>
    <s v="Produto 05"/>
    <n v="6720"/>
    <n v="13.9"/>
    <s v="PC"/>
    <n v="0"/>
    <n v="5225"/>
    <x v="10"/>
    <n v="0"/>
    <n v="1.42"/>
    <n v="9542.4"/>
    <n v="93408"/>
    <x v="1"/>
    <x v="1"/>
  </r>
  <r>
    <n v="15804839090"/>
    <n v="44"/>
    <d v="2022-01-12T00:00:00"/>
    <n v="15139603329"/>
    <s v="Comprador 08"/>
    <n v="0"/>
    <m/>
    <s v="Atendido"/>
    <n v="15016093155"/>
    <s v="PRFL.00.0026"/>
    <m/>
    <s v="Produto 13"/>
    <n v="350"/>
    <n v="21.1"/>
    <s v="PC"/>
    <n v="0"/>
    <n v="5225"/>
    <x v="7"/>
    <n v="0"/>
    <n v="0.4"/>
    <n v="140"/>
    <n v="7385.0000000000009"/>
    <x v="1"/>
    <x v="1"/>
  </r>
  <r>
    <n v="15804839090"/>
    <n v="44"/>
    <d v="2022-01-12T00:00:00"/>
    <n v="15139603329"/>
    <s v="Comprador 15"/>
    <n v="0"/>
    <m/>
    <s v="Atendido"/>
    <n v="15139667431"/>
    <s v="PRFL.00.0028"/>
    <m/>
    <s v="Produto 01"/>
    <n v="300"/>
    <n v="23.5"/>
    <s v="PC"/>
    <n v="0"/>
    <n v="5225"/>
    <x v="2"/>
    <n v="0"/>
    <n v="1.1000000000000001"/>
    <n v="330"/>
    <n v="7050"/>
    <x v="1"/>
    <x v="1"/>
  </r>
  <r>
    <n v="15824177907"/>
    <n v="45"/>
    <d v="2022-01-14T00:00:00"/>
    <n v="15139603329"/>
    <s v="Comprador 13"/>
    <n v="0"/>
    <m/>
    <s v="Atendido"/>
    <n v="15016073255"/>
    <s v="PRFL.00.0023"/>
    <m/>
    <s v="Produto 12"/>
    <n v="840"/>
    <n v="14.2"/>
    <s v="PC"/>
    <n v="0"/>
    <n v="4594"/>
    <x v="6"/>
    <n v="0"/>
    <n v="1"/>
    <n v="840"/>
    <n v="11928"/>
    <x v="1"/>
    <x v="1"/>
  </r>
  <r>
    <n v="15824177907"/>
    <n v="45"/>
    <d v="2022-01-14T00:00:00"/>
    <n v="15139603329"/>
    <s v="Comprador 03"/>
    <n v="0"/>
    <m/>
    <s v="Atendido"/>
    <n v="15016093155"/>
    <s v="PRFL.00.0026"/>
    <m/>
    <s v="Produto 11"/>
    <n v="1200"/>
    <n v="22.25"/>
    <s v="PC"/>
    <n v="0"/>
    <n v="4594"/>
    <x v="3"/>
    <n v="0"/>
    <n v="1"/>
    <n v="1200"/>
    <n v="26700"/>
    <x v="1"/>
    <x v="1"/>
  </r>
  <r>
    <n v="15824177907"/>
    <n v="45"/>
    <d v="2022-01-14T00:00:00"/>
    <n v="15139603329"/>
    <s v="Comprador 17"/>
    <n v="0"/>
    <m/>
    <s v="Atendido"/>
    <n v="15139667431"/>
    <s v="PRFL.00.0028"/>
    <m/>
    <s v="Produto 04"/>
    <n v="1400"/>
    <n v="19.850000000000001"/>
    <s v="PC"/>
    <n v="0"/>
    <n v="4594"/>
    <x v="9"/>
    <n v="0"/>
    <n v="1.1000000000000001"/>
    <n v="1540.0000000000002"/>
    <n v="27790.000000000004"/>
    <x v="1"/>
    <x v="1"/>
  </r>
  <r>
    <n v="15824177907"/>
    <n v="45"/>
    <d v="2022-01-14T00:00:00"/>
    <n v="15139603329"/>
    <s v="Comprador 13"/>
    <n v="0"/>
    <m/>
    <s v="Atendido"/>
    <n v="15016066088"/>
    <s v="PRFL.00.0022"/>
    <m/>
    <s v="Produto 03"/>
    <n v="840"/>
    <n v="13"/>
    <s v="PC"/>
    <n v="0"/>
    <n v="4594"/>
    <x v="8"/>
    <n v="0.05"/>
    <n v="1"/>
    <n v="840"/>
    <n v="11466"/>
    <x v="1"/>
    <x v="1"/>
  </r>
  <r>
    <n v="15824237214"/>
    <n v="46"/>
    <d v="2022-01-14T00:00:00"/>
    <n v="15139603329"/>
    <s v="Comprador 04"/>
    <n v="0"/>
    <m/>
    <s v="Atendido"/>
    <n v="15016073255"/>
    <s v="PRFL.00.0023"/>
    <m/>
    <s v="Produto 14"/>
    <n v="2520"/>
    <n v="14.2"/>
    <s v="PC"/>
    <n v="0"/>
    <n v="4741"/>
    <x v="11"/>
    <n v="0"/>
    <n v="1.68"/>
    <n v="4233.5999999999995"/>
    <n v="35784"/>
    <x v="1"/>
    <x v="1"/>
  </r>
  <r>
    <n v="15824299611"/>
    <n v="47"/>
    <d v="2022-01-14T00:00:00"/>
    <n v="14772879804"/>
    <s v="Comprador 14"/>
    <n v="0"/>
    <m/>
    <s v="Atendido"/>
    <n v="14981313809"/>
    <s v="ICHP.00.0001"/>
    <m/>
    <s v="Produto 11"/>
    <n v="2349"/>
    <n v="10.5"/>
    <s v="KG"/>
    <n v="0"/>
    <n v="4317"/>
    <x v="3"/>
    <n v="0"/>
    <n v="1"/>
    <n v="2349"/>
    <n v="24664.5"/>
    <x v="1"/>
    <x v="1"/>
  </r>
  <r>
    <n v="15824299611"/>
    <n v="47"/>
    <d v="2022-01-14T00:00:00"/>
    <n v="14772879804"/>
    <s v="Comprador 07"/>
    <n v="0"/>
    <m/>
    <s v="Atendido"/>
    <n v="14981313809"/>
    <s v="ICHP.00.0001"/>
    <m/>
    <s v="Produto 03"/>
    <n v="6270"/>
    <n v="10.6"/>
    <s v="KG"/>
    <n v="0"/>
    <n v="4317"/>
    <x v="8"/>
    <n v="0.05"/>
    <n v="1"/>
    <n v="6270"/>
    <n v="69785.100000000006"/>
    <x v="1"/>
    <x v="1"/>
  </r>
  <r>
    <n v="15824311715"/>
    <n v="48"/>
    <d v="2022-01-14T00:00:00"/>
    <n v="14981313759"/>
    <s v="Comprador 11"/>
    <n v="0"/>
    <m/>
    <s v="Atendido"/>
    <n v="14981313809"/>
    <s v="ICHP.00.0001"/>
    <n v="1277"/>
    <s v="Produto 13"/>
    <n v="7732"/>
    <n v="9.35"/>
    <s v="KG"/>
    <n v="0"/>
    <n v="4397"/>
    <x v="7"/>
    <n v="0"/>
    <n v="0.4"/>
    <n v="3092.8"/>
    <n v="72294.2"/>
    <x v="1"/>
    <x v="1"/>
  </r>
  <r>
    <n v="15824338077"/>
    <n v="49"/>
    <d v="2022-01-14T00:00:00"/>
    <n v="14981313759"/>
    <s v="Comprador 15"/>
    <n v="0"/>
    <m/>
    <s v="Atendido"/>
    <n v="14980996381"/>
    <s v="ICHP.00.0005"/>
    <m/>
    <s v="Produto 04"/>
    <n v="8378"/>
    <n v="8.99"/>
    <s v="KG"/>
    <n v="0"/>
    <n v="4540"/>
    <x v="9"/>
    <n v="0"/>
    <n v="1.1000000000000001"/>
    <n v="9215.8000000000011"/>
    <n v="75318.22"/>
    <x v="1"/>
    <x v="1"/>
  </r>
  <r>
    <n v="15824466620"/>
    <n v="50"/>
    <d v="2022-01-14T00:00:00"/>
    <n v="15622257299"/>
    <s v="Comprador 03"/>
    <n v="0"/>
    <m/>
    <s v="Atendido"/>
    <n v="14981313809"/>
    <s v="ICHP.00.0001"/>
    <m/>
    <s v="Produto 07"/>
    <n v="4210"/>
    <n v="9.1999999999999993"/>
    <s v="KG"/>
    <n v="0"/>
    <n v="4814"/>
    <x v="12"/>
    <n v="0"/>
    <n v="0.5"/>
    <n v="2105"/>
    <n v="38732"/>
    <x v="1"/>
    <x v="1"/>
  </r>
  <r>
    <m/>
    <n v="51"/>
    <d v="2022-05-17T00:00:00"/>
    <m/>
    <s v="Comprador 19"/>
    <m/>
    <m/>
    <m/>
    <m/>
    <m/>
    <m/>
    <s v="Produto 11"/>
    <n v="6071"/>
    <n v="16"/>
    <s v="PC"/>
    <m/>
    <m/>
    <x v="3"/>
    <n v="0"/>
    <n v="1"/>
    <n v="6071"/>
    <n v="97136"/>
    <x v="2"/>
    <x v="1"/>
  </r>
  <r>
    <m/>
    <n v="52"/>
    <d v="2022-01-21T00:00:00"/>
    <m/>
    <s v="Comprador 05"/>
    <m/>
    <m/>
    <m/>
    <m/>
    <m/>
    <m/>
    <s v="Produto 04"/>
    <n v="6150"/>
    <n v="23"/>
    <s v="PC"/>
    <m/>
    <m/>
    <x v="9"/>
    <n v="0"/>
    <n v="1.1000000000000001"/>
    <n v="6765.0000000000009"/>
    <n v="141450"/>
    <x v="1"/>
    <x v="1"/>
  </r>
  <r>
    <m/>
    <n v="53"/>
    <d v="2022-04-10T00:00:00"/>
    <m/>
    <s v="Comprador 18"/>
    <m/>
    <m/>
    <m/>
    <m/>
    <m/>
    <m/>
    <s v="Produto 08"/>
    <n v="4159"/>
    <n v="17"/>
    <s v="PC"/>
    <m/>
    <m/>
    <x v="5"/>
    <n v="0"/>
    <n v="1"/>
    <n v="4159"/>
    <n v="70703"/>
    <x v="3"/>
    <x v="1"/>
  </r>
  <r>
    <m/>
    <n v="54"/>
    <d v="2022-03-26T00:00:00"/>
    <m/>
    <s v="Comprador 07"/>
    <m/>
    <m/>
    <m/>
    <m/>
    <m/>
    <m/>
    <s v="Produto 12"/>
    <n v="1772"/>
    <n v="22"/>
    <s v="PC"/>
    <m/>
    <m/>
    <x v="6"/>
    <n v="0"/>
    <n v="1"/>
    <n v="1772"/>
    <n v="38984"/>
    <x v="4"/>
    <x v="1"/>
  </r>
  <r>
    <m/>
    <n v="55"/>
    <d v="2022-01-28T00:00:00"/>
    <m/>
    <s v="Comprador 10"/>
    <m/>
    <m/>
    <m/>
    <m/>
    <m/>
    <m/>
    <s v="Produto 08"/>
    <n v="1568"/>
    <n v="20"/>
    <s v="PC"/>
    <m/>
    <m/>
    <x v="5"/>
    <n v="0"/>
    <n v="1"/>
    <n v="1568"/>
    <n v="31360"/>
    <x v="1"/>
    <x v="1"/>
  </r>
  <r>
    <m/>
    <n v="56"/>
    <d v="2022-02-02T00:00:00"/>
    <m/>
    <s v="Comprador 06"/>
    <m/>
    <m/>
    <m/>
    <m/>
    <m/>
    <m/>
    <s v="Produto 10"/>
    <n v="4265"/>
    <n v="12"/>
    <s v="PC"/>
    <m/>
    <m/>
    <x v="4"/>
    <n v="0"/>
    <n v="1"/>
    <n v="4265"/>
    <n v="51180"/>
    <x v="5"/>
    <x v="1"/>
  </r>
  <r>
    <m/>
    <n v="57"/>
    <d v="2022-05-23T00:00:00"/>
    <m/>
    <s v="Comprador 10"/>
    <m/>
    <m/>
    <m/>
    <m/>
    <m/>
    <m/>
    <s v="Produto 15"/>
    <n v="5280"/>
    <n v="18"/>
    <s v="PC"/>
    <m/>
    <m/>
    <x v="1"/>
    <n v="0"/>
    <n v="1.1000000000000001"/>
    <n v="5808.0000000000009"/>
    <n v="95040"/>
    <x v="2"/>
    <x v="1"/>
  </r>
  <r>
    <m/>
    <n v="58"/>
    <d v="2022-04-03T00:00:00"/>
    <m/>
    <s v="Comprador 03"/>
    <m/>
    <m/>
    <m/>
    <m/>
    <m/>
    <m/>
    <s v="Produto 14"/>
    <n v="5367"/>
    <n v="16"/>
    <s v="PC"/>
    <m/>
    <m/>
    <x v="11"/>
    <n v="0"/>
    <n v="1.68"/>
    <n v="9016.56"/>
    <n v="85872"/>
    <x v="3"/>
    <x v="1"/>
  </r>
  <r>
    <m/>
    <n v="59"/>
    <d v="2022-03-28T00:00:00"/>
    <m/>
    <s v="Comprador 12"/>
    <m/>
    <m/>
    <m/>
    <m/>
    <m/>
    <m/>
    <s v="Produto 01"/>
    <n v="1706"/>
    <n v="14"/>
    <s v="KG"/>
    <m/>
    <m/>
    <x v="2"/>
    <n v="0"/>
    <n v="1.1000000000000001"/>
    <n v="1876.6000000000001"/>
    <n v="23884"/>
    <x v="4"/>
    <x v="1"/>
  </r>
  <r>
    <m/>
    <n v="60"/>
    <d v="2022-03-10T00:00:00"/>
    <m/>
    <s v="Comprador 18"/>
    <m/>
    <m/>
    <m/>
    <m/>
    <m/>
    <m/>
    <s v="Produto 15"/>
    <n v="2645"/>
    <n v="3"/>
    <s v="KG"/>
    <m/>
    <m/>
    <x v="1"/>
    <n v="0"/>
    <n v="1.1000000000000001"/>
    <n v="2909.5000000000005"/>
    <n v="7935"/>
    <x v="4"/>
    <x v="1"/>
  </r>
  <r>
    <m/>
    <n v="61"/>
    <d v="2022-05-28T00:00:00"/>
    <m/>
    <s v="Comprador 12"/>
    <m/>
    <m/>
    <m/>
    <m/>
    <m/>
    <m/>
    <s v="Produto 16"/>
    <n v="2032"/>
    <n v="3"/>
    <s v="KG"/>
    <m/>
    <m/>
    <x v="0"/>
    <n v="0.05"/>
    <n v="1"/>
    <n v="2032"/>
    <n v="6400.8"/>
    <x v="2"/>
    <x v="1"/>
  </r>
  <r>
    <m/>
    <n v="62"/>
    <d v="2022-02-13T00:00:00"/>
    <m/>
    <s v="Comprador 02"/>
    <m/>
    <m/>
    <m/>
    <m/>
    <m/>
    <m/>
    <s v="Produto 13"/>
    <n v="5849"/>
    <n v="3"/>
    <s v="KG"/>
    <m/>
    <m/>
    <x v="7"/>
    <n v="0"/>
    <n v="0.4"/>
    <n v="2339.6"/>
    <n v="17547"/>
    <x v="5"/>
    <x v="1"/>
  </r>
  <r>
    <m/>
    <n v="63"/>
    <d v="2022-01-31T00:00:00"/>
    <m/>
    <s v="Comprador 16"/>
    <m/>
    <m/>
    <m/>
    <m/>
    <m/>
    <m/>
    <s v="Produto 08"/>
    <n v="948"/>
    <n v="11"/>
    <s v="KG"/>
    <m/>
    <m/>
    <x v="5"/>
    <n v="0"/>
    <n v="1"/>
    <n v="948"/>
    <n v="10428"/>
    <x v="1"/>
    <x v="1"/>
  </r>
  <r>
    <m/>
    <n v="64"/>
    <d v="2022-05-20T00:00:00"/>
    <m/>
    <s v="Comprador 16"/>
    <m/>
    <m/>
    <m/>
    <m/>
    <m/>
    <m/>
    <s v="Produto 11"/>
    <n v="882"/>
    <n v="5"/>
    <s v="PC"/>
    <m/>
    <m/>
    <x v="3"/>
    <n v="0"/>
    <n v="1"/>
    <n v="882"/>
    <n v="4410"/>
    <x v="2"/>
    <x v="1"/>
  </r>
  <r>
    <m/>
    <n v="65"/>
    <d v="2022-04-05T00:00:00"/>
    <m/>
    <s v="Comprador 09"/>
    <m/>
    <m/>
    <m/>
    <m/>
    <m/>
    <m/>
    <s v="Produto 01"/>
    <n v="361"/>
    <n v="17"/>
    <s v="PC"/>
    <m/>
    <m/>
    <x v="2"/>
    <n v="0"/>
    <n v="1.1000000000000001"/>
    <n v="397.1"/>
    <n v="6137"/>
    <x v="3"/>
    <x v="1"/>
  </r>
  <r>
    <m/>
    <n v="66"/>
    <d v="2022-03-08T00:00:00"/>
    <m/>
    <s v="Comprador 08"/>
    <m/>
    <m/>
    <m/>
    <m/>
    <m/>
    <m/>
    <s v="Produto 08"/>
    <n v="6090"/>
    <n v="22"/>
    <s v="PC"/>
    <m/>
    <m/>
    <x v="5"/>
    <n v="0"/>
    <n v="1"/>
    <n v="6090"/>
    <n v="133980"/>
    <x v="4"/>
    <x v="1"/>
  </r>
  <r>
    <m/>
    <n v="67"/>
    <d v="2022-02-12T00:00:00"/>
    <m/>
    <s v="Comprador 18"/>
    <m/>
    <m/>
    <m/>
    <m/>
    <m/>
    <m/>
    <s v="Produto 06"/>
    <n v="843"/>
    <n v="1"/>
    <s v="PC"/>
    <m/>
    <m/>
    <x v="14"/>
    <n v="0"/>
    <n v="1.1000000000000001"/>
    <n v="927.30000000000007"/>
    <n v="843"/>
    <x v="5"/>
    <x v="1"/>
  </r>
  <r>
    <m/>
    <n v="68"/>
    <d v="2022-05-21T00:00:00"/>
    <m/>
    <s v="Comprador 12"/>
    <m/>
    <m/>
    <m/>
    <m/>
    <m/>
    <m/>
    <s v="Produto 06"/>
    <n v="1650"/>
    <n v="1"/>
    <s v="PC"/>
    <m/>
    <m/>
    <x v="14"/>
    <n v="0"/>
    <n v="1.1000000000000001"/>
    <n v="1815.0000000000002"/>
    <n v="1650"/>
    <x v="2"/>
    <x v="1"/>
  </r>
  <r>
    <m/>
    <n v="69"/>
    <d v="2022-05-09T00:00:00"/>
    <m/>
    <s v="Comprador 02"/>
    <m/>
    <m/>
    <m/>
    <m/>
    <m/>
    <m/>
    <s v="Produto 02"/>
    <n v="4738"/>
    <n v="4"/>
    <s v="PC"/>
    <m/>
    <m/>
    <x v="15"/>
    <n v="0.05"/>
    <n v="1"/>
    <n v="4738"/>
    <n v="19899.599999999999"/>
    <x v="2"/>
    <x v="1"/>
  </r>
  <r>
    <m/>
    <n v="70"/>
    <d v="2022-02-14T00:00:00"/>
    <m/>
    <s v="Comprador 02"/>
    <m/>
    <m/>
    <m/>
    <m/>
    <m/>
    <m/>
    <s v="Produto 04"/>
    <n v="5796"/>
    <n v="23"/>
    <s v="PC"/>
    <m/>
    <m/>
    <x v="9"/>
    <n v="0"/>
    <n v="1.1000000000000001"/>
    <n v="6375.6"/>
    <n v="133308"/>
    <x v="5"/>
    <x v="1"/>
  </r>
  <r>
    <m/>
    <n v="71"/>
    <d v="2022-02-15T00:00:00"/>
    <m/>
    <s v="Comprador 15"/>
    <m/>
    <m/>
    <m/>
    <m/>
    <m/>
    <m/>
    <s v="Produto 05"/>
    <n v="1258"/>
    <n v="3"/>
    <s v="PC"/>
    <m/>
    <m/>
    <x v="10"/>
    <n v="0"/>
    <n v="1.42"/>
    <n v="1786.36"/>
    <n v="3774"/>
    <x v="5"/>
    <x v="1"/>
  </r>
  <r>
    <m/>
    <n v="72"/>
    <d v="2022-03-17T00:00:00"/>
    <m/>
    <s v="Comprador 03"/>
    <m/>
    <m/>
    <m/>
    <m/>
    <m/>
    <m/>
    <s v="Produto 12"/>
    <n v="3616"/>
    <n v="10"/>
    <s v="KG"/>
    <m/>
    <m/>
    <x v="6"/>
    <n v="0"/>
    <n v="1"/>
    <n v="3616"/>
    <n v="36160"/>
    <x v="4"/>
    <x v="1"/>
  </r>
  <r>
    <m/>
    <n v="73"/>
    <d v="2022-02-20T00:00:00"/>
    <m/>
    <s v="Comprador 19"/>
    <m/>
    <m/>
    <m/>
    <m/>
    <m/>
    <m/>
    <s v="Produto 02"/>
    <n v="529"/>
    <n v="4"/>
    <s v="KG"/>
    <m/>
    <m/>
    <x v="15"/>
    <n v="0.05"/>
    <n v="1"/>
    <n v="529"/>
    <n v="2221.8000000000002"/>
    <x v="5"/>
    <x v="1"/>
  </r>
  <r>
    <m/>
    <n v="74"/>
    <d v="2022-04-20T00:00:00"/>
    <m/>
    <s v="Comprador 10"/>
    <m/>
    <m/>
    <m/>
    <m/>
    <m/>
    <m/>
    <s v="Produto 14"/>
    <n v="2084"/>
    <n v="2"/>
    <s v="KG"/>
    <m/>
    <m/>
    <x v="11"/>
    <n v="0"/>
    <n v="1.68"/>
    <n v="3501.12"/>
    <n v="4168"/>
    <x v="3"/>
    <x v="1"/>
  </r>
  <r>
    <m/>
    <n v="75"/>
    <d v="2022-04-12T00:00:00"/>
    <m/>
    <s v="Comprador 03"/>
    <m/>
    <m/>
    <m/>
    <m/>
    <m/>
    <m/>
    <s v="Produto 14"/>
    <n v="3773"/>
    <n v="8"/>
    <s v="KG"/>
    <m/>
    <m/>
    <x v="11"/>
    <n v="0"/>
    <n v="1.68"/>
    <n v="6338.6399999999994"/>
    <n v="30184"/>
    <x v="3"/>
    <x v="1"/>
  </r>
  <r>
    <m/>
    <n v="76"/>
    <d v="2022-02-23T00:00:00"/>
    <m/>
    <s v="Comprador 19"/>
    <m/>
    <m/>
    <m/>
    <m/>
    <m/>
    <m/>
    <s v="Produto 03"/>
    <n v="117"/>
    <n v="13"/>
    <s v="KG"/>
    <m/>
    <m/>
    <x v="8"/>
    <n v="0.05"/>
    <n v="1"/>
    <n v="117"/>
    <n v="1597.05"/>
    <x v="5"/>
    <x v="1"/>
  </r>
  <r>
    <m/>
    <n v="77"/>
    <d v="2022-04-09T00:00:00"/>
    <m/>
    <s v="Comprador 03"/>
    <m/>
    <m/>
    <m/>
    <m/>
    <m/>
    <m/>
    <s v="Produto 15"/>
    <n v="2058"/>
    <n v="23"/>
    <s v="PC"/>
    <m/>
    <m/>
    <x v="1"/>
    <n v="0"/>
    <n v="1.1000000000000001"/>
    <n v="2263.8000000000002"/>
    <n v="47334"/>
    <x v="3"/>
    <x v="1"/>
  </r>
  <r>
    <m/>
    <n v="78"/>
    <d v="2022-03-12T00:00:00"/>
    <m/>
    <s v="Comprador 02"/>
    <m/>
    <m/>
    <m/>
    <m/>
    <m/>
    <m/>
    <s v="Produto 12"/>
    <n v="5773"/>
    <n v="1"/>
    <s v="PC"/>
    <m/>
    <m/>
    <x v="6"/>
    <n v="0"/>
    <n v="1"/>
    <n v="5773"/>
    <n v="5773"/>
    <x v="4"/>
    <x v="1"/>
  </r>
  <r>
    <m/>
    <n v="79"/>
    <d v="2022-04-24T00:00:00"/>
    <m/>
    <s v="Comprador 02"/>
    <m/>
    <m/>
    <m/>
    <m/>
    <m/>
    <m/>
    <s v="Produto 03"/>
    <n v="3437"/>
    <n v="15"/>
    <s v="PC"/>
    <m/>
    <m/>
    <x v="8"/>
    <n v="0.05"/>
    <n v="1"/>
    <n v="3437"/>
    <n v="54132.75"/>
    <x v="3"/>
    <x v="1"/>
  </r>
  <r>
    <m/>
    <n v="80"/>
    <d v="2022-05-08T00:00:00"/>
    <m/>
    <s v="Comprador 20"/>
    <m/>
    <m/>
    <m/>
    <m/>
    <m/>
    <m/>
    <s v="Produto 14"/>
    <n v="5228"/>
    <n v="3"/>
    <s v="PC"/>
    <m/>
    <m/>
    <x v="11"/>
    <n v="0"/>
    <n v="1.68"/>
    <n v="8783.0399999999991"/>
    <n v="15684"/>
    <x v="2"/>
    <x v="1"/>
  </r>
  <r>
    <m/>
    <n v="81"/>
    <d v="2022-04-28T00:00:00"/>
    <m/>
    <s v="Comprador 09"/>
    <m/>
    <m/>
    <m/>
    <m/>
    <m/>
    <m/>
    <s v="Produto 11"/>
    <n v="5107"/>
    <n v="20"/>
    <s v="PC"/>
    <m/>
    <m/>
    <x v="3"/>
    <n v="0"/>
    <n v="1"/>
    <n v="5107"/>
    <n v="102140"/>
    <x v="3"/>
    <x v="1"/>
  </r>
  <r>
    <m/>
    <n v="82"/>
    <d v="2022-03-19T00:00:00"/>
    <m/>
    <s v="Comprador 10"/>
    <m/>
    <m/>
    <m/>
    <m/>
    <m/>
    <m/>
    <s v="Produto 08"/>
    <n v="3767"/>
    <n v="2"/>
    <s v="PC"/>
    <m/>
    <m/>
    <x v="5"/>
    <n v="0"/>
    <n v="1"/>
    <n v="3767"/>
    <n v="7534"/>
    <x v="4"/>
    <x v="1"/>
  </r>
  <r>
    <m/>
    <n v="83"/>
    <d v="2022-02-25T00:00:00"/>
    <m/>
    <s v="Comprador 16"/>
    <m/>
    <m/>
    <m/>
    <m/>
    <m/>
    <m/>
    <s v="Produto 09"/>
    <n v="1058"/>
    <n v="18"/>
    <s v="PC"/>
    <m/>
    <m/>
    <x v="13"/>
    <n v="0"/>
    <n v="1"/>
    <n v="1058"/>
    <n v="19044"/>
    <x v="5"/>
    <x v="1"/>
  </r>
  <r>
    <m/>
    <n v="84"/>
    <d v="2022-04-01T00:00:00"/>
    <m/>
    <s v="Comprador 09"/>
    <m/>
    <m/>
    <m/>
    <m/>
    <m/>
    <m/>
    <s v="Produto 09"/>
    <n v="370"/>
    <n v="22"/>
    <s v="PC"/>
    <m/>
    <m/>
    <x v="13"/>
    <n v="0"/>
    <n v="1"/>
    <n v="370"/>
    <n v="8140"/>
    <x v="3"/>
    <x v="1"/>
  </r>
  <r>
    <m/>
    <n v="85"/>
    <d v="2022-05-23T00:00:00"/>
    <m/>
    <s v="Comprador 17"/>
    <m/>
    <m/>
    <m/>
    <m/>
    <m/>
    <m/>
    <s v="Produto 11"/>
    <n v="3565"/>
    <n v="23"/>
    <s v="KG"/>
    <m/>
    <m/>
    <x v="3"/>
    <n v="0"/>
    <n v="1"/>
    <n v="3565"/>
    <n v="81995"/>
    <x v="2"/>
    <x v="1"/>
  </r>
  <r>
    <m/>
    <n v="86"/>
    <d v="2022-03-06T00:00:00"/>
    <m/>
    <s v="Comprador 02"/>
    <m/>
    <m/>
    <m/>
    <m/>
    <m/>
    <m/>
    <s v="Produto 01"/>
    <n v="976"/>
    <n v="17"/>
    <s v="KG"/>
    <m/>
    <m/>
    <x v="2"/>
    <n v="0"/>
    <n v="1.1000000000000001"/>
    <n v="1073.6000000000001"/>
    <n v="16592"/>
    <x v="4"/>
    <x v="1"/>
  </r>
  <r>
    <m/>
    <n v="87"/>
    <d v="2022-04-01T00:00:00"/>
    <m/>
    <s v="Comprador 16"/>
    <m/>
    <m/>
    <m/>
    <m/>
    <m/>
    <m/>
    <s v="Produto 09"/>
    <n v="2242"/>
    <n v="16"/>
    <s v="KG"/>
    <m/>
    <m/>
    <x v="13"/>
    <n v="0"/>
    <n v="1"/>
    <n v="2242"/>
    <n v="35872"/>
    <x v="3"/>
    <x v="1"/>
  </r>
  <r>
    <m/>
    <n v="88"/>
    <d v="2022-04-04T00:00:00"/>
    <m/>
    <s v="Comprador 12"/>
    <m/>
    <m/>
    <m/>
    <m/>
    <m/>
    <m/>
    <s v="Produto 08"/>
    <n v="221"/>
    <n v="16"/>
    <s v="KG"/>
    <m/>
    <m/>
    <x v="5"/>
    <n v="0"/>
    <n v="1"/>
    <n v="221"/>
    <n v="3536"/>
    <x v="3"/>
    <x v="1"/>
  </r>
  <r>
    <m/>
    <n v="89"/>
    <d v="2022-01-15T00:00:00"/>
    <m/>
    <s v="Comprador 07"/>
    <m/>
    <m/>
    <m/>
    <m/>
    <m/>
    <m/>
    <s v="Produto 14"/>
    <n v="5166"/>
    <n v="9"/>
    <s v="KG"/>
    <m/>
    <m/>
    <x v="11"/>
    <n v="0"/>
    <n v="1.68"/>
    <n v="8678.8799999999992"/>
    <n v="46494"/>
    <x v="1"/>
    <x v="1"/>
  </r>
  <r>
    <m/>
    <n v="90"/>
    <d v="2022-01-20T00:00:00"/>
    <m/>
    <s v="Comprador 17"/>
    <m/>
    <m/>
    <m/>
    <m/>
    <m/>
    <m/>
    <s v="Produto 04"/>
    <n v="3348"/>
    <n v="3"/>
    <s v="PC"/>
    <m/>
    <m/>
    <x v="9"/>
    <n v="0"/>
    <n v="1.1000000000000001"/>
    <n v="3682.8"/>
    <n v="10044"/>
    <x v="1"/>
    <x v="1"/>
  </r>
  <r>
    <m/>
    <n v="91"/>
    <d v="2022-05-17T00:00:00"/>
    <m/>
    <s v="Comprador 13"/>
    <m/>
    <m/>
    <m/>
    <m/>
    <m/>
    <m/>
    <s v="Produto 11"/>
    <n v="5513"/>
    <n v="22"/>
    <s v="PC"/>
    <m/>
    <m/>
    <x v="3"/>
    <n v="0"/>
    <n v="1"/>
    <n v="5513"/>
    <n v="121286"/>
    <x v="2"/>
    <x v="1"/>
  </r>
  <r>
    <m/>
    <n v="92"/>
    <d v="2022-02-15T00:00:00"/>
    <m/>
    <s v="Comprador 19"/>
    <m/>
    <m/>
    <m/>
    <m/>
    <m/>
    <m/>
    <s v="Produto 09"/>
    <n v="770"/>
    <n v="18"/>
    <s v="PC"/>
    <m/>
    <m/>
    <x v="13"/>
    <n v="0"/>
    <n v="1"/>
    <n v="770"/>
    <n v="13860"/>
    <x v="5"/>
    <x v="1"/>
  </r>
  <r>
    <m/>
    <n v="93"/>
    <d v="2022-04-01T00:00:00"/>
    <m/>
    <s v="Comprador 07"/>
    <m/>
    <m/>
    <m/>
    <m/>
    <m/>
    <m/>
    <s v="Produto 11"/>
    <n v="1708"/>
    <n v="20"/>
    <s v="PC"/>
    <m/>
    <m/>
    <x v="3"/>
    <n v="0"/>
    <n v="1"/>
    <n v="1708"/>
    <n v="34160"/>
    <x v="3"/>
    <x v="1"/>
  </r>
  <r>
    <m/>
    <n v="94"/>
    <d v="2022-04-29T00:00:00"/>
    <m/>
    <s v="Comprador 15"/>
    <m/>
    <m/>
    <m/>
    <m/>
    <m/>
    <m/>
    <s v="Produto 05"/>
    <n v="3173"/>
    <n v="9"/>
    <s v="PC"/>
    <m/>
    <m/>
    <x v="10"/>
    <n v="0"/>
    <n v="1.42"/>
    <n v="4505.66"/>
    <n v="28557"/>
    <x v="3"/>
    <x v="1"/>
  </r>
  <r>
    <m/>
    <n v="95"/>
    <d v="2022-01-19T00:00:00"/>
    <m/>
    <s v="Comprador 12"/>
    <m/>
    <m/>
    <m/>
    <m/>
    <m/>
    <m/>
    <s v="Produto 10"/>
    <n v="6237"/>
    <n v="14"/>
    <s v="PC"/>
    <m/>
    <m/>
    <x v="4"/>
    <n v="0"/>
    <n v="1"/>
    <n v="6237"/>
    <n v="87318"/>
    <x v="1"/>
    <x v="1"/>
  </r>
  <r>
    <m/>
    <n v="96"/>
    <d v="2022-05-19T00:00:00"/>
    <m/>
    <s v="Comprador 10"/>
    <m/>
    <m/>
    <m/>
    <m/>
    <m/>
    <m/>
    <s v="Produto 06"/>
    <n v="466"/>
    <n v="1"/>
    <s v="PC"/>
    <m/>
    <m/>
    <x v="14"/>
    <n v="0"/>
    <n v="1.1000000000000001"/>
    <n v="512.6"/>
    <n v="466"/>
    <x v="2"/>
    <x v="1"/>
  </r>
  <r>
    <m/>
    <n v="97"/>
    <d v="2022-04-05T00:00:00"/>
    <m/>
    <s v="Comprador 13"/>
    <m/>
    <m/>
    <m/>
    <m/>
    <m/>
    <m/>
    <s v="Produto 12"/>
    <n v="1190"/>
    <n v="5"/>
    <s v="PC"/>
    <m/>
    <m/>
    <x v="6"/>
    <n v="0"/>
    <n v="1"/>
    <n v="1190"/>
    <n v="5950"/>
    <x v="3"/>
    <x v="1"/>
  </r>
  <r>
    <m/>
    <n v="98"/>
    <d v="2022-05-22T00:00:00"/>
    <m/>
    <s v="Comprador 04"/>
    <m/>
    <m/>
    <m/>
    <m/>
    <m/>
    <m/>
    <s v="Produto 09"/>
    <n v="1258"/>
    <n v="2"/>
    <s v="KG"/>
    <m/>
    <m/>
    <x v="13"/>
    <n v="0"/>
    <n v="1"/>
    <n v="1258"/>
    <n v="2516"/>
    <x v="2"/>
    <x v="1"/>
  </r>
  <r>
    <m/>
    <n v="99"/>
    <d v="2022-05-09T00:00:00"/>
    <m/>
    <s v="Comprador 11"/>
    <m/>
    <m/>
    <m/>
    <m/>
    <m/>
    <m/>
    <s v="Produto 02"/>
    <n v="3893"/>
    <n v="5"/>
    <s v="KG"/>
    <m/>
    <m/>
    <x v="15"/>
    <n v="0.05"/>
    <n v="1"/>
    <n v="3893"/>
    <n v="20438.25"/>
    <x v="2"/>
    <x v="1"/>
  </r>
  <r>
    <m/>
    <n v="100"/>
    <d v="2022-03-08T00:00:00"/>
    <m/>
    <s v="Comprador 13"/>
    <m/>
    <m/>
    <m/>
    <m/>
    <m/>
    <m/>
    <s v="Produto 13"/>
    <n v="2606"/>
    <n v="17"/>
    <s v="KG"/>
    <m/>
    <m/>
    <x v="7"/>
    <n v="0"/>
    <n v="0.4"/>
    <n v="1042.4000000000001"/>
    <n v="44302"/>
    <x v="4"/>
    <x v="1"/>
  </r>
  <r>
    <m/>
    <n v="101"/>
    <d v="2022-04-04T00:00:00"/>
    <m/>
    <s v="Comprador 05"/>
    <m/>
    <m/>
    <m/>
    <m/>
    <m/>
    <m/>
    <s v="Produto 06"/>
    <n v="3679"/>
    <n v="22"/>
    <s v="KG"/>
    <m/>
    <m/>
    <x v="14"/>
    <n v="0"/>
    <n v="1.1000000000000001"/>
    <n v="4046.9000000000005"/>
    <n v="80938"/>
    <x v="3"/>
    <x v="1"/>
  </r>
  <r>
    <m/>
    <n v="102"/>
    <d v="2022-03-11T00:00:00"/>
    <m/>
    <s v="Comprador 15"/>
    <m/>
    <m/>
    <m/>
    <m/>
    <m/>
    <m/>
    <s v="Produto 03"/>
    <n v="2833"/>
    <n v="13"/>
    <s v="KG"/>
    <m/>
    <m/>
    <x v="8"/>
    <n v="0.05"/>
    <n v="1"/>
    <n v="2833"/>
    <n v="38670.449999999997"/>
    <x v="4"/>
    <x v="1"/>
  </r>
  <r>
    <m/>
    <n v="103"/>
    <d v="2022-02-02T00:00:00"/>
    <m/>
    <s v="Comprador 19"/>
    <m/>
    <m/>
    <m/>
    <m/>
    <m/>
    <m/>
    <s v="Produto 16"/>
    <n v="3604"/>
    <n v="1"/>
    <s v="PC"/>
    <m/>
    <m/>
    <x v="0"/>
    <n v="0.05"/>
    <n v="1"/>
    <n v="3604"/>
    <n v="3784.2"/>
    <x v="5"/>
    <x v="1"/>
  </r>
  <r>
    <m/>
    <n v="104"/>
    <d v="2022-05-09T00:00:00"/>
    <m/>
    <s v="Comprador 19"/>
    <m/>
    <m/>
    <m/>
    <m/>
    <m/>
    <m/>
    <s v="Produto 03"/>
    <n v="2450"/>
    <n v="11"/>
    <s v="PC"/>
    <m/>
    <m/>
    <x v="8"/>
    <n v="0.05"/>
    <n v="1"/>
    <n v="2450"/>
    <n v="28297.5"/>
    <x v="2"/>
    <x v="1"/>
  </r>
  <r>
    <m/>
    <n v="105"/>
    <d v="2022-04-18T00:00:00"/>
    <m/>
    <s v="Comprador 07"/>
    <m/>
    <m/>
    <m/>
    <m/>
    <m/>
    <m/>
    <s v="Produto 10"/>
    <n v="4633"/>
    <n v="11"/>
    <s v="PC"/>
    <m/>
    <m/>
    <x v="4"/>
    <n v="0"/>
    <n v="1"/>
    <n v="4633"/>
    <n v="50963"/>
    <x v="3"/>
    <x v="1"/>
  </r>
  <r>
    <m/>
    <n v="106"/>
    <d v="2022-04-08T00:00:00"/>
    <m/>
    <s v="Comprador 07"/>
    <m/>
    <m/>
    <m/>
    <m/>
    <m/>
    <m/>
    <s v="Produto 08"/>
    <n v="1426"/>
    <n v="23"/>
    <s v="PC"/>
    <m/>
    <m/>
    <x v="5"/>
    <n v="0"/>
    <n v="1"/>
    <n v="1426"/>
    <n v="32798"/>
    <x v="3"/>
    <x v="1"/>
  </r>
  <r>
    <m/>
    <n v="107"/>
    <d v="2022-01-24T00:00:00"/>
    <m/>
    <s v="Comprador 01"/>
    <m/>
    <m/>
    <m/>
    <m/>
    <m/>
    <m/>
    <s v="Produto 01"/>
    <n v="2868"/>
    <n v="18"/>
    <s v="PC"/>
    <m/>
    <m/>
    <x v="2"/>
    <n v="0"/>
    <n v="1.1000000000000001"/>
    <n v="3154.8"/>
    <n v="51624"/>
    <x v="1"/>
    <x v="1"/>
  </r>
  <r>
    <m/>
    <n v="108"/>
    <d v="2022-03-29T00:00:00"/>
    <m/>
    <s v="Comprador 04"/>
    <m/>
    <m/>
    <m/>
    <m/>
    <m/>
    <m/>
    <s v="Produto 10"/>
    <n v="2779"/>
    <n v="3"/>
    <s v="PC"/>
    <m/>
    <m/>
    <x v="4"/>
    <n v="0"/>
    <n v="1"/>
    <n v="2779"/>
    <n v="8337"/>
    <x v="4"/>
    <x v="1"/>
  </r>
  <r>
    <m/>
    <n v="109"/>
    <d v="2022-01-26T00:00:00"/>
    <m/>
    <s v="Comprador 14"/>
    <m/>
    <m/>
    <m/>
    <m/>
    <m/>
    <m/>
    <s v="Produto 13"/>
    <n v="1091"/>
    <n v="10"/>
    <s v="PC"/>
    <m/>
    <m/>
    <x v="7"/>
    <n v="0"/>
    <n v="0.4"/>
    <n v="436.40000000000003"/>
    <n v="10910"/>
    <x v="1"/>
    <x v="1"/>
  </r>
  <r>
    <m/>
    <n v="110"/>
    <d v="2022-05-19T00:00:00"/>
    <m/>
    <s v="Comprador 10"/>
    <m/>
    <m/>
    <m/>
    <m/>
    <m/>
    <m/>
    <s v="Produto 08"/>
    <n v="3787"/>
    <n v="13"/>
    <s v="PC"/>
    <m/>
    <m/>
    <x v="5"/>
    <n v="0"/>
    <n v="1"/>
    <n v="3787"/>
    <n v="49231"/>
    <x v="2"/>
    <x v="1"/>
  </r>
  <r>
    <m/>
    <n v="111"/>
    <d v="2022-03-22T00:00:00"/>
    <m/>
    <s v="Comprador 16"/>
    <m/>
    <m/>
    <m/>
    <m/>
    <m/>
    <m/>
    <s v="Produto 16"/>
    <n v="3900"/>
    <n v="2"/>
    <s v="KG"/>
    <m/>
    <m/>
    <x v="0"/>
    <n v="0.05"/>
    <n v="1"/>
    <n v="3900"/>
    <n v="8190"/>
    <x v="4"/>
    <x v="1"/>
  </r>
  <r>
    <m/>
    <n v="112"/>
    <d v="2022-02-17T00:00:00"/>
    <m/>
    <s v="Comprador 13"/>
    <m/>
    <m/>
    <m/>
    <m/>
    <m/>
    <m/>
    <s v="Produto 14"/>
    <n v="2373"/>
    <n v="1"/>
    <s v="KG"/>
    <m/>
    <m/>
    <x v="11"/>
    <n v="0"/>
    <n v="1.68"/>
    <n v="3986.64"/>
    <n v="2373"/>
    <x v="5"/>
    <x v="1"/>
  </r>
  <r>
    <m/>
    <n v="113"/>
    <d v="2022-02-17T00:00:00"/>
    <m/>
    <s v="Comprador 07"/>
    <m/>
    <m/>
    <m/>
    <m/>
    <m/>
    <m/>
    <s v="Produto 11"/>
    <n v="2423"/>
    <n v="11"/>
    <s v="KG"/>
    <m/>
    <m/>
    <x v="3"/>
    <n v="0"/>
    <n v="1"/>
    <n v="2423"/>
    <n v="26653"/>
    <x v="5"/>
    <x v="1"/>
  </r>
  <r>
    <m/>
    <n v="114"/>
    <d v="2022-04-02T00:00:00"/>
    <m/>
    <s v="Comprador 06"/>
    <m/>
    <m/>
    <m/>
    <m/>
    <m/>
    <m/>
    <s v="Produto 03"/>
    <n v="2050"/>
    <n v="10"/>
    <s v="KG"/>
    <m/>
    <m/>
    <x v="8"/>
    <n v="0.05"/>
    <n v="1"/>
    <n v="2050"/>
    <n v="21525"/>
    <x v="3"/>
    <x v="1"/>
  </r>
  <r>
    <m/>
    <n v="115"/>
    <d v="2022-02-16T00:00:00"/>
    <m/>
    <s v="Comprador 04"/>
    <m/>
    <m/>
    <m/>
    <m/>
    <m/>
    <m/>
    <s v="Produto 03"/>
    <n v="3410"/>
    <n v="21"/>
    <s v="KG"/>
    <m/>
    <m/>
    <x v="8"/>
    <n v="0.05"/>
    <n v="1"/>
    <n v="3410"/>
    <n v="75190.5"/>
    <x v="5"/>
    <x v="1"/>
  </r>
  <r>
    <m/>
    <n v="116"/>
    <d v="2022-02-13T00:00:00"/>
    <m/>
    <s v="Comprador 06"/>
    <m/>
    <m/>
    <m/>
    <m/>
    <m/>
    <m/>
    <s v="Produto 14"/>
    <n v="5811"/>
    <n v="7"/>
    <s v="PC"/>
    <m/>
    <m/>
    <x v="11"/>
    <n v="0"/>
    <n v="1.68"/>
    <n v="9762.48"/>
    <n v="40677"/>
    <x v="5"/>
    <x v="1"/>
  </r>
  <r>
    <m/>
    <n v="117"/>
    <d v="2022-03-22T00:00:00"/>
    <m/>
    <s v="Comprador 15"/>
    <m/>
    <m/>
    <m/>
    <m/>
    <m/>
    <m/>
    <s v="Produto 05"/>
    <n v="360"/>
    <n v="1"/>
    <s v="PC"/>
    <m/>
    <m/>
    <x v="10"/>
    <n v="0"/>
    <n v="1.42"/>
    <n v="511.2"/>
    <n v="360"/>
    <x v="4"/>
    <x v="1"/>
  </r>
  <r>
    <m/>
    <n v="118"/>
    <d v="2022-05-06T00:00:00"/>
    <m/>
    <s v="Comprador 19"/>
    <m/>
    <m/>
    <m/>
    <m/>
    <m/>
    <m/>
    <s v="Produto 16"/>
    <n v="2743"/>
    <n v="13"/>
    <s v="PC"/>
    <m/>
    <m/>
    <x v="0"/>
    <n v="0.05"/>
    <n v="1"/>
    <n v="2743"/>
    <n v="37441.949999999997"/>
    <x v="2"/>
    <x v="1"/>
  </r>
  <r>
    <m/>
    <n v="119"/>
    <d v="2022-03-18T00:00:00"/>
    <m/>
    <s v="Comprador 19"/>
    <m/>
    <m/>
    <m/>
    <m/>
    <m/>
    <m/>
    <s v="Produto 08"/>
    <n v="1221"/>
    <n v="1"/>
    <s v="PC"/>
    <m/>
    <m/>
    <x v="5"/>
    <n v="0"/>
    <n v="1"/>
    <n v="1221"/>
    <n v="1221"/>
    <x v="4"/>
    <x v="1"/>
  </r>
  <r>
    <m/>
    <n v="120"/>
    <d v="2022-02-21T00:00:00"/>
    <m/>
    <s v="Comprador 17"/>
    <m/>
    <m/>
    <m/>
    <m/>
    <m/>
    <m/>
    <s v="Produto 15"/>
    <n v="122"/>
    <n v="17"/>
    <s v="PC"/>
    <m/>
    <m/>
    <x v="1"/>
    <n v="0"/>
    <n v="1.1000000000000001"/>
    <n v="134.20000000000002"/>
    <n v="2074"/>
    <x v="5"/>
    <x v="1"/>
  </r>
  <r>
    <m/>
    <n v="121"/>
    <d v="2022-03-14T00:00:00"/>
    <m/>
    <s v="Comprador 07"/>
    <m/>
    <m/>
    <m/>
    <m/>
    <m/>
    <m/>
    <s v="Produto 12"/>
    <n v="4484"/>
    <n v="22"/>
    <s v="PC"/>
    <m/>
    <m/>
    <x v="6"/>
    <n v="0"/>
    <n v="1"/>
    <n v="4484"/>
    <n v="98648"/>
    <x v="4"/>
    <x v="1"/>
  </r>
  <r>
    <m/>
    <n v="122"/>
    <d v="2022-03-30T00:00:00"/>
    <m/>
    <s v="Comprador 13"/>
    <m/>
    <m/>
    <m/>
    <m/>
    <m/>
    <m/>
    <s v="Produto 04"/>
    <n v="5645"/>
    <n v="7"/>
    <s v="PC"/>
    <m/>
    <m/>
    <x v="9"/>
    <n v="0"/>
    <n v="1.1000000000000001"/>
    <n v="6209.5000000000009"/>
    <n v="39515"/>
    <x v="4"/>
    <x v="1"/>
  </r>
  <r>
    <m/>
    <n v="123"/>
    <d v="2022-01-31T00:00:00"/>
    <m/>
    <s v="Comprador 11"/>
    <m/>
    <m/>
    <m/>
    <m/>
    <m/>
    <m/>
    <s v="Produto 03"/>
    <n v="3472"/>
    <n v="22"/>
    <s v="PC"/>
    <m/>
    <m/>
    <x v="8"/>
    <n v="0.05"/>
    <n v="1"/>
    <n v="3472"/>
    <n v="80203.199999999997"/>
    <x v="1"/>
    <x v="1"/>
  </r>
  <r>
    <m/>
    <n v="124"/>
    <d v="2022-03-30T00:00:00"/>
    <m/>
    <s v="Comprador 09"/>
    <m/>
    <m/>
    <m/>
    <m/>
    <m/>
    <m/>
    <s v="Produto 08"/>
    <n v="5511"/>
    <n v="4"/>
    <s v="KG"/>
    <m/>
    <m/>
    <x v="5"/>
    <n v="0"/>
    <n v="1"/>
    <n v="5511"/>
    <n v="22044"/>
    <x v="4"/>
    <x v="1"/>
  </r>
  <r>
    <m/>
    <n v="125"/>
    <d v="2022-02-12T00:00:00"/>
    <m/>
    <s v="Comprador 17"/>
    <m/>
    <m/>
    <m/>
    <m/>
    <m/>
    <m/>
    <s v="Produto 08"/>
    <n v="1404"/>
    <n v="8"/>
    <s v="KG"/>
    <m/>
    <m/>
    <x v="5"/>
    <n v="0"/>
    <n v="1"/>
    <n v="1404"/>
    <n v="11232"/>
    <x v="5"/>
    <x v="1"/>
  </r>
  <r>
    <m/>
    <n v="126"/>
    <d v="2022-02-23T00:00:00"/>
    <m/>
    <s v="Comprador 10"/>
    <m/>
    <m/>
    <m/>
    <m/>
    <m/>
    <m/>
    <s v="Produto 12"/>
    <n v="4371"/>
    <n v="20"/>
    <s v="KG"/>
    <m/>
    <m/>
    <x v="6"/>
    <n v="0"/>
    <n v="1"/>
    <n v="4371"/>
    <n v="87420"/>
    <x v="5"/>
    <x v="1"/>
  </r>
  <r>
    <m/>
    <n v="127"/>
    <d v="2022-03-29T00:00:00"/>
    <m/>
    <s v="Comprador 11"/>
    <m/>
    <m/>
    <m/>
    <m/>
    <m/>
    <m/>
    <s v="Produto 10"/>
    <n v="540"/>
    <n v="14"/>
    <s v="KG"/>
    <m/>
    <m/>
    <x v="4"/>
    <n v="0"/>
    <n v="1"/>
    <n v="540"/>
    <n v="7560"/>
    <x v="4"/>
    <x v="1"/>
  </r>
  <r>
    <m/>
    <n v="128"/>
    <d v="2022-05-08T00:00:00"/>
    <m/>
    <s v="Comprador 07"/>
    <m/>
    <m/>
    <m/>
    <m/>
    <m/>
    <m/>
    <s v="Produto 11"/>
    <n v="2912"/>
    <n v="4"/>
    <s v="KG"/>
    <m/>
    <m/>
    <x v="3"/>
    <n v="0"/>
    <n v="1"/>
    <n v="2912"/>
    <n v="11648"/>
    <x v="2"/>
    <x v="1"/>
  </r>
  <r>
    <m/>
    <n v="129"/>
    <d v="2022-04-30T00:00:00"/>
    <m/>
    <s v="Comprador 14"/>
    <m/>
    <m/>
    <m/>
    <m/>
    <m/>
    <m/>
    <s v="Produto 13"/>
    <n v="4782"/>
    <n v="14"/>
    <s v="PC"/>
    <m/>
    <m/>
    <x v="7"/>
    <n v="0"/>
    <n v="0.4"/>
    <n v="1912.8000000000002"/>
    <n v="66948"/>
    <x v="3"/>
    <x v="1"/>
  </r>
  <r>
    <m/>
    <n v="130"/>
    <d v="2022-03-25T00:00:00"/>
    <m/>
    <s v="Comprador 04"/>
    <m/>
    <m/>
    <m/>
    <m/>
    <m/>
    <m/>
    <s v="Produto 03"/>
    <n v="1483"/>
    <n v="9"/>
    <s v="PC"/>
    <m/>
    <m/>
    <x v="8"/>
    <n v="0.05"/>
    <n v="1"/>
    <n v="1483"/>
    <n v="14014.35"/>
    <x v="4"/>
    <x v="1"/>
  </r>
  <r>
    <m/>
    <n v="131"/>
    <d v="2022-02-14T00:00:00"/>
    <m/>
    <s v="Comprador 18"/>
    <m/>
    <m/>
    <m/>
    <m/>
    <m/>
    <m/>
    <s v="Produto 10"/>
    <n v="453"/>
    <n v="3"/>
    <s v="PC"/>
    <m/>
    <m/>
    <x v="4"/>
    <n v="0"/>
    <n v="1"/>
    <n v="453"/>
    <n v="1359"/>
    <x v="5"/>
    <x v="1"/>
  </r>
  <r>
    <m/>
    <n v="132"/>
    <d v="2022-05-10T00:00:00"/>
    <m/>
    <s v="Comprador 15"/>
    <m/>
    <m/>
    <m/>
    <m/>
    <m/>
    <m/>
    <s v="Produto 11"/>
    <n v="5742"/>
    <n v="4"/>
    <s v="PC"/>
    <m/>
    <m/>
    <x v="3"/>
    <n v="0"/>
    <n v="1"/>
    <n v="5742"/>
    <n v="22968"/>
    <x v="2"/>
    <x v="1"/>
  </r>
  <r>
    <m/>
    <n v="133"/>
    <d v="2022-02-15T00:00:00"/>
    <m/>
    <s v="Comprador 11"/>
    <m/>
    <m/>
    <m/>
    <m/>
    <m/>
    <m/>
    <s v="Produto 05"/>
    <n v="444"/>
    <n v="21"/>
    <s v="PC"/>
    <m/>
    <m/>
    <x v="10"/>
    <n v="0"/>
    <n v="1.42"/>
    <n v="630.48"/>
    <n v="9324"/>
    <x v="5"/>
    <x v="1"/>
  </r>
  <r>
    <m/>
    <n v="134"/>
    <d v="2022-04-23T00:00:00"/>
    <m/>
    <s v="Comprador 12"/>
    <m/>
    <m/>
    <m/>
    <m/>
    <m/>
    <m/>
    <s v="Produto 06"/>
    <n v="1485"/>
    <n v="23"/>
    <s v="PC"/>
    <m/>
    <m/>
    <x v="14"/>
    <n v="0"/>
    <n v="1.1000000000000001"/>
    <n v="1633.5000000000002"/>
    <n v="34155"/>
    <x v="3"/>
    <x v="1"/>
  </r>
  <r>
    <m/>
    <n v="135"/>
    <d v="2022-02-01T00:00:00"/>
    <m/>
    <s v="Comprador 18"/>
    <m/>
    <m/>
    <m/>
    <m/>
    <m/>
    <m/>
    <s v="Produto 13"/>
    <n v="3019"/>
    <n v="14"/>
    <s v="PC"/>
    <m/>
    <m/>
    <x v="7"/>
    <n v="0"/>
    <n v="0.4"/>
    <n v="1207.6000000000001"/>
    <n v="42266"/>
    <x v="5"/>
    <x v="1"/>
  </r>
  <r>
    <m/>
    <n v="136"/>
    <d v="2022-02-25T00:00:00"/>
    <m/>
    <s v="Comprador 08"/>
    <m/>
    <m/>
    <m/>
    <m/>
    <m/>
    <m/>
    <s v="Produto 02"/>
    <n v="835"/>
    <n v="10"/>
    <s v="PC"/>
    <m/>
    <m/>
    <x v="15"/>
    <n v="0.05"/>
    <n v="1"/>
    <n v="835"/>
    <n v="8767.5"/>
    <x v="5"/>
    <x v="1"/>
  </r>
  <r>
    <m/>
    <n v="137"/>
    <d v="2022-04-01T00:00:00"/>
    <m/>
    <s v="Comprador 09"/>
    <m/>
    <m/>
    <m/>
    <m/>
    <m/>
    <m/>
    <s v="Produto 12"/>
    <n v="2476"/>
    <n v="13"/>
    <s v="KG"/>
    <m/>
    <m/>
    <x v="6"/>
    <n v="0"/>
    <n v="1"/>
    <n v="2476"/>
    <n v="32188"/>
    <x v="3"/>
    <x v="1"/>
  </r>
  <r>
    <m/>
    <n v="138"/>
    <d v="2022-03-08T00:00:00"/>
    <m/>
    <s v="Comprador 07"/>
    <m/>
    <m/>
    <m/>
    <m/>
    <m/>
    <m/>
    <s v="Produto 09"/>
    <n v="3624"/>
    <n v="13"/>
    <s v="KG"/>
    <m/>
    <m/>
    <x v="13"/>
    <n v="0"/>
    <n v="1"/>
    <n v="3624"/>
    <n v="47112"/>
    <x v="4"/>
    <x v="1"/>
  </r>
  <r>
    <m/>
    <n v="139"/>
    <d v="2022-04-24T00:00:00"/>
    <m/>
    <s v="Comprador 16"/>
    <m/>
    <m/>
    <m/>
    <m/>
    <m/>
    <m/>
    <s v="Produto 08"/>
    <n v="4237"/>
    <n v="22"/>
    <s v="KG"/>
    <m/>
    <m/>
    <x v="5"/>
    <n v="0"/>
    <n v="1"/>
    <n v="4237"/>
    <n v="93214"/>
    <x v="3"/>
    <x v="1"/>
  </r>
  <r>
    <m/>
    <n v="140"/>
    <d v="2022-03-11T00:00:00"/>
    <m/>
    <s v="Comprador 11"/>
    <m/>
    <m/>
    <m/>
    <m/>
    <m/>
    <m/>
    <s v="Produto 13"/>
    <n v="4665"/>
    <n v="5"/>
    <s v="KG"/>
    <m/>
    <m/>
    <x v="7"/>
    <n v="0"/>
    <n v="0.4"/>
    <n v="1866"/>
    <n v="23325"/>
    <x v="4"/>
    <x v="1"/>
  </r>
  <r>
    <m/>
    <n v="141"/>
    <d v="2022-03-29T00:00:00"/>
    <m/>
    <s v="Comprador 04"/>
    <m/>
    <m/>
    <m/>
    <m/>
    <m/>
    <m/>
    <s v="Produto 13"/>
    <n v="5583"/>
    <n v="21"/>
    <s v="KG"/>
    <m/>
    <m/>
    <x v="7"/>
    <n v="0"/>
    <n v="0.4"/>
    <n v="2233.2000000000003"/>
    <n v="117243"/>
    <x v="4"/>
    <x v="1"/>
  </r>
  <r>
    <m/>
    <n v="142"/>
    <d v="2022-05-24T00:00:00"/>
    <m/>
    <s v="Comprador 14"/>
    <m/>
    <m/>
    <m/>
    <m/>
    <m/>
    <m/>
    <s v="Produto 11"/>
    <n v="3929"/>
    <n v="23"/>
    <s v="PC"/>
    <m/>
    <m/>
    <x v="3"/>
    <n v="0"/>
    <n v="1"/>
    <n v="3929"/>
    <n v="90367"/>
    <x v="2"/>
    <x v="1"/>
  </r>
  <r>
    <m/>
    <n v="143"/>
    <d v="2022-01-19T00:00:00"/>
    <m/>
    <s v="Comprador 12"/>
    <m/>
    <m/>
    <m/>
    <m/>
    <m/>
    <m/>
    <s v="Produto 03"/>
    <n v="1488"/>
    <n v="22"/>
    <s v="PC"/>
    <m/>
    <m/>
    <x v="8"/>
    <n v="0.05"/>
    <n v="1"/>
    <n v="1488"/>
    <n v="34372.800000000003"/>
    <x v="1"/>
    <x v="1"/>
  </r>
  <r>
    <m/>
    <n v="144"/>
    <d v="2022-02-20T00:00:00"/>
    <m/>
    <s v="Comprador 02"/>
    <m/>
    <m/>
    <m/>
    <m/>
    <m/>
    <m/>
    <s v="Produto 01"/>
    <n v="3884"/>
    <n v="9"/>
    <s v="PC"/>
    <m/>
    <m/>
    <x v="2"/>
    <n v="0"/>
    <n v="1.1000000000000001"/>
    <n v="4272.4000000000005"/>
    <n v="34956"/>
    <x v="5"/>
    <x v="1"/>
  </r>
  <r>
    <m/>
    <n v="145"/>
    <d v="2022-02-24T00:00:00"/>
    <m/>
    <s v="Comprador 15"/>
    <m/>
    <m/>
    <m/>
    <m/>
    <m/>
    <m/>
    <s v="Produto 03"/>
    <n v="1028"/>
    <n v="7"/>
    <s v="PC"/>
    <m/>
    <m/>
    <x v="8"/>
    <n v="0.05"/>
    <n v="1"/>
    <n v="1028"/>
    <n v="7555.8"/>
    <x v="5"/>
    <x v="1"/>
  </r>
  <r>
    <m/>
    <n v="146"/>
    <d v="2022-04-15T00:00:00"/>
    <m/>
    <s v="Comprador 14"/>
    <m/>
    <m/>
    <m/>
    <m/>
    <m/>
    <m/>
    <s v="Produto 07"/>
    <n v="725"/>
    <n v="22"/>
    <s v="PC"/>
    <m/>
    <m/>
    <x v="12"/>
    <n v="0"/>
    <n v="0.5"/>
    <n v="362.5"/>
    <n v="15950"/>
    <x v="3"/>
    <x v="1"/>
  </r>
  <r>
    <m/>
    <n v="147"/>
    <d v="2022-04-18T00:00:00"/>
    <m/>
    <s v="Comprador 15"/>
    <m/>
    <m/>
    <m/>
    <m/>
    <m/>
    <m/>
    <s v="Produto 06"/>
    <n v="5415"/>
    <n v="13"/>
    <s v="PC"/>
    <m/>
    <m/>
    <x v="14"/>
    <n v="0"/>
    <n v="1.1000000000000001"/>
    <n v="5956.5000000000009"/>
    <n v="70395"/>
    <x v="3"/>
    <x v="1"/>
  </r>
  <r>
    <m/>
    <n v="148"/>
    <d v="2022-01-16T00:00:00"/>
    <m/>
    <s v="Comprador 04"/>
    <m/>
    <m/>
    <m/>
    <m/>
    <m/>
    <m/>
    <s v="Produto 07"/>
    <n v="621"/>
    <n v="5"/>
    <s v="PC"/>
    <m/>
    <m/>
    <x v="12"/>
    <n v="0"/>
    <n v="0.5"/>
    <n v="310.5"/>
    <n v="3105"/>
    <x v="1"/>
    <x v="1"/>
  </r>
  <r>
    <m/>
    <n v="149"/>
    <d v="2022-03-05T00:00:00"/>
    <m/>
    <s v="Comprador 01"/>
    <m/>
    <m/>
    <m/>
    <m/>
    <m/>
    <m/>
    <s v="Produto 02"/>
    <n v="1342"/>
    <n v="3"/>
    <s v="PC"/>
    <m/>
    <m/>
    <x v="15"/>
    <n v="0.05"/>
    <n v="1"/>
    <n v="1342"/>
    <n v="4227.3"/>
    <x v="4"/>
    <x v="1"/>
  </r>
  <r>
    <m/>
    <n v="150"/>
    <d v="2022-03-24T00:00:00"/>
    <m/>
    <s v="Comprador 20"/>
    <m/>
    <m/>
    <m/>
    <m/>
    <m/>
    <m/>
    <s v="Produto 01"/>
    <n v="2049"/>
    <n v="23"/>
    <s v="KG"/>
    <m/>
    <m/>
    <x v="2"/>
    <n v="0"/>
    <n v="1.1000000000000001"/>
    <n v="2253.9"/>
    <n v="47127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rod. Soma Peso (Alterar´)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4">
  <location ref="H5:I23" firstHeaderRow="1" firstDataRow="1" firstDataCol="1"/>
  <pivotFields count="40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44" showAll="0"/>
    <pivotField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3">
        <item m="1" x="25"/>
        <item m="1" x="51"/>
        <item m="1" x="30"/>
        <item m="1" x="47"/>
        <item m="1" x="24"/>
        <item m="1" x="33"/>
        <item m="1" x="22"/>
        <item m="1" x="45"/>
        <item m="1" x="43"/>
        <item m="1" x="46"/>
        <item m="1" x="48"/>
        <item m="1" x="27"/>
        <item m="1" x="44"/>
        <item m="1" x="17"/>
        <item m="1" x="32"/>
        <item m="1" x="19"/>
        <item m="1" x="36"/>
        <item m="1" x="21"/>
        <item m="1" x="37"/>
        <item m="1" x="41"/>
        <item m="1" x="31"/>
        <item m="1" x="26"/>
        <item x="3"/>
        <item m="1" x="35"/>
        <item x="15"/>
        <item x="5"/>
        <item m="1" x="49"/>
        <item x="1"/>
        <item x="7"/>
        <item x="11"/>
        <item m="1" x="20"/>
        <item x="12"/>
        <item m="1" x="50"/>
        <item m="1" x="29"/>
        <item x="6"/>
        <item m="1" x="39"/>
        <item x="2"/>
        <item x="0"/>
        <item x="9"/>
        <item m="1" x="18"/>
        <item m="1" x="23"/>
        <item x="14"/>
        <item m="1" x="40"/>
        <item m="1" x="34"/>
        <item m="1" x="42"/>
        <item m="1" x="38"/>
        <item x="10"/>
        <item m="1" x="28"/>
        <item x="4"/>
        <item x="8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showAll="0" defaultSubtotal="0"/>
    <pivotField showAll="0" defaultSubtotal="0">
      <items count="4">
        <item h="1" x="0"/>
        <item x="1"/>
        <item h="1" x="2"/>
        <item h="1" x="3"/>
      </items>
    </pivotField>
  </pivotFields>
  <rowFields count="1">
    <field x="36"/>
  </rowFields>
  <rowItems count="18">
    <i>
      <x v="27"/>
    </i>
    <i>
      <x v="51"/>
    </i>
    <i>
      <x v="24"/>
    </i>
    <i>
      <x v="38"/>
    </i>
    <i>
      <x v="31"/>
    </i>
    <i>
      <x v="48"/>
    </i>
    <i>
      <x v="36"/>
    </i>
    <i>
      <x v="49"/>
    </i>
    <i>
      <x v="29"/>
    </i>
    <i>
      <x v="41"/>
    </i>
    <i>
      <x v="22"/>
    </i>
    <i>
      <x v="25"/>
    </i>
    <i>
      <x v="37"/>
    </i>
    <i>
      <x v="46"/>
    </i>
    <i>
      <x v="50"/>
    </i>
    <i>
      <x v="28"/>
    </i>
    <i>
      <x v="34"/>
    </i>
    <i t="grand">
      <x/>
    </i>
  </rowItems>
  <colItems count="1">
    <i/>
  </colItems>
  <dataFields count="1">
    <dataField name="Soma de Peso" fld="37" baseField="0" baseItem="0" numFmtId="3"/>
  </dataFields>
  <formats count="1"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rod. Soma Preço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D5:E23" firstHeaderRow="1" firstDataRow="1" firstDataCol="1"/>
  <pivotFields count="40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44" showAll="0"/>
    <pivotField showAll="0"/>
    <pivotField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3">
        <item m="1" x="25"/>
        <item m="1" x="51"/>
        <item m="1" x="30"/>
        <item m="1" x="47"/>
        <item m="1" x="24"/>
        <item m="1" x="33"/>
        <item m="1" x="22"/>
        <item m="1" x="45"/>
        <item m="1" x="43"/>
        <item m="1" x="46"/>
        <item m="1" x="48"/>
        <item m="1" x="27"/>
        <item m="1" x="44"/>
        <item m="1" x="17"/>
        <item m="1" x="32"/>
        <item m="1" x="19"/>
        <item m="1" x="36"/>
        <item m="1" x="21"/>
        <item m="1" x="37"/>
        <item m="1" x="41"/>
        <item m="1" x="31"/>
        <item m="1" x="26"/>
        <item x="3"/>
        <item m="1" x="35"/>
        <item x="15"/>
        <item x="5"/>
        <item m="1" x="49"/>
        <item x="1"/>
        <item x="7"/>
        <item x="11"/>
        <item m="1" x="20"/>
        <item x="12"/>
        <item m="1" x="50"/>
        <item m="1" x="29"/>
        <item x="6"/>
        <item m="1" x="39"/>
        <item x="2"/>
        <item x="0"/>
        <item x="9"/>
        <item m="1" x="18"/>
        <item m="1" x="23"/>
        <item x="14"/>
        <item m="1" x="40"/>
        <item m="1" x="34"/>
        <item m="1" x="42"/>
        <item m="1" x="38"/>
        <item x="10"/>
        <item m="1" x="28"/>
        <item x="4"/>
        <item x="8"/>
        <item x="13"/>
        <item x="16"/>
        <item t="default"/>
      </items>
    </pivotField>
    <pivotField numFmtId="1" showAll="0"/>
    <pivotField showAll="0" defaultSubtotal="0"/>
    <pivotField showAll="0" defaultSubtotal="0">
      <items count="4">
        <item h="1" x="0"/>
        <item x="1"/>
        <item h="1" x="2"/>
        <item h="1" x="3"/>
      </items>
    </pivotField>
  </pivotFields>
  <rowFields count="1">
    <field x="36"/>
  </rowFields>
  <rowItems count="18">
    <i>
      <x v="22"/>
    </i>
    <i>
      <x v="24"/>
    </i>
    <i>
      <x v="25"/>
    </i>
    <i>
      <x v="27"/>
    </i>
    <i>
      <x v="28"/>
    </i>
    <i>
      <x v="29"/>
    </i>
    <i>
      <x v="31"/>
    </i>
    <i>
      <x v="34"/>
    </i>
    <i>
      <x v="36"/>
    </i>
    <i>
      <x v="37"/>
    </i>
    <i>
      <x v="38"/>
    </i>
    <i>
      <x v="41"/>
    </i>
    <i>
      <x v="46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oma de Preço Total" fld="24" baseField="0" baseItem="0" numFmtId="164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rod. Soma Peso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4">
  <location ref="A5:B23" firstHeaderRow="1" firstDataRow="1" firstDataCol="1"/>
  <pivotFields count="40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44" showAll="0"/>
    <pivotField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3">
        <item m="1" x="37"/>
        <item m="1" x="21"/>
        <item m="1" x="36"/>
        <item m="1" x="23"/>
        <item m="1" x="20"/>
        <item m="1" x="50"/>
        <item m="1" x="18"/>
        <item m="1" x="49"/>
        <item m="1" x="42"/>
        <item m="1" x="40"/>
        <item m="1" x="39"/>
        <item m="1" x="38"/>
        <item m="1" x="35"/>
        <item m="1" x="34"/>
        <item m="1" x="31"/>
        <item m="1" x="28"/>
        <item m="1" x="29"/>
        <item m="1" x="26"/>
        <item x="8"/>
        <item x="9"/>
        <item x="16"/>
        <item x="1"/>
        <item x="2"/>
        <item x="15"/>
        <item x="11"/>
        <item x="3"/>
        <item x="4"/>
        <item x="14"/>
        <item x="12"/>
        <item x="0"/>
        <item x="5"/>
        <item x="10"/>
        <item x="13"/>
        <item x="6"/>
        <item x="7"/>
        <item m="1" x="19"/>
        <item m="1" x="32"/>
        <item m="1" x="17"/>
        <item m="1" x="44"/>
        <item m="1" x="27"/>
        <item m="1" x="48"/>
        <item m="1" x="46"/>
        <item m="1" x="43"/>
        <item m="1" x="41"/>
        <item m="1" x="45"/>
        <item m="1" x="22"/>
        <item m="1" x="33"/>
        <item m="1" x="24"/>
        <item m="1" x="47"/>
        <item m="1" x="30"/>
        <item m="1" x="51"/>
        <item m="1" x="25"/>
        <item t="default"/>
      </items>
    </pivotField>
    <pivotField dataField="1" numFmtId="1" showAll="0"/>
    <pivotField showAll="0" defaultSubtotal="0"/>
    <pivotField showAll="0" defaultSubtotal="0">
      <items count="4">
        <item h="1" x="0"/>
        <item x="1"/>
        <item h="1" x="2"/>
        <item h="1" x="3"/>
      </items>
    </pivotField>
  </pivotFields>
  <rowFields count="1">
    <field x="36"/>
  </rowFields>
  <rowItems count="18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Soma de Peso" fld="37" baseField="0" baseItem="0" numFmtId="3"/>
  </dataFields>
  <formats count="1">
    <format dxfId="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eso Mês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3">
  <location ref="A4:B11" firstHeaderRow="1" firstDataRow="1" firstDataCol="1"/>
  <pivotFields count="40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44" showAll="0"/>
    <pivotField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">
        <item m="1" x="25"/>
        <item m="1" x="51"/>
        <item m="1" x="30"/>
        <item m="1" x="47"/>
        <item m="1" x="24"/>
        <item m="1" x="33"/>
        <item m="1" x="22"/>
        <item m="1" x="45"/>
        <item m="1" x="41"/>
        <item m="1" x="43"/>
        <item m="1" x="46"/>
        <item m="1" x="48"/>
        <item m="1" x="27"/>
        <item m="1" x="44"/>
        <item m="1" x="17"/>
        <item m="1" x="32"/>
        <item m="1" x="19"/>
        <item x="7"/>
        <item x="6"/>
        <item x="13"/>
        <item x="10"/>
        <item x="5"/>
        <item x="0"/>
        <item x="12"/>
        <item x="14"/>
        <item x="4"/>
        <item x="3"/>
        <item x="11"/>
        <item x="15"/>
        <item x="2"/>
        <item x="1"/>
        <item x="16"/>
        <item x="9"/>
        <item x="8"/>
        <item m="1" x="26"/>
        <item m="1" x="29"/>
        <item m="1" x="28"/>
        <item m="1" x="31"/>
        <item m="1" x="34"/>
        <item m="1" x="35"/>
        <item m="1" x="38"/>
        <item m="1" x="39"/>
        <item m="1" x="40"/>
        <item m="1" x="42"/>
        <item m="1" x="49"/>
        <item m="1" x="18"/>
        <item m="1" x="50"/>
        <item m="1" x="20"/>
        <item m="1" x="23"/>
        <item m="1" x="36"/>
        <item m="1" x="21"/>
        <item m="1" x="37"/>
        <item t="default"/>
      </items>
    </pivotField>
    <pivotField dataField="1" numFmtId="1" showAll="0"/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h="1" sd="0" x="0"/>
        <item sd="0" x="1"/>
        <item h="1" sd="0" x="2"/>
        <item h="1" x="3"/>
        <item t="default"/>
      </items>
    </pivotField>
  </pivotFields>
  <rowFields count="1">
    <field x="3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Peso" fld="37" baseField="0" baseItem="0" numFmtId="3"/>
  </dataFields>
  <formats count="1">
    <format dxfId="54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Soma Preço Total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3">
  <location ref="E4:F11" firstHeaderRow="1" firstDataRow="1" firstDataCol="1"/>
  <pivotFields count="40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44" showAll="0"/>
    <pivotField showAll="0"/>
    <pivotField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">
        <item m="1" x="25"/>
        <item m="1" x="51"/>
        <item m="1" x="30"/>
        <item m="1" x="47"/>
        <item m="1" x="24"/>
        <item m="1" x="33"/>
        <item m="1" x="22"/>
        <item m="1" x="45"/>
        <item m="1" x="41"/>
        <item m="1" x="43"/>
        <item m="1" x="46"/>
        <item m="1" x="48"/>
        <item m="1" x="27"/>
        <item m="1" x="44"/>
        <item m="1" x="17"/>
        <item m="1" x="32"/>
        <item m="1" x="19"/>
        <item x="7"/>
        <item x="6"/>
        <item x="13"/>
        <item x="10"/>
        <item x="5"/>
        <item x="0"/>
        <item x="12"/>
        <item x="14"/>
        <item x="4"/>
        <item x="3"/>
        <item x="11"/>
        <item x="15"/>
        <item x="2"/>
        <item x="1"/>
        <item x="16"/>
        <item x="9"/>
        <item x="8"/>
        <item m="1" x="26"/>
        <item m="1" x="29"/>
        <item m="1" x="28"/>
        <item m="1" x="31"/>
        <item m="1" x="34"/>
        <item m="1" x="35"/>
        <item m="1" x="38"/>
        <item m="1" x="39"/>
        <item m="1" x="40"/>
        <item m="1" x="42"/>
        <item m="1" x="49"/>
        <item m="1" x="18"/>
        <item m="1" x="50"/>
        <item m="1" x="20"/>
        <item m="1" x="23"/>
        <item m="1" x="36"/>
        <item m="1" x="21"/>
        <item m="1" x="37"/>
        <item t="default"/>
      </items>
    </pivotField>
    <pivotField numFmtId="1" showAll="0"/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showAll="0" defaultSubtotal="0">
      <items count="4">
        <item h="1" sd="0" x="0"/>
        <item sd="0" x="1"/>
        <item h="1" sd="0" x="2"/>
        <item h="1" x="3"/>
      </items>
    </pivotField>
  </pivotFields>
  <rowFields count="1">
    <field x="3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Preço Total" fld="24" baseField="0" baseItem="0" numFmtId="164"/>
  </dataFields>
  <formats count="1">
    <format dxfId="55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24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3">
  <location ref="E1:F12" firstHeaderRow="1" firstDataRow="1" firstDataCol="1"/>
  <pivotFields count="40">
    <pivotField showAll="0"/>
    <pivotField showAll="0"/>
    <pivotField showAll="0"/>
    <pivotField numFmtId="14" showAll="0"/>
    <pivotField showAll="0"/>
    <pivotField axis="axisRow" showAll="0" measureFilter="1" sortType="ascending">
      <items count="100">
        <item m="1" x="22"/>
        <item m="1" x="76"/>
        <item m="1" x="69"/>
        <item m="1" x="36"/>
        <item m="1" x="49"/>
        <item m="1" x="61"/>
        <item m="1" x="52"/>
        <item m="1" x="20"/>
        <item m="1" x="86"/>
        <item m="1" x="27"/>
        <item m="1" x="70"/>
        <item m="1" x="80"/>
        <item m="1" x="30"/>
        <item m="1" x="34"/>
        <item m="1" x="47"/>
        <item m="1" x="97"/>
        <item m="1" x="95"/>
        <item m="1" x="92"/>
        <item m="1" x="57"/>
        <item m="1" x="98"/>
        <item m="1" x="75"/>
        <item m="1" x="43"/>
        <item m="1" x="87"/>
        <item m="1" x="85"/>
        <item m="1" x="78"/>
        <item m="1" x="38"/>
        <item m="1" x="33"/>
        <item m="1" x="72"/>
        <item m="1" x="40"/>
        <item m="1" x="41"/>
        <item m="1" x="31"/>
        <item m="1" x="56"/>
        <item m="1" x="45"/>
        <item m="1" x="25"/>
        <item m="1" x="73"/>
        <item m="1" x="58"/>
        <item m="1" x="65"/>
        <item m="1" x="67"/>
        <item m="1" x="55"/>
        <item m="1" x="51"/>
        <item m="1" x="37"/>
        <item m="1" x="35"/>
        <item m="1" x="24"/>
        <item m="1" x="90"/>
        <item m="1" x="48"/>
        <item m="1" x="23"/>
        <item m="1" x="28"/>
        <item m="1" x="89"/>
        <item m="1" x="44"/>
        <item m="1" x="81"/>
        <item m="1" x="74"/>
        <item m="1" x="29"/>
        <item m="1" x="96"/>
        <item m="1" x="63"/>
        <item m="1" x="21"/>
        <item m="1" x="94"/>
        <item m="1" x="77"/>
        <item m="1" x="39"/>
        <item m="1" x="82"/>
        <item m="1" x="60"/>
        <item m="1" x="68"/>
        <item m="1" x="59"/>
        <item m="1" x="54"/>
        <item m="1" x="91"/>
        <item m="1" x="93"/>
        <item m="1" x="79"/>
        <item m="1" x="66"/>
        <item m="1" x="84"/>
        <item m="1" x="83"/>
        <item m="1" x="26"/>
        <item m="1" x="88"/>
        <item m="1" x="42"/>
        <item m="1" x="32"/>
        <item m="1" x="71"/>
        <item m="1" x="53"/>
        <item m="1" x="50"/>
        <item m="1" x="64"/>
        <item m="1" x="62"/>
        <item m="1" x="46"/>
        <item x="4"/>
        <item x="8"/>
        <item x="3"/>
        <item x="16"/>
        <item x="7"/>
        <item x="18"/>
        <item x="2"/>
        <item x="1"/>
        <item x="17"/>
        <item x="14"/>
        <item x="0"/>
        <item x="11"/>
        <item x="19"/>
        <item x="12"/>
        <item x="10"/>
        <item x="5"/>
        <item x="13"/>
        <item x="15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44" showAll="0"/>
    <pivotField showAll="0"/>
    <pivotField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">
        <item m="1" x="25"/>
        <item m="1" x="51"/>
        <item m="1" x="30"/>
        <item m="1" x="47"/>
        <item m="1" x="24"/>
        <item m="1" x="33"/>
        <item m="1" x="22"/>
        <item m="1" x="45"/>
        <item m="1" x="41"/>
        <item m="1" x="43"/>
        <item m="1" x="46"/>
        <item m="1" x="48"/>
        <item m="1" x="27"/>
        <item m="1" x="44"/>
        <item m="1" x="17"/>
        <item m="1" x="32"/>
        <item m="1" x="19"/>
        <item x="7"/>
        <item x="6"/>
        <item x="13"/>
        <item x="10"/>
        <item x="5"/>
        <item x="0"/>
        <item x="12"/>
        <item x="14"/>
        <item x="4"/>
        <item x="3"/>
        <item x="11"/>
        <item x="15"/>
        <item x="2"/>
        <item x="1"/>
        <item x="16"/>
        <item x="9"/>
        <item x="8"/>
        <item m="1" x="26"/>
        <item m="1" x="29"/>
        <item m="1" x="28"/>
        <item m="1" x="31"/>
        <item m="1" x="34"/>
        <item m="1" x="35"/>
        <item m="1" x="38"/>
        <item m="1" x="39"/>
        <item m="1" x="40"/>
        <item m="1" x="42"/>
        <item m="1" x="49"/>
        <item m="1" x="18"/>
        <item m="1" x="50"/>
        <item m="1" x="20"/>
        <item m="1" x="23"/>
        <item m="1" x="36"/>
        <item m="1" x="21"/>
        <item m="1" x="37"/>
        <item t="default"/>
      </items>
    </pivotField>
    <pivotField numFmtId="1" showAll="0"/>
    <pivotField showAll="0" defaultSubtotal="0"/>
    <pivotField showAll="0" defaultSubtotal="0"/>
  </pivotFields>
  <rowFields count="1">
    <field x="5"/>
  </rowFields>
  <rowItems count="11">
    <i>
      <x v="81"/>
    </i>
    <i>
      <x v="89"/>
    </i>
    <i>
      <x v="90"/>
    </i>
    <i>
      <x v="94"/>
    </i>
    <i>
      <x v="86"/>
    </i>
    <i>
      <x v="95"/>
    </i>
    <i>
      <x v="93"/>
    </i>
    <i>
      <x v="87"/>
    </i>
    <i>
      <x v="98"/>
    </i>
    <i>
      <x v="85"/>
    </i>
    <i t="grand">
      <x/>
    </i>
  </rowItems>
  <colItems count="1">
    <i/>
  </colItems>
  <dataFields count="1">
    <dataField name="Soma de Preço Total" fld="24" baseField="0" baseItem="0" numFmtId="164"/>
  </dataFields>
  <formats count="1">
    <format dxfId="53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eso total de compra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6">
  <location ref="E4:F6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axis="axisRow" showAll="0" sortType="descending">
      <items count="40">
        <item h="1" m="1" x="28"/>
        <item h="1" m="1" x="17"/>
        <item h="1" m="1" x="16"/>
        <item h="1" m="1" x="25"/>
        <item h="1" m="1" x="34"/>
        <item h="1" m="1" x="38"/>
        <item h="1" m="1" x="22"/>
        <item h="1" m="1" x="33"/>
        <item h="1" m="1" x="35"/>
        <item h="1" m="1" x="21"/>
        <item h="1" x="0"/>
        <item h="1" x="1"/>
        <item h="1" x="11"/>
        <item h="1" x="7"/>
        <item h="1" x="6"/>
        <item h="1" x="3"/>
        <item h="1" x="4"/>
        <item h="1" m="1" x="27"/>
        <item h="1" x="13"/>
        <item h="1" x="5"/>
        <item h="1" x="12"/>
        <item h="1" x="14"/>
        <item h="1" x="10"/>
        <item x="9"/>
        <item h="1" x="8"/>
        <item h="1" x="15"/>
        <item h="1" x="2"/>
        <item h="1" m="1" x="23"/>
        <item h="1" m="1" x="26"/>
        <item h="1" m="1" x="36"/>
        <item h="1" m="1" x="32"/>
        <item h="1" m="1" x="24"/>
        <item h="1" m="1" x="19"/>
        <item h="1" m="1" x="18"/>
        <item h="1" m="1" x="37"/>
        <item h="1" m="1" x="20"/>
        <item h="1" m="1" x="31"/>
        <item h="1" m="1" x="30"/>
        <item h="1" m="1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9" showAll="0"/>
    <pivotField showAll="0"/>
    <pivotField dataField="1" showAll="0"/>
    <pivotField numFmtId="44" showAll="0"/>
    <pivotField showAll="0"/>
    <pivotField numFmtId="1" showAll="0">
      <items count="4">
        <item h="1" x="0"/>
        <item x="1"/>
        <item h="1" m="1" x="2"/>
        <item t="default"/>
      </items>
    </pivotField>
  </pivotFields>
  <rowFields count="1">
    <field x="17"/>
  </rowFields>
  <rowItems count="2">
    <i>
      <x v="23"/>
    </i>
    <i t="grand">
      <x/>
    </i>
  </rowItems>
  <colItems count="1">
    <i/>
  </colItems>
  <dataFields count="1">
    <dataField name="Soma de Peso Total" fld="20" baseField="0" baseItem="0" numFmtId="3"/>
  </dataFields>
  <formats count="1">
    <format dxfId="39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2000000}" name="Vlr total de compra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A4:B6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axis="axisRow" showAll="0">
      <items count="40">
        <item h="1" m="1" x="30"/>
        <item h="1" m="1" x="31"/>
        <item h="1" m="1" x="37"/>
        <item h="1" m="1" x="18"/>
        <item h="1" m="1" x="19"/>
        <item h="1" m="1" x="24"/>
        <item h="1" m="1" x="36"/>
        <item h="1" m="1" x="23"/>
        <item h="1" m="1" x="17"/>
        <item h="1" m="1" x="28"/>
        <item h="1" m="1" x="32"/>
        <item h="1" m="1" x="20"/>
        <item h="1" m="1" x="26"/>
        <item h="1" m="1" x="29"/>
        <item h="1" x="3"/>
        <item h="1" x="1"/>
        <item h="1" m="1" x="16"/>
        <item h="1" m="1" x="33"/>
        <item h="1" m="1" x="22"/>
        <item h="1" x="0"/>
        <item h="1" m="1" x="27"/>
        <item h="1" x="4"/>
        <item h="1" m="1" x="21"/>
        <item h="1" m="1" x="25"/>
        <item h="1" m="1" x="38"/>
        <item h="1" x="7"/>
        <item h="1" m="1" x="35"/>
        <item h="1" x="11"/>
        <item h="1" x="6"/>
        <item h="1" m="1" x="34"/>
        <item x="9"/>
        <item h="1" x="15"/>
        <item h="1" x="2"/>
        <item h="1" x="8"/>
        <item h="1" x="5"/>
        <item h="1" x="14"/>
        <item h="1" x="10"/>
        <item h="1" x="13"/>
        <item h="1" x="12"/>
        <item t="default"/>
      </items>
    </pivotField>
    <pivotField numFmtId="9" showAll="0"/>
    <pivotField showAll="0"/>
    <pivotField showAll="0"/>
    <pivotField dataField="1" numFmtId="44" showAll="0"/>
    <pivotField showAll="0"/>
    <pivotField numFmtId="1" showAll="0">
      <items count="4">
        <item h="1" x="0"/>
        <item x="1"/>
        <item h="1" m="1" x="2"/>
        <item t="default"/>
      </items>
    </pivotField>
  </pivotFields>
  <rowFields count="1">
    <field x="17"/>
  </rowFields>
  <rowItems count="2">
    <i>
      <x v="30"/>
    </i>
    <i t="grand">
      <x/>
    </i>
  </rowItems>
  <colItems count="1">
    <i/>
  </colItems>
  <dataFields count="1">
    <dataField name="Soma de Vlr Total" fld="21" baseField="0" baseItem="0" numFmtId="164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ela dinâmica1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I4:J21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axis="axisRow" showAll="0" sortType="ascending">
      <items count="40">
        <item m="1" x="29"/>
        <item m="1" x="30"/>
        <item m="1" x="31"/>
        <item m="1" x="20"/>
        <item m="1" x="37"/>
        <item m="1" x="18"/>
        <item m="1" x="19"/>
        <item m="1" x="24"/>
        <item m="1" x="32"/>
        <item m="1" x="36"/>
        <item m="1" x="26"/>
        <item m="1" x="23"/>
        <item x="2"/>
        <item x="15"/>
        <item x="8"/>
        <item x="9"/>
        <item x="10"/>
        <item x="14"/>
        <item x="12"/>
        <item x="5"/>
        <item x="13"/>
        <item m="1" x="27"/>
        <item x="4"/>
        <item x="3"/>
        <item x="6"/>
        <item x="7"/>
        <item x="11"/>
        <item x="1"/>
        <item x="0"/>
        <item m="1" x="21"/>
        <item m="1" x="35"/>
        <item m="1" x="33"/>
        <item m="1" x="22"/>
        <item m="1" x="38"/>
        <item m="1" x="34"/>
        <item m="1" x="25"/>
        <item m="1" x="16"/>
        <item m="1" x="17"/>
        <item m="1" x="28"/>
        <item t="default"/>
      </items>
    </pivotField>
    <pivotField numFmtId="9" showAll="0"/>
    <pivotField showAll="0"/>
    <pivotField showAll="0"/>
    <pivotField dataField="1" numFmtId="44" showAll="0"/>
    <pivotField showAll="0"/>
    <pivotField numFmtId="1" showAll="0"/>
  </pivotFields>
  <rowFields count="1">
    <field x="17"/>
  </rowFields>
  <rowItems count="17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oma de Vlr Total" fld="21" baseField="0" baseItem="0" numFmtId="164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Vlr gasto com cada material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3">
  <location ref="A3:B20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axis="axisRow" showAll="0" sortType="descending">
      <items count="40">
        <item m="1" x="28"/>
        <item m="1" x="17"/>
        <item m="1" x="16"/>
        <item m="1" x="25"/>
        <item m="1" x="34"/>
        <item m="1" x="38"/>
        <item m="1" x="22"/>
        <item m="1" x="33"/>
        <item m="1" x="35"/>
        <item m="1" x="21"/>
        <item x="0"/>
        <item x="1"/>
        <item x="11"/>
        <item x="7"/>
        <item x="6"/>
        <item x="3"/>
        <item x="4"/>
        <item m="1" x="27"/>
        <item x="13"/>
        <item x="5"/>
        <item x="12"/>
        <item x="14"/>
        <item x="10"/>
        <item x="9"/>
        <item x="8"/>
        <item x="15"/>
        <item x="2"/>
        <item m="1" x="23"/>
        <item m="1" x="26"/>
        <item m="1" x="36"/>
        <item m="1" x="32"/>
        <item m="1" x="24"/>
        <item m="1" x="19"/>
        <item m="1" x="18"/>
        <item m="1" x="37"/>
        <item m="1" x="20"/>
        <item m="1" x="31"/>
        <item m="1" x="30"/>
        <item m="1" x="29"/>
        <item t="default"/>
      </items>
    </pivotField>
    <pivotField numFmtId="9" showAll="0"/>
    <pivotField showAll="0"/>
    <pivotField showAll="0"/>
    <pivotField dataField="1" numFmtId="44" showAll="0"/>
    <pivotField showAll="0"/>
    <pivotField numFmtId="1" showAll="0">
      <items count="4">
        <item h="1" x="0"/>
        <item x="1"/>
        <item h="1" m="1" x="2"/>
        <item t="default"/>
      </items>
    </pivotField>
  </pivotFields>
  <rowFields count="1">
    <field x="17"/>
  </rowFields>
  <rowItems count="17"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Vlr Total" fld="21" baseField="0" baseItem="0" numFmtId="164"/>
  </dataFields>
  <formats count="1">
    <format dxfId="38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Vlr. COmpra mensal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7">
  <location ref="A3:B7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>
      <items count="40">
        <item h="1" m="1" x="29"/>
        <item h="1" m="1" x="30"/>
        <item h="1" m="1" x="31"/>
        <item h="1" m="1" x="20"/>
        <item h="1" m="1" x="37"/>
        <item h="1" m="1" x="18"/>
        <item h="1" m="1" x="19"/>
        <item h="1" m="1" x="24"/>
        <item h="1" m="1" x="32"/>
        <item h="1" m="1" x="36"/>
        <item h="1" m="1" x="26"/>
        <item h="1" m="1" x="23"/>
        <item h="1" x="2"/>
        <item h="1" x="15"/>
        <item h="1" x="8"/>
        <item x="9"/>
        <item h="1" x="10"/>
        <item h="1" x="14"/>
        <item h="1" x="12"/>
        <item h="1" x="5"/>
        <item h="1" x="13"/>
        <item h="1" m="1" x="27"/>
        <item h="1" x="4"/>
        <item h="1" x="3"/>
        <item h="1" x="6"/>
        <item h="1" x="7"/>
        <item h="1" x="11"/>
        <item h="1" x="1"/>
        <item h="1" x="0"/>
        <item h="1" m="1" x="21"/>
        <item h="1" m="1" x="35"/>
        <item h="1" m="1" x="33"/>
        <item h="1" m="1" x="22"/>
        <item h="1" m="1" x="38"/>
        <item h="1" m="1" x="34"/>
        <item h="1" m="1" x="25"/>
        <item h="1" m="1" x="16"/>
        <item h="1" m="1" x="17"/>
        <item h="1" m="1" x="28"/>
        <item t="default"/>
      </items>
    </pivotField>
    <pivotField numFmtId="9" showAll="0"/>
    <pivotField showAll="0"/>
    <pivotField showAll="0"/>
    <pivotField dataField="1" numFmtId="44" showAll="0"/>
    <pivotField axis="axisRow" showAll="0" sortType="ascending">
      <items count="8">
        <item x="1"/>
        <item x="5"/>
        <item x="4"/>
        <item x="3"/>
        <item x="2"/>
        <item m="1" x="6"/>
        <item x="0"/>
        <item t="default"/>
      </items>
    </pivotField>
    <pivotField numFmtId="1" showAll="0">
      <items count="4">
        <item h="1" x="0"/>
        <item x="1"/>
        <item h="1" m="1" x="2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lr Total" fld="21" baseField="0" baseItem="0" numFmtId="164"/>
  </dataFields>
  <formats count="1">
    <format dxfId="36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eso compra mensal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13">
  <location ref="D3:E7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>
      <items count="40">
        <item h="1" m="1" x="29"/>
        <item h="1" m="1" x="30"/>
        <item h="1" m="1" x="31"/>
        <item h="1" m="1" x="20"/>
        <item h="1" m="1" x="37"/>
        <item h="1" m="1" x="18"/>
        <item h="1" m="1" x="19"/>
        <item h="1" m="1" x="24"/>
        <item h="1" m="1" x="32"/>
        <item h="1" m="1" x="36"/>
        <item h="1" m="1" x="26"/>
        <item h="1" m="1" x="23"/>
        <item h="1" x="2"/>
        <item h="1" x="15"/>
        <item h="1" x="8"/>
        <item x="9"/>
        <item h="1" x="10"/>
        <item h="1" x="14"/>
        <item h="1" x="12"/>
        <item h="1" x="5"/>
        <item h="1" x="13"/>
        <item h="1" m="1" x="27"/>
        <item h="1" x="4"/>
        <item h="1" x="3"/>
        <item h="1" x="6"/>
        <item h="1" x="7"/>
        <item h="1" x="11"/>
        <item h="1" x="1"/>
        <item h="1" x="0"/>
        <item h="1" m="1" x="21"/>
        <item h="1" m="1" x="35"/>
        <item h="1" m="1" x="33"/>
        <item h="1" m="1" x="22"/>
        <item h="1" m="1" x="38"/>
        <item h="1" m="1" x="34"/>
        <item h="1" m="1" x="25"/>
        <item h="1" m="1" x="16"/>
        <item h="1" m="1" x="17"/>
        <item h="1" m="1" x="28"/>
        <item t="default"/>
      </items>
    </pivotField>
    <pivotField numFmtId="9" showAll="0"/>
    <pivotField showAll="0"/>
    <pivotField dataField="1" showAll="0"/>
    <pivotField numFmtId="44" showAll="0"/>
    <pivotField axis="axisRow" showAll="0" sortType="ascending">
      <items count="8">
        <item x="1"/>
        <item x="5"/>
        <item x="4"/>
        <item x="3"/>
        <item x="2"/>
        <item m="1" x="6"/>
        <item x="0"/>
        <item t="default"/>
      </items>
    </pivotField>
    <pivotField numFmtId="1" showAll="0">
      <items count="4">
        <item h="1" x="0"/>
        <item x="1"/>
        <item h="1" m="1" x="2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Peso Total" fld="20" baseField="0" baseItem="0"/>
  </dataFields>
  <formats count="1">
    <format dxfId="37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ela dinâmica24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5">
  <location ref="G3:I7" firstHeaderRow="1" firstDataRow="2" firstDataCol="1"/>
  <pivotFields count="4">
    <pivotField axis="axisRow" showAll="0">
      <items count="17">
        <item m="1" x="10"/>
        <item m="1" x="12"/>
        <item m="1" x="7"/>
        <item m="1" x="14"/>
        <item m="1" x="13"/>
        <item m="1" x="11"/>
        <item m="1" x="15"/>
        <item m="1" x="5"/>
        <item x="4"/>
        <item x="1"/>
        <item m="1" x="8"/>
        <item m="1" x="6"/>
        <item x="2"/>
        <item m="1" x="9"/>
        <item x="0"/>
        <item x="3"/>
        <item t="default"/>
      </items>
    </pivotField>
    <pivotField numFmtId="14" showAll="0"/>
    <pivotField dataField="1" numFmtId="165" showAll="0"/>
    <pivotField axis="axisCol" numFmtId="166" showAll="0">
      <items count="10">
        <item x="0"/>
        <item h="1" x="1"/>
        <item h="1" x="2"/>
        <item h="1" x="3"/>
        <item h="1" x="4"/>
        <item h="1" x="5"/>
        <item h="1" x="7"/>
        <item h="1" x="6"/>
        <item h="1" x="8"/>
        <item t="default"/>
      </items>
    </pivotField>
  </pivotFields>
  <rowFields count="1">
    <field x="0"/>
  </rowFields>
  <rowItems count="3">
    <i>
      <x v="9"/>
    </i>
    <i>
      <x v="14"/>
    </i>
    <i t="grand">
      <x/>
    </i>
  </rowItems>
  <colFields count="1">
    <field x="3"/>
  </colFields>
  <colItems count="2">
    <i>
      <x/>
    </i>
    <i t="grand">
      <x/>
    </i>
  </colItems>
  <dataFields count="1">
    <dataField name="Soma de VALOR" fld="2" baseField="0" baseItem="0" numFmtId="164"/>
  </dataFields>
  <formats count="1">
    <format dxfId="35">
      <pivotArea outline="0" collapsedLevelsAreSubtotals="1" fieldPosition="0"/>
    </format>
  </formats>
  <chartFormats count="11"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0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1000000}" name="Clientes devendo (class por dia)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A5:C9" firstHeaderRow="1" firstDataRow="2" firstDataCol="1" rowPageCount="1" colPageCount="1"/>
  <pivotFields count="10">
    <pivotField showAll="0"/>
    <pivotField showAll="0"/>
    <pivotField axis="axisRow" showAll="0">
      <items count="6">
        <item x="1"/>
        <item m="1" x="4"/>
        <item x="2"/>
        <item x="0"/>
        <item x="3"/>
        <item t="default"/>
      </items>
    </pivotField>
    <pivotField dataField="1" numFmtId="44" showAll="0"/>
    <pivotField showAll="0"/>
    <pivotField axis="axisCol" showAll="0">
      <items count="7">
        <item h="1" x="0"/>
        <item h="1" x="3"/>
        <item x="4"/>
        <item h="1" m="1" x="5"/>
        <item h="1" x="1"/>
        <item h="1" x="2"/>
        <item t="default"/>
      </items>
    </pivotField>
    <pivotField showAll="0"/>
    <pivotField showAll="0"/>
    <pivotField showAll="0">
      <items count="4">
        <item h="1" x="1"/>
        <item x="0"/>
        <item h="1" m="1" x="2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</pivotFields>
  <rowFields count="1">
    <field x="2"/>
  </rowFields>
  <rowItems count="3">
    <i>
      <x/>
    </i>
    <i>
      <x v="4"/>
    </i>
    <i t="grand">
      <x/>
    </i>
  </rowItems>
  <colFields count="1">
    <field x="5"/>
  </colFields>
  <colItems count="2">
    <i>
      <x v="2"/>
    </i>
    <i t="grand">
      <x/>
    </i>
  </colItems>
  <pageFields count="1">
    <pageField fld="9" item="0" hier="-1"/>
  </pageFields>
  <dataFields count="1">
    <dataField name="Soma de Valor " fld="3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Clientes devendo (aberto)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6">
  <location ref="A16:B24" firstHeaderRow="1" firstDataRow="1" firstDataCol="1" rowPageCount="1" colPageCount="1"/>
  <pivotFields count="10">
    <pivotField axis="axisRow" showAll="0" sortType="descending">
      <items count="139">
        <item m="1" x="32"/>
        <item m="1" x="52"/>
        <item m="1" x="48"/>
        <item m="1" x="13"/>
        <item m="1" x="17"/>
        <item m="1" x="122"/>
        <item m="1" x="77"/>
        <item m="1" x="18"/>
        <item m="1" x="101"/>
        <item m="1" x="90"/>
        <item m="1" x="97"/>
        <item m="1" x="114"/>
        <item m="1" x="115"/>
        <item m="1" x="85"/>
        <item m="1" x="103"/>
        <item m="1" x="11"/>
        <item m="1" x="105"/>
        <item m="1" x="129"/>
        <item m="1" x="29"/>
        <item m="1" x="127"/>
        <item m="1" x="67"/>
        <item m="1" x="75"/>
        <item m="1" x="70"/>
        <item m="1" x="34"/>
        <item m="1" x="87"/>
        <item m="1" x="76"/>
        <item m="1" x="68"/>
        <item m="1" x="113"/>
        <item m="1" x="45"/>
        <item m="1" x="55"/>
        <item m="1" x="98"/>
        <item m="1" x="131"/>
        <item m="1" x="106"/>
        <item m="1" x="12"/>
        <item m="1" x="130"/>
        <item m="1" x="82"/>
        <item m="1" x="133"/>
        <item m="1" x="24"/>
        <item m="1" x="94"/>
        <item m="1" x="93"/>
        <item m="1" x="112"/>
        <item m="1" x="51"/>
        <item m="1" x="57"/>
        <item m="1" x="125"/>
        <item m="1" x="137"/>
        <item m="1" x="20"/>
        <item m="1" x="56"/>
        <item m="1" x="14"/>
        <item m="1" x="59"/>
        <item m="1" x="72"/>
        <item m="1" x="126"/>
        <item m="1" x="134"/>
        <item m="1" x="15"/>
        <item m="1" x="92"/>
        <item m="1" x="38"/>
        <item m="1" x="43"/>
        <item m="1" x="64"/>
        <item m="1" x="61"/>
        <item m="1" x="69"/>
        <item m="1" x="37"/>
        <item m="1" x="86"/>
        <item m="1" x="42"/>
        <item m="1" x="84"/>
        <item m="1" x="120"/>
        <item m="1" x="74"/>
        <item m="1" x="40"/>
        <item m="1" x="62"/>
        <item m="1" x="16"/>
        <item m="1" x="80"/>
        <item m="1" x="53"/>
        <item m="1" x="71"/>
        <item m="1" x="25"/>
        <item m="1" x="27"/>
        <item m="1" x="47"/>
        <item m="1" x="102"/>
        <item m="1" x="46"/>
        <item m="1" x="23"/>
        <item m="1" x="91"/>
        <item m="1" x="35"/>
        <item m="1" x="33"/>
        <item m="1" x="44"/>
        <item m="1" x="99"/>
        <item m="1" x="110"/>
        <item m="1" x="30"/>
        <item m="1" x="116"/>
        <item m="1" x="118"/>
        <item m="1" x="121"/>
        <item m="1" x="79"/>
        <item m="1" x="50"/>
        <item m="1" x="95"/>
        <item m="1" x="73"/>
        <item m="1" x="22"/>
        <item m="1" x="66"/>
        <item m="1" x="49"/>
        <item m="1" x="117"/>
        <item m="1" x="128"/>
        <item m="1" x="108"/>
        <item m="1" x="132"/>
        <item m="1" x="135"/>
        <item m="1" x="58"/>
        <item m="1" x="36"/>
        <item m="1" x="104"/>
        <item m="1" x="26"/>
        <item m="1" x="31"/>
        <item m="1" x="54"/>
        <item m="1" x="124"/>
        <item m="1" x="41"/>
        <item m="1" x="107"/>
        <item m="1" x="109"/>
        <item m="1" x="89"/>
        <item m="1" x="111"/>
        <item m="1" x="19"/>
        <item m="1" x="28"/>
        <item m="1" x="119"/>
        <item x="2"/>
        <item x="8"/>
        <item x="0"/>
        <item x="4"/>
        <item x="7"/>
        <item x="3"/>
        <item x="9"/>
        <item x="1"/>
        <item x="5"/>
        <item x="6"/>
        <item m="1" x="10"/>
        <item m="1" x="21"/>
        <item m="1" x="65"/>
        <item m="1" x="123"/>
        <item m="1" x="63"/>
        <item m="1" x="136"/>
        <item m="1" x="78"/>
        <item m="1" x="60"/>
        <item m="1" x="39"/>
        <item m="1" x="83"/>
        <item m="1" x="81"/>
        <item m="1" x="88"/>
        <item m="1" x="96"/>
        <item m="1" x="100"/>
        <item t="default"/>
      </items>
    </pivotField>
    <pivotField showAll="0"/>
    <pivotField showAll="0"/>
    <pivotField dataField="1" numFmtId="44" showAll="0"/>
    <pivotField showAll="0"/>
    <pivotField showAll="0">
      <items count="7">
        <item h="1" x="0"/>
        <item h="1" x="3"/>
        <item x="4"/>
        <item h="1" x="1"/>
        <item h="1" x="2"/>
        <item h="1" m="1" x="5"/>
        <item t="default"/>
      </items>
    </pivotField>
    <pivotField showAll="0"/>
    <pivotField showAll="0"/>
    <pivotField showAll="0">
      <items count="4">
        <item h="1" x="1"/>
        <item x="0"/>
        <item h="1" m="1" x="2"/>
        <item t="default"/>
      </items>
    </pivotField>
    <pivotField axis="axisPage" multipleItemSelectionAllowed="1" showAll="0">
      <items count="5">
        <item x="1"/>
        <item h="1" x="3"/>
        <item h="1" x="2"/>
        <item h="1" x="0"/>
        <item t="default"/>
      </items>
    </pivotField>
  </pivotFields>
  <rowFields count="1">
    <field x="0"/>
  </rowFields>
  <rowItems count="8">
    <i>
      <x v="114"/>
    </i>
    <i>
      <x v="116"/>
    </i>
    <i>
      <x v="117"/>
    </i>
    <i>
      <x v="118"/>
    </i>
    <i>
      <x v="119"/>
    </i>
    <i>
      <x v="121"/>
    </i>
    <i>
      <x v="122"/>
    </i>
    <i t="grand">
      <x/>
    </i>
  </rowItems>
  <colItems count="1">
    <i/>
  </colItems>
  <pageFields count="1">
    <pageField fld="9" hier="-1"/>
  </pageFields>
  <dataFields count="1">
    <dataField name="Soma de Valor " fld="3" baseField="0" baseItem="0" numFmtId="44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DBEEC-54E0-404A-9E22-8AB3421898B1}" name="Tabela dinâ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G4:L8" firstHeaderRow="1" firstDataRow="2" firstDataCol="1"/>
  <pivotFields count="10">
    <pivotField showAll="0"/>
    <pivotField showAll="0"/>
    <pivotField multipleItemSelectionAllowed="1" showAll="0"/>
    <pivotField dataField="1" numFmtId="44" showAll="0"/>
    <pivotField showAll="0"/>
    <pivotField showAll="0"/>
    <pivotField axis="axisCol" multipleItemSelectionAllowed="1" showAll="0">
      <items count="9">
        <item x="3"/>
        <item x="2"/>
        <item h="1" m="1" x="6"/>
        <item h="1" m="1" x="5"/>
        <item h="1" m="1" x="7"/>
        <item x="4"/>
        <item h="1" x="0"/>
        <item x="1"/>
        <item t="default"/>
      </items>
    </pivotField>
    <pivotField showAll="0"/>
    <pivotField showAll="0">
      <items count="4">
        <item h="1" x="1"/>
        <item x="0"/>
        <item h="1" m="1" x="2"/>
        <item t="default"/>
      </items>
    </pivotField>
    <pivotField axis="axisRow" multipleItemSelectionAllowed="1" showAll="0">
      <items count="5">
        <item h="1" x="1"/>
        <item x="3"/>
        <item h="1" x="2"/>
        <item x="0"/>
        <item t="default"/>
      </items>
    </pivotField>
  </pivotFields>
  <rowFields count="1">
    <field x="9"/>
  </rowFields>
  <rowItems count="3">
    <i>
      <x v="1"/>
    </i>
    <i>
      <x v="3"/>
    </i>
    <i t="grand">
      <x/>
    </i>
  </rowItems>
  <colFields count="1">
    <field x="6"/>
  </colFields>
  <colItems count="5">
    <i>
      <x/>
    </i>
    <i>
      <x v="1"/>
    </i>
    <i>
      <x v="5"/>
    </i>
    <i>
      <x v="7"/>
    </i>
    <i t="grand">
      <x/>
    </i>
  </colItems>
  <dataFields count="1">
    <dataField name="Soma de Valor " fld="3" baseField="0" baseItem="0" numFmtId="4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B50A8-923C-4707-898F-5C7B7A3163E2}" name="Tabela dinâ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8">
  <location ref="G17:H28" firstHeaderRow="1" firstDataRow="1" firstDataCol="1" rowPageCount="1" colPageCount="1"/>
  <pivotFields count="10">
    <pivotField axis="axisRow" showAll="0" sortType="descending">
      <items count="139">
        <item m="1" x="32"/>
        <item m="1" x="52"/>
        <item m="1" x="48"/>
        <item m="1" x="13"/>
        <item m="1" x="17"/>
        <item m="1" x="122"/>
        <item m="1" x="77"/>
        <item m="1" x="18"/>
        <item m="1" x="101"/>
        <item m="1" x="90"/>
        <item m="1" x="97"/>
        <item m="1" x="114"/>
        <item m="1" x="115"/>
        <item m="1" x="85"/>
        <item m="1" x="103"/>
        <item m="1" x="11"/>
        <item m="1" x="105"/>
        <item m="1" x="129"/>
        <item m="1" x="29"/>
        <item m="1" x="127"/>
        <item m="1" x="67"/>
        <item m="1" x="75"/>
        <item m="1" x="70"/>
        <item m="1" x="34"/>
        <item m="1" x="87"/>
        <item m="1" x="76"/>
        <item m="1" x="68"/>
        <item m="1" x="113"/>
        <item m="1" x="45"/>
        <item m="1" x="55"/>
        <item m="1" x="98"/>
        <item m="1" x="131"/>
        <item m="1" x="106"/>
        <item m="1" x="12"/>
        <item m="1" x="130"/>
        <item m="1" x="82"/>
        <item m="1" x="133"/>
        <item m="1" x="24"/>
        <item m="1" x="94"/>
        <item m="1" x="93"/>
        <item m="1" x="112"/>
        <item m="1" x="51"/>
        <item m="1" x="57"/>
        <item m="1" x="125"/>
        <item m="1" x="137"/>
        <item m="1" x="20"/>
        <item m="1" x="56"/>
        <item m="1" x="14"/>
        <item m="1" x="59"/>
        <item m="1" x="72"/>
        <item m="1" x="126"/>
        <item m="1" x="134"/>
        <item m="1" x="15"/>
        <item m="1" x="92"/>
        <item m="1" x="38"/>
        <item m="1" x="43"/>
        <item m="1" x="64"/>
        <item m="1" x="61"/>
        <item m="1" x="69"/>
        <item m="1" x="37"/>
        <item m="1" x="86"/>
        <item m="1" x="42"/>
        <item m="1" x="84"/>
        <item m="1" x="120"/>
        <item m="1" x="74"/>
        <item m="1" x="40"/>
        <item m="1" x="62"/>
        <item m="1" x="16"/>
        <item m="1" x="80"/>
        <item m="1" x="53"/>
        <item m="1" x="71"/>
        <item m="1" x="25"/>
        <item m="1" x="27"/>
        <item m="1" x="47"/>
        <item m="1" x="102"/>
        <item m="1" x="46"/>
        <item m="1" x="23"/>
        <item m="1" x="91"/>
        <item m="1" x="35"/>
        <item m="1" x="33"/>
        <item m="1" x="44"/>
        <item m="1" x="99"/>
        <item m="1" x="110"/>
        <item m="1" x="30"/>
        <item m="1" x="116"/>
        <item m="1" x="118"/>
        <item m="1" x="121"/>
        <item m="1" x="79"/>
        <item m="1" x="50"/>
        <item m="1" x="95"/>
        <item m="1" x="73"/>
        <item m="1" x="22"/>
        <item m="1" x="66"/>
        <item m="1" x="49"/>
        <item m="1" x="117"/>
        <item m="1" x="128"/>
        <item m="1" x="108"/>
        <item m="1" x="132"/>
        <item m="1" x="135"/>
        <item m="1" x="58"/>
        <item m="1" x="36"/>
        <item m="1" x="104"/>
        <item m="1" x="26"/>
        <item m="1" x="31"/>
        <item m="1" x="54"/>
        <item m="1" x="124"/>
        <item m="1" x="41"/>
        <item m="1" x="107"/>
        <item m="1" x="109"/>
        <item m="1" x="89"/>
        <item m="1" x="111"/>
        <item m="1" x="19"/>
        <item m="1" x="28"/>
        <item m="1" x="119"/>
        <item x="2"/>
        <item x="8"/>
        <item x="0"/>
        <item x="4"/>
        <item x="7"/>
        <item x="3"/>
        <item x="9"/>
        <item x="1"/>
        <item x="5"/>
        <item x="6"/>
        <item m="1" x="10"/>
        <item m="1" x="21"/>
        <item m="1" x="65"/>
        <item m="1" x="123"/>
        <item m="1" x="63"/>
        <item m="1" x="136"/>
        <item m="1" x="78"/>
        <item m="1" x="60"/>
        <item m="1" x="39"/>
        <item m="1" x="83"/>
        <item m="1" x="81"/>
        <item m="1" x="88"/>
        <item m="1" x="96"/>
        <item m="1" x="100"/>
        <item t="default"/>
      </items>
    </pivotField>
    <pivotField showAll="0"/>
    <pivotField showAll="0"/>
    <pivotField dataField="1" numFmtId="44" showAll="0"/>
    <pivotField showAll="0"/>
    <pivotField showAll="0"/>
    <pivotField multipleItemSelectionAllowed="1" showAll="0">
      <items count="9">
        <item x="3"/>
        <item x="2"/>
        <item x="4"/>
        <item x="1"/>
        <item h="1" x="0"/>
        <item h="1" m="1" x="6"/>
        <item h="1" m="1" x="7"/>
        <item h="1" m="1" x="5"/>
        <item t="default"/>
      </items>
    </pivotField>
    <pivotField showAll="0"/>
    <pivotField showAll="0">
      <items count="4">
        <item h="1" x="1"/>
        <item x="0"/>
        <item h="1" m="1" x="2"/>
        <item t="default"/>
      </items>
    </pivotField>
    <pivotField axis="axisPage" multipleItemSelectionAllowed="1" showAll="0">
      <items count="5">
        <item h="1" x="1"/>
        <item x="3"/>
        <item h="1" x="2"/>
        <item x="0"/>
        <item t="default"/>
      </items>
    </pivotField>
  </pivotFields>
  <rowFields count="1">
    <field x="0"/>
  </rowFields>
  <rowItems count="11"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pageFields count="1">
    <pageField fld="9" hier="-1"/>
  </pageFields>
  <dataFields count="1">
    <dataField name="Soma de Valor " fld="3" baseField="0" baseItem="0" numFmtId="44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ão_Resumida" xr10:uid="{00000000-0013-0000-FFFF-FFFF01000000}" sourceName="Descrição Resumida">
  <pivotTables>
    <pivotTable tabId="8" name="Tabela dinâmica24"/>
    <pivotTable tabId="7" name="Peso Mês"/>
    <pivotTable tabId="7" name="Soma Preço Total"/>
    <pivotTable tabId="5" name="Prod. Soma Peso (Alterar´)"/>
    <pivotTable tabId="5" name="Prod. Soma Preço"/>
  </pivotTables>
  <data>
    <tabular pivotCacheId="1458496257">
      <items count="52">
        <i x="7" s="1"/>
        <i x="6" s="1"/>
        <i x="13" s="1"/>
        <i x="10" s="1"/>
        <i x="5" s="1"/>
        <i x="0" s="1"/>
        <i x="12" s="1"/>
        <i x="14" s="1"/>
        <i x="4" s="1"/>
        <i x="3" s="1"/>
        <i x="11" s="1"/>
        <i x="15" s="1"/>
        <i x="2" s="1"/>
        <i x="1" s="1"/>
        <i x="16" s="1"/>
        <i x="9" s="1"/>
        <i x="8" s="1"/>
        <i x="25" s="1" nd="1"/>
        <i x="51" s="1" nd="1"/>
        <i x="30" s="1" nd="1"/>
        <i x="47" s="1" nd="1"/>
        <i x="24" s="1" nd="1"/>
        <i x="33" s="1" nd="1"/>
        <i x="22" s="1" nd="1"/>
        <i x="45" s="1" nd="1"/>
        <i x="41" s="1" nd="1"/>
        <i x="43" s="1" nd="1"/>
        <i x="46" s="1" nd="1"/>
        <i x="48" s="1" nd="1"/>
        <i x="27" s="1" nd="1"/>
        <i x="44" s="1" nd="1"/>
        <i x="17" s="1" nd="1"/>
        <i x="32" s="1" nd="1"/>
        <i x="19" s="1" nd="1"/>
        <i x="26" s="1" nd="1"/>
        <i x="29" s="1" nd="1"/>
        <i x="28" s="1" nd="1"/>
        <i x="31" s="1" nd="1"/>
        <i x="34" s="1" nd="1"/>
        <i x="35" s="1" nd="1"/>
        <i x="38" s="1" nd="1"/>
        <i x="39" s="1" nd="1"/>
        <i x="40" s="1" nd="1"/>
        <i x="42" s="1" nd="1"/>
        <i x="49" s="1" nd="1"/>
        <i x="18" s="1" nd="1"/>
        <i x="50" s="1" nd="1"/>
        <i x="20" s="1" nd="1"/>
        <i x="23" s="1" nd="1"/>
        <i x="36" s="1" nd="1"/>
        <i x="21" s="1" nd="1"/>
        <i x="3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2" xr10:uid="{00000000-0013-0000-FFFF-FFFF02000000}" sourceName="Anos">
  <pivotTables>
    <pivotTable tabId="7" name="Peso Mês"/>
    <pivotTable tabId="7" name="Soma Preço Total"/>
    <pivotTable tabId="5" name="Prod. Soma Peso"/>
    <pivotTable tabId="5" name="Prod. Soma Preço"/>
    <pivotTable tabId="5" name="Prod. Soma Peso (Alterar´)"/>
  </pivotTables>
  <data>
    <tabular pivotCacheId="1458496257">
      <items count="4">
        <i x="1" s="1"/>
        <i x="2"/>
        <i x="0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ão_Resumida1" xr10:uid="{00000000-0013-0000-FFFF-FFFF03000000}" sourceName="Descrição Resumida">
  <pivotTables>
    <pivotTable tabId="18" name="Vlr total de compra"/>
    <pivotTable tabId="21" name="Peso compra mensal"/>
    <pivotTable tabId="21" name="Vlr. COmpra mensal"/>
    <pivotTable tabId="18" name="Peso total de compra"/>
  </pivotTables>
  <data>
    <tabular pivotCacheId="1268353817">
      <items count="39">
        <i x="2"/>
        <i x="15"/>
        <i x="8"/>
        <i x="9" s="1"/>
        <i x="10"/>
        <i x="14"/>
        <i x="12"/>
        <i x="5"/>
        <i x="13"/>
        <i x="4"/>
        <i x="3"/>
        <i x="6"/>
        <i x="7"/>
        <i x="11"/>
        <i x="1"/>
        <i x="0"/>
        <i x="29" nd="1"/>
        <i x="30" nd="1"/>
        <i x="31" nd="1"/>
        <i x="20" nd="1"/>
        <i x="37" nd="1"/>
        <i x="18" nd="1"/>
        <i x="19" nd="1"/>
        <i x="24" nd="1"/>
        <i x="32" nd="1"/>
        <i x="36" nd="1"/>
        <i x="26" nd="1"/>
        <i x="23" nd="1"/>
        <i x="27" nd="1"/>
        <i x="21" nd="1"/>
        <i x="35" nd="1"/>
        <i x="33" nd="1"/>
        <i x="22" nd="1"/>
        <i x="38" nd="1"/>
        <i x="34" nd="1"/>
        <i x="25" nd="1"/>
        <i x="16" nd="1"/>
        <i x="17" nd="1"/>
        <i x="2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00000000-0013-0000-FFFF-FFFF04000000}" sourceName="ano">
  <pivotTables>
    <pivotTable tabId="18" name="Vlr total de compra"/>
    <pivotTable tabId="21" name="Peso compra mensal"/>
    <pivotTable tabId="21" name="Vlr. COmpra mensal"/>
    <pivotTable tabId="18" name="Peso total de compra"/>
    <pivotTable tabId="20" name="Vlr gasto com cada material"/>
  </pivotTables>
  <data>
    <tabular pivotCacheId="1268353817">
      <items count="3">
        <i x="0"/>
        <i x="1" s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00000000-0013-0000-FFFF-FFFF05000000}" sourceName="SEMANA">
  <pivotTables>
    <pivotTable tabId="23" name="Tabela dinâmica24"/>
  </pivotTables>
  <data>
    <tabular pivotCacheId="1744729374">
      <items count="9">
        <i x="0" s="1"/>
        <i x="1"/>
        <i x="2"/>
        <i x="3"/>
        <i x="4"/>
        <i x="5"/>
        <i x="6"/>
        <i x="7"/>
        <i x="8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NECEDOR" xr10:uid="{00000000-0013-0000-FFFF-FFFF06000000}" sourceName="FORNECEDOR">
  <pivotTables>
    <pivotTable tabId="23" name="Tabela dinâmica24"/>
  </pivotTables>
  <data>
    <tabular pivotCacheId="1744729374">
      <items count="16">
        <i x="0" s="1"/>
        <i x="1" s="1"/>
        <i x="10" s="1" nd="1"/>
        <i x="12" s="1" nd="1"/>
        <i x="11" s="1" nd="1"/>
        <i x="7" s="1" nd="1"/>
        <i x="2" s="1" nd="1"/>
        <i x="6" s="1" nd="1"/>
        <i x="8" s="1" nd="1"/>
        <i x="4" s="1" nd="1"/>
        <i x="3" s="1" nd="1"/>
        <i x="14" s="1" nd="1"/>
        <i x="15" s="1" nd="1"/>
        <i x="13" s="1" nd="1"/>
        <i x="5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_receber" xr10:uid="{00000000-0013-0000-FFFF-FFFF07000000}" sourceName="A receber">
  <pivotTables>
    <pivotTable tabId="36" name="Clientes devendo (class por dia)"/>
    <pivotTable tabId="36" name="Clientes devendo (aberto)"/>
  </pivotTables>
  <data>
    <tabular pivotCacheId="1084776297">
      <items count="6">
        <i x="0"/>
        <i x="3"/>
        <i x="4" s="1"/>
        <i x="1"/>
        <i x="2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0000000-0013-0000-FFFF-FFFF08000000}" sourceName="Ano">
  <pivotTables>
    <pivotTable tabId="36" name="Clientes devendo (class por dia)"/>
    <pivotTable tabId="36" name="Tabela dinâmica2"/>
    <pivotTable tabId="36" name="Clientes devendo (aberto)"/>
    <pivotTable tabId="36" name="Tabela dinâmica1"/>
  </pivotTables>
  <data>
    <tabular pivotCacheId="1084776297">
      <items count="3">
        <i x="1"/>
        <i x="0" s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trasado" xr10:uid="{00000000-0013-0000-FFFF-FFFF09000000}" sourceName="Atrasado">
  <pivotTables>
    <pivotTable tabId="36" name="Tabela dinâmica1"/>
    <pivotTable tabId="36" name="Tabela dinâmica2"/>
  </pivotTables>
  <data>
    <tabular pivotCacheId="1084776297">
      <items count="8">
        <i x="3" s="1"/>
        <i x="2" s="1"/>
        <i x="4" s="1"/>
        <i x="1" s="1"/>
        <i x="0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crição Resumida" xr10:uid="{00000000-0014-0000-FFFF-FFFF01000000}" cache="SegmentaçãodeDados_Descrição_Resumida" caption="Descrição Resumida" showCaption="0" style="Estilo de Segmentação de Dados 1" rowHeight="241300"/>
  <slicer name="Anos 1" xr10:uid="{00000000-0014-0000-FFFF-FFFF02000000}" cache="SegmentaçãodeDados_Anos2" caption="Anos" showCaption="0" style="Estilo de Segmentação de Dados 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crição Resumida 1" xr10:uid="{00000000-0014-0000-FFFF-FFFF03000000}" cache="SegmentaçãodeDados_Descrição_Resumida1" caption="Descrição Resumida" showCaption="0" style="Estilo de Segmentação de Dados 1" rowHeight="241300"/>
  <slicer name="ano 1" xr10:uid="{00000000-0014-0000-FFFF-FFFF04000000}" cache="SegmentaçãodeDados_ano1" caption="ano" showCaption="0" style="Estilo de Segmentação de Dados 1" rowHeight="241300"/>
  <slicer name="SEMANA" xr10:uid="{00000000-0014-0000-FFFF-FFFF05000000}" cache="SegmentaçãodeDados_SEMANA" caption="SEMANA" columnCount="3" showCaption="0" style="Estilo de Segmentação de Dados 1" rowHeight="241300"/>
  <slicer name="FORNECEDOR" xr10:uid="{00000000-0014-0000-FFFF-FFFF06000000}" cache="SegmentaçãodeDados_FORNECEDOR" caption="FORNECEDOR" showCaption="0" style="Estilo de Segmentação de Dados 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 receber" xr10:uid="{00000000-0014-0000-FFFF-FFFF07000000}" cache="SegmentaçãodeDados_A_receber" caption="A receber" showCaption="0" style="Estilo de Segmentação de Dados 1" rowHeight="241300"/>
  <slicer name="Ano" xr10:uid="{00000000-0014-0000-FFFF-FFFF08000000}" cache="SegmentaçãodeDados_Ano" caption="Ano" showCaption="0" style="Estilo de Segmentação de Dados 1" rowHeight="241300"/>
  <slicer name="Atrasado" xr10:uid="{00000000-0014-0000-FFFF-FFFF09000000}" cache="SegmentaçãodeDados_Atrasado" caption="Atrasado" showCaption="0" style="Estilo de Segmentação de Dados 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1:AL939" totalsRowShown="0">
  <autoFilter ref="A1:AL939" xr:uid="{00000000-0009-0000-0100-000003000000}"/>
  <tableColumns count="38">
    <tableColumn id="1" xr3:uid="{00000000-0010-0000-0000-000001000000}" name="ID"/>
    <tableColumn id="2" xr3:uid="{00000000-0010-0000-0000-000002000000}" name="N° do Pedido"/>
    <tableColumn id="3" xr3:uid="{00000000-0010-0000-0000-000003000000}" name="N° do Pedido na Loja Virtual"/>
    <tableColumn id="4" xr3:uid="{00000000-0010-0000-0000-000004000000}" name="Data" dataDxfId="66"/>
    <tableColumn id="5" xr3:uid="{00000000-0010-0000-0000-000005000000}" name="ID contato"/>
    <tableColumn id="6" xr3:uid="{00000000-0010-0000-0000-000006000000}" name="Nome do contato">
      <calculatedColumnFormula>VLOOKUP(RANDBETWEEN(1,20),'DBO Compras'!AA:AC,3,0)</calculatedColumnFormula>
    </tableColumn>
    <tableColumn id="7" xr3:uid="{00000000-0010-0000-0000-000007000000}" name="Cpf/Cnpj"/>
    <tableColumn id="8" xr3:uid="{00000000-0010-0000-0000-000008000000}" name="Endereco"/>
    <tableColumn id="9" xr3:uid="{00000000-0010-0000-0000-000009000000}" name="Bairro"/>
    <tableColumn id="10" xr3:uid="{00000000-0010-0000-0000-00000A000000}" name="Município"/>
    <tableColumn id="11" xr3:uid="{00000000-0010-0000-0000-00000B000000}" name="Cep"/>
    <tableColumn id="12" xr3:uid="{00000000-0010-0000-0000-00000C000000}" name="Estado"/>
    <tableColumn id="13" xr3:uid="{00000000-0010-0000-0000-00000D000000}" name="E-mail"/>
    <tableColumn id="14" xr3:uid="{00000000-0010-0000-0000-00000E000000}" name="Telefone"/>
    <tableColumn id="15" xr3:uid="{00000000-0010-0000-0000-00000F000000}" name="Desconto pedido"/>
    <tableColumn id="16" xr3:uid="{00000000-0010-0000-0000-000010000000}" name="Frete"/>
    <tableColumn id="17" xr3:uid="{00000000-0010-0000-0000-000011000000}" name="Observações"/>
    <tableColumn id="18" xr3:uid="{00000000-0010-0000-0000-000012000000}" name="Situação"/>
    <tableColumn id="19" xr3:uid="{00000000-0010-0000-0000-000013000000}" name="ID produto"/>
    <tableColumn id="20" xr3:uid="{00000000-0010-0000-0000-000014000000}" name="Descrição">
      <calculatedColumnFormula>VLOOKUP(RANDBETWEEN(1,17),'Auxiliar Vendas'!D:G,2,0)</calculatedColumnFormula>
    </tableColumn>
    <tableColumn id="22" xr3:uid="{00000000-0010-0000-0000-000016000000}" name="Quantidade" dataDxfId="65"/>
    <tableColumn id="24" xr3:uid="{00000000-0010-0000-0000-000018000000}" name="Valor unitário" dataDxfId="64" dataCellStyle="Moeda"/>
    <tableColumn id="25" xr3:uid="{00000000-0010-0000-0000-000019000000}" name="Desconto item"/>
    <tableColumn id="26" xr3:uid="{00000000-0010-0000-0000-00001A000000}" name="Preço de Custo" dataDxfId="63" dataCellStyle="Moeda"/>
    <tableColumn id="27" xr3:uid="{00000000-0010-0000-0000-00001B000000}" name="Preço Total" dataDxfId="62" dataCellStyle="Moeda"/>
    <tableColumn id="28" xr3:uid="{00000000-0010-0000-0000-00001C000000}" name="Código do contato"/>
    <tableColumn id="29" xr3:uid="{00000000-0010-0000-0000-00001D000000}" name="Código do produto"/>
    <tableColumn id="30" xr3:uid="{00000000-0010-0000-0000-00001E000000}" name="Frete proporcional"/>
    <tableColumn id="31" xr3:uid="{00000000-0010-0000-0000-00001F000000}" name="Desconto proporcional"/>
    <tableColumn id="32" xr3:uid="{00000000-0010-0000-0000-000020000000}" name="Vendedor"/>
    <tableColumn id="33" xr3:uid="{00000000-0010-0000-0000-000021000000}" name="Nº da NFe"/>
    <tableColumn id="34" xr3:uid="{00000000-0010-0000-0000-000022000000}" name="Natureza da NFe"/>
    <tableColumn id="35" xr3:uid="{00000000-0010-0000-0000-000023000000}" name="Situação da NFe"/>
    <tableColumn id="36" xr3:uid="{00000000-0010-0000-0000-000024000000}" name="Última ocorrência" dataDxfId="61"/>
    <tableColumn id="37" xr3:uid="{00000000-0010-0000-0000-000025000000}" name="Outras despesas"/>
    <tableColumn id="38" xr3:uid="{00000000-0010-0000-0000-000026000000}" name="Outras despesas proporcional"/>
    <tableColumn id="21" xr3:uid="{00000000-0010-0000-0000-000015000000}" name="Descrição Resumida" dataDxfId="60">
      <calculatedColumnFormula>VLOOKUP(T2,'Auxiliar Vendas'!E:F,2,FALSE)</calculatedColumnFormula>
    </tableColumn>
    <tableColumn id="23" xr3:uid="{00000000-0010-0000-0000-000017000000}" name="Peso" dataDxfId="59">
      <calculatedColumnFormula>U2*VLOOKUP(T2,'Auxiliar Vendas'!E:G,3,FALSE)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X161" totalsRowShown="0">
  <autoFilter ref="A1:X161" xr:uid="{00000000-0009-0000-0100-000002000000}"/>
  <tableColumns count="24">
    <tableColumn id="1" xr3:uid="{00000000-0010-0000-0100-000001000000}" name="ID"/>
    <tableColumn id="2" xr3:uid="{00000000-0010-0000-0100-000002000000}" name="N° do pedido"/>
    <tableColumn id="3" xr3:uid="{00000000-0010-0000-0100-000003000000}" name="Data" dataDxfId="52"/>
    <tableColumn id="4" xr3:uid="{00000000-0010-0000-0100-000004000000}" name="ID contato"/>
    <tableColumn id="5" xr3:uid="{00000000-0010-0000-0100-000005000000}" name="Nome do contato">
      <calculatedColumnFormula>VLOOKUP(RANDBETWEEN(1,20),AA:AC,3,FALSE)</calculatedColumnFormula>
    </tableColumn>
    <tableColumn id="6" xr3:uid="{00000000-0010-0000-0100-000006000000}" name="Desconto"/>
    <tableColumn id="7" xr3:uid="{00000000-0010-0000-0100-000007000000}" name="Observações"/>
    <tableColumn id="8" xr3:uid="{00000000-0010-0000-0100-000008000000}" name="Situação"/>
    <tableColumn id="9" xr3:uid="{00000000-0010-0000-0100-000009000000}" name="ID produto"/>
    <tableColumn id="10" xr3:uid="{00000000-0010-0000-0100-00000A000000}" name="Código"/>
    <tableColumn id="11" xr3:uid="{00000000-0010-0000-0100-00000B000000}" name="Código no fornecedor"/>
    <tableColumn id="12" xr3:uid="{00000000-0010-0000-0100-00000C000000}" name="Descrição"/>
    <tableColumn id="14" xr3:uid="{00000000-0010-0000-0100-00000E000000}" name="Quantidade" dataDxfId="51"/>
    <tableColumn id="15" xr3:uid="{00000000-0010-0000-0100-00000F000000}" name="Valor unitário" dataDxfId="50" dataCellStyle="Vírgula"/>
    <tableColumn id="17" xr3:uid="{00000000-0010-0000-0100-000011000000}" name="Un"/>
    <tableColumn id="21" xr3:uid="{00000000-0010-0000-0100-000015000000}" name="Frete do item"/>
    <tableColumn id="22" xr3:uid="{00000000-0010-0000-0100-000016000000}" name="Ordem de compra" dataDxfId="49"/>
    <tableColumn id="13" xr3:uid="{00000000-0010-0000-0100-00000D000000}" name="Descrição Resumida" dataDxfId="48">
      <calculatedColumnFormula>VLOOKUP(L2,'Auxiliar Compras'!A:B,2,FALSE)</calculatedColumnFormula>
    </tableColumn>
    <tableColumn id="16" xr3:uid="{00000000-0010-0000-0100-000010000000}" name="Imposto" dataDxfId="47" dataCellStyle="Porcentagem">
      <calculatedColumnFormula>VLOOKUP(L2,'Auxiliar Compras'!A:D,4,FALSE)</calculatedColumnFormula>
    </tableColumn>
    <tableColumn id="18" xr3:uid="{00000000-0010-0000-0100-000012000000}" name="Peso" dataDxfId="46" dataCellStyle="Porcentagem">
      <calculatedColumnFormula>VLOOKUP(L2,'Auxiliar Compras'!A:C,3,FALSE)</calculatedColumnFormula>
    </tableColumn>
    <tableColumn id="19" xr3:uid="{00000000-0010-0000-0100-000013000000}" name="Peso Total" dataDxfId="45" dataCellStyle="Porcentagem">
      <calculatedColumnFormula>T2*M2</calculatedColumnFormula>
    </tableColumn>
    <tableColumn id="20" xr3:uid="{00000000-0010-0000-0100-000014000000}" name="Vlr Total" dataDxfId="44" dataCellStyle="Moeda">
      <calculatedColumnFormula>N2*M2+(M2*N2*S2)</calculatedColumnFormula>
    </tableColumn>
    <tableColumn id="23" xr3:uid="{00000000-0010-0000-0100-000017000000}" name="mês" dataDxfId="43" dataCellStyle="Porcentagem">
      <calculatedColumnFormula>VLOOKUP(MONTH(Tabela2[[#This Row],[Data]]),'Auxiliar Compras'!I:J,2,FALSE)</calculatedColumnFormula>
    </tableColumn>
    <tableColumn id="24" xr3:uid="{00000000-0010-0000-0100-000018000000}" name="ano" dataDxfId="42" dataCellStyle="Porcentagem">
      <calculatedColumnFormula>YEAR(Tabela2[[#This Row],[Data]])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4" displayName="Tabela4" ref="A1:D36" totalsRowShown="0" headerRowDxfId="34" headerRowBorderDxfId="33" tableBorderDxfId="32">
  <autoFilter ref="A1:D36" xr:uid="{00000000-0009-0000-0100-000004000000}"/>
  <tableColumns count="4">
    <tableColumn id="1" xr3:uid="{00000000-0010-0000-0200-000001000000}" name="FORNECEDOR" dataDxfId="31">
      <calculatedColumnFormula>VLOOKUP(RANDBETWEEN(1,5),$G$21:$H$25,2,0)</calculatedColumnFormula>
    </tableColumn>
    <tableColumn id="2" xr3:uid="{00000000-0010-0000-0200-000002000000}" name="VENCIMENTOS" dataDxfId="30"/>
    <tableColumn id="3" xr3:uid="{00000000-0010-0000-0200-000003000000}" name="VALOR" dataDxfId="29" dataCellStyle="Moeda"/>
    <tableColumn id="4" xr3:uid="{00000000-0010-0000-0200-000004000000}" name="SEMANA" dataDxfId="28" dataCellStyle="Vírgula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ela1" displayName="Tabela1" ref="A1:J321" totalsRowShown="0" headerRowDxfId="27" dataDxfId="26">
  <autoFilter ref="A1:J321" xr:uid="{00000000-0009-0000-0100-000001000000}"/>
  <tableColumns count="10">
    <tableColumn id="1" xr3:uid="{00000000-0010-0000-0300-000001000000}" name="Cliente " dataDxfId="25" totalsRowDxfId="24"/>
    <tableColumn id="5" xr3:uid="{00000000-0010-0000-0300-000005000000}" name="Data" dataDxfId="23" totalsRowDxfId="22"/>
    <tableColumn id="8" xr3:uid="{00000000-0010-0000-0300-000008000000}" name="Sit" dataDxfId="21" totalsRowDxfId="20"/>
    <tableColumn id="9" xr3:uid="{00000000-0010-0000-0300-000009000000}" name="Valor " dataDxfId="19" totalsRowDxfId="18" dataCellStyle="Moeda"/>
    <tableColumn id="6" xr3:uid="{00000000-0010-0000-0300-000006000000}" name="Dias Faltantes" dataDxfId="17" totalsRowDxfId="16" dataCellStyle="Moeda"/>
    <tableColumn id="7" xr3:uid="{00000000-0010-0000-0300-000007000000}" name="A receber" dataDxfId="15" totalsRowDxfId="14"/>
    <tableColumn id="10" xr3:uid="{00000000-0010-0000-0300-00000A000000}" name="Atrasado" dataDxfId="13" totalsRowDxfId="12" dataCellStyle="Moeda"/>
    <tableColumn id="11" xr3:uid="{00000000-0010-0000-0300-00000B000000}" name="Mês" dataDxfId="11" totalsRowDxfId="10"/>
    <tableColumn id="12" xr3:uid="{00000000-0010-0000-0300-00000C000000}" name="Ano" dataDxfId="9" totalsRowDxfId="8"/>
    <tableColumn id="13" xr3:uid="{00000000-0010-0000-0300-00000D000000}" name="Sit 2" dataDxfId="7" totalsRow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5" Type="http://schemas.openxmlformats.org/officeDocument/2006/relationships/printerSettings" Target="../printerSettings/printerSettings16.bin"/><Relationship Id="rId4" Type="http://schemas.openxmlformats.org/officeDocument/2006/relationships/pivotTable" Target="../pivotTables/pivot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92D050"/>
  </sheetPr>
  <dimension ref="A1:V50"/>
  <sheetViews>
    <sheetView showGridLines="0" showRowColHeaders="0" tabSelected="1" zoomScale="90" zoomScaleNormal="90" workbookViewId="0"/>
  </sheetViews>
  <sheetFormatPr defaultColWidth="0" defaultRowHeight="15" zeroHeight="1"/>
  <cols>
    <col min="1" max="21" width="9.140625" customWidth="1"/>
    <col min="22" max="22" width="0" hidden="1" customWidth="1"/>
    <col min="23" max="16384" width="9.140625" hidden="1"/>
  </cols>
  <sheetData>
    <row r="1" spans="1:21" ht="7.5" customHeight="1">
      <c r="A1" s="12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>
      <c r="A18" s="11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7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49" customFormat="1" hidden="1"/>
    <row r="50" customFormat="1" hidden="1"/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L939"/>
  <sheetViews>
    <sheetView topLeftCell="D1" zoomScale="70" zoomScaleNormal="70" workbookViewId="0">
      <selection activeCell="T2" sqref="T2:T939"/>
    </sheetView>
  </sheetViews>
  <sheetFormatPr defaultRowHeight="15"/>
  <cols>
    <col min="1" max="1" width="14.85546875" hidden="1" customWidth="1"/>
    <col min="2" max="2" width="19.28515625" hidden="1" customWidth="1"/>
    <col min="3" max="3" width="37.140625" hidden="1" customWidth="1"/>
    <col min="4" max="4" width="12" bestFit="1" customWidth="1"/>
    <col min="5" max="5" width="16.7109375" hidden="1" customWidth="1"/>
    <col min="6" max="6" width="78.140625" bestFit="1" customWidth="1"/>
    <col min="7" max="7" width="21.42578125" hidden="1" customWidth="1"/>
    <col min="8" max="8" width="66.42578125" hidden="1" customWidth="1"/>
    <col min="9" max="9" width="27.28515625" hidden="1" customWidth="1"/>
    <col min="10" max="10" width="22.42578125" hidden="1" customWidth="1"/>
    <col min="11" max="11" width="12.140625" hidden="1" customWidth="1"/>
    <col min="12" max="12" width="12.85546875" hidden="1" customWidth="1"/>
    <col min="13" max="13" width="41.7109375" hidden="1" customWidth="1"/>
    <col min="14" max="14" width="15" hidden="1" customWidth="1"/>
    <col min="15" max="15" width="24.42578125" hidden="1" customWidth="1"/>
    <col min="16" max="16" width="11" bestFit="1" customWidth="1"/>
    <col min="17" max="17" width="57.7109375" hidden="1" customWidth="1"/>
    <col min="18" max="18" width="15" bestFit="1" customWidth="1"/>
    <col min="19" max="19" width="16.7109375" bestFit="1" customWidth="1"/>
    <col min="20" max="20" width="38.7109375" bestFit="1" customWidth="1"/>
    <col min="21" max="21" width="18.28515625" bestFit="1" customWidth="1"/>
    <col min="22" max="22" width="22.5703125" bestFit="1" customWidth="1"/>
    <col min="23" max="23" width="21.42578125" bestFit="1" customWidth="1"/>
    <col min="24" max="24" width="25" style="7" bestFit="1" customWidth="1"/>
    <col min="25" max="25" width="20.5703125" bestFit="1" customWidth="1"/>
    <col min="26" max="27" width="26" style="7" hidden="1" customWidth="1"/>
    <col min="28" max="28" width="26.28515625" hidden="1" customWidth="1"/>
    <col min="29" max="29" width="31.42578125" hidden="1" customWidth="1"/>
    <col min="30" max="30" width="23.85546875" hidden="1" customWidth="1"/>
    <col min="31" max="31" width="15.85546875" hidden="1" customWidth="1"/>
    <col min="32" max="32" width="24" hidden="1" customWidth="1"/>
    <col min="33" max="33" width="23.85546875" hidden="1" customWidth="1"/>
    <col min="34" max="34" width="25" hidden="1" customWidth="1"/>
    <col min="35" max="35" width="24.28515625" hidden="1" customWidth="1"/>
    <col min="36" max="36" width="39.7109375" hidden="1" customWidth="1"/>
    <col min="37" max="37" width="35.7109375" bestFit="1" customWidth="1"/>
    <col min="38" max="38" width="10.710937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7" t="s">
        <v>21</v>
      </c>
      <c r="W1" t="s">
        <v>22</v>
      </c>
      <c r="X1" s="7" t="s">
        <v>23</v>
      </c>
      <c r="Y1" s="7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390</v>
      </c>
      <c r="AL1" t="s">
        <v>387</v>
      </c>
    </row>
    <row r="2" spans="1:38">
      <c r="A2">
        <v>15284244295</v>
      </c>
      <c r="B2">
        <v>66</v>
      </c>
      <c r="D2" s="1">
        <v>44405</v>
      </c>
      <c r="E2">
        <v>15020006032</v>
      </c>
      <c r="F2" t="str">
        <f ca="1">VLOOKUP(RANDBETWEEN(1,20),'DBO Compras'!AA:AC,3,0)</f>
        <v>Comprador 01</v>
      </c>
      <c r="G2" t="s">
        <v>36</v>
      </c>
      <c r="H2" t="s">
        <v>37</v>
      </c>
      <c r="I2" t="s">
        <v>38</v>
      </c>
      <c r="J2" t="s">
        <v>39</v>
      </c>
      <c r="K2">
        <v>82960015</v>
      </c>
      <c r="L2" t="s">
        <v>40</v>
      </c>
      <c r="M2" t="s">
        <v>41</v>
      </c>
      <c r="N2">
        <v>41996838559</v>
      </c>
      <c r="O2">
        <v>0</v>
      </c>
      <c r="P2">
        <v>0</v>
      </c>
      <c r="R2" t="s">
        <v>42</v>
      </c>
      <c r="S2">
        <v>15015085610</v>
      </c>
      <c r="T2" t="str">
        <f ca="1">VLOOKUP(RANDBETWEEN(1,17),'Auxiliar Vendas'!D:G,2,0)</f>
        <v>Produto 04</v>
      </c>
      <c r="U2">
        <v>10</v>
      </c>
      <c r="V2">
        <v>13.9</v>
      </c>
      <c r="W2">
        <v>0</v>
      </c>
      <c r="X2">
        <v>10.23</v>
      </c>
      <c r="Y2">
        <v>139</v>
      </c>
      <c r="Z2">
        <v>16</v>
      </c>
      <c r="AA2" t="s">
        <v>43</v>
      </c>
      <c r="AB2">
        <v>0</v>
      </c>
      <c r="AC2">
        <v>0</v>
      </c>
      <c r="AH2" s="2">
        <v>44405.385416666664</v>
      </c>
      <c r="AI2">
        <v>0</v>
      </c>
      <c r="AJ2">
        <v>0</v>
      </c>
      <c r="AK2" s="30" t="str">
        <f ca="1">VLOOKUP(T2,'Auxiliar Vendas'!E:F,2,FALSE)</f>
        <v>Produto 04</v>
      </c>
      <c r="AL2" s="31">
        <f ca="1">U2*VLOOKUP(T2,'Auxiliar Vendas'!E:G,3,FALSE)</f>
        <v>6</v>
      </c>
    </row>
    <row r="3" spans="1:38">
      <c r="A3">
        <v>15020046998</v>
      </c>
      <c r="B3">
        <v>1</v>
      </c>
      <c r="D3" s="1">
        <v>44407</v>
      </c>
      <c r="E3">
        <v>15020006032</v>
      </c>
      <c r="F3" t="str">
        <f ca="1">VLOOKUP(RANDBETWEEN(1,20),'DBO Compras'!AA:AC,3,0)</f>
        <v>Comprador 06</v>
      </c>
      <c r="G3" t="s">
        <v>36</v>
      </c>
      <c r="H3" t="s">
        <v>37</v>
      </c>
      <c r="I3" t="s">
        <v>38</v>
      </c>
      <c r="J3" t="s">
        <v>39</v>
      </c>
      <c r="K3">
        <v>82960015</v>
      </c>
      <c r="L3" t="s">
        <v>40</v>
      </c>
      <c r="M3" t="s">
        <v>41</v>
      </c>
      <c r="N3">
        <v>41996838559</v>
      </c>
      <c r="O3">
        <v>0</v>
      </c>
      <c r="P3">
        <v>0</v>
      </c>
      <c r="R3" t="s">
        <v>42</v>
      </c>
      <c r="S3">
        <v>15015353721</v>
      </c>
      <c r="T3" t="str">
        <f ca="1">VLOOKUP(RANDBETWEEN(1,17),'Auxiliar Vendas'!D:G,2,0)</f>
        <v>Produto 17</v>
      </c>
      <c r="U3" s="3">
        <v>1000</v>
      </c>
      <c r="V3">
        <v>8.1999999999999993</v>
      </c>
      <c r="W3">
        <v>0</v>
      </c>
      <c r="X3">
        <v>5.58</v>
      </c>
      <c r="Y3" s="3">
        <v>8200</v>
      </c>
      <c r="Z3">
        <v>16</v>
      </c>
      <c r="AA3" t="s">
        <v>44</v>
      </c>
      <c r="AB3">
        <v>0</v>
      </c>
      <c r="AC3">
        <v>0</v>
      </c>
      <c r="AH3" s="2">
        <v>44407.584722222222</v>
      </c>
      <c r="AI3">
        <v>0</v>
      </c>
      <c r="AJ3">
        <v>0</v>
      </c>
      <c r="AK3" s="30" t="str">
        <f ca="1">VLOOKUP(T3,'Auxiliar Vendas'!E:F,2,FALSE)</f>
        <v>Produto 17</v>
      </c>
      <c r="AL3" s="31">
        <f ca="1">U3*VLOOKUP(T3,'Auxiliar Vendas'!E:G,3,FALSE)</f>
        <v>1420</v>
      </c>
    </row>
    <row r="4" spans="1:38">
      <c r="A4">
        <v>15269414721</v>
      </c>
      <c r="B4">
        <v>23</v>
      </c>
      <c r="D4" s="1">
        <v>44408</v>
      </c>
      <c r="E4">
        <v>15058669306</v>
      </c>
      <c r="F4" t="str">
        <f ca="1">VLOOKUP(RANDBETWEEN(1,20),'DBO Compras'!AA:AC,3,0)</f>
        <v>Comprador 19</v>
      </c>
      <c r="G4" t="s">
        <v>45</v>
      </c>
      <c r="H4" t="s">
        <v>46</v>
      </c>
      <c r="I4" t="s">
        <v>47</v>
      </c>
      <c r="J4" t="s">
        <v>39</v>
      </c>
      <c r="K4">
        <v>82200430</v>
      </c>
      <c r="L4" t="s">
        <v>40</v>
      </c>
      <c r="M4" t="s">
        <v>472</v>
      </c>
      <c r="N4">
        <v>4191036801</v>
      </c>
      <c r="O4">
        <v>0</v>
      </c>
      <c r="P4">
        <v>0</v>
      </c>
      <c r="Q4" t="s">
        <v>49</v>
      </c>
      <c r="R4" t="s">
        <v>42</v>
      </c>
      <c r="S4">
        <v>15016043939</v>
      </c>
      <c r="T4" t="str">
        <f ca="1">VLOOKUP(RANDBETWEEN(1,17),'Auxiliar Vendas'!D:G,2,0)</f>
        <v>Produto 01</v>
      </c>
      <c r="U4" s="3">
        <v>1000</v>
      </c>
      <c r="V4">
        <v>13.85</v>
      </c>
      <c r="W4">
        <v>0</v>
      </c>
      <c r="X4">
        <v>10.747</v>
      </c>
      <c r="Y4" s="3">
        <v>13850</v>
      </c>
      <c r="Z4">
        <v>17</v>
      </c>
      <c r="AA4" t="s">
        <v>50</v>
      </c>
      <c r="AB4">
        <v>0</v>
      </c>
      <c r="AC4">
        <v>0</v>
      </c>
      <c r="AD4" t="s">
        <v>51</v>
      </c>
      <c r="AH4" s="2">
        <v>44408.572222222225</v>
      </c>
      <c r="AI4">
        <v>0</v>
      </c>
      <c r="AJ4">
        <v>0</v>
      </c>
      <c r="AK4" s="30" t="str">
        <f ca="1">VLOOKUP(T4,'Auxiliar Vendas'!E:F,2,FALSE)</f>
        <v>Produto 01</v>
      </c>
      <c r="AL4" s="31">
        <f ca="1">U4*VLOOKUP(T4,'Auxiliar Vendas'!E:G,3,FALSE)</f>
        <v>400</v>
      </c>
    </row>
    <row r="5" spans="1:38">
      <c r="A5">
        <v>15269487249</v>
      </c>
      <c r="B5">
        <v>24</v>
      </c>
      <c r="D5" s="1">
        <v>44408</v>
      </c>
      <c r="E5">
        <v>15020006032</v>
      </c>
      <c r="F5" t="str">
        <f ca="1">VLOOKUP(RANDBETWEEN(1,20),'DBO Compras'!AA:AC,3,0)</f>
        <v>Comprador 17</v>
      </c>
      <c r="G5" t="s">
        <v>36</v>
      </c>
      <c r="H5" t="s">
        <v>37</v>
      </c>
      <c r="I5" t="s">
        <v>38</v>
      </c>
      <c r="J5" t="s">
        <v>39</v>
      </c>
      <c r="K5">
        <v>82960015</v>
      </c>
      <c r="L5" t="s">
        <v>40</v>
      </c>
      <c r="M5" t="s">
        <v>41</v>
      </c>
      <c r="N5">
        <v>41996838559</v>
      </c>
      <c r="O5">
        <v>0</v>
      </c>
      <c r="P5">
        <v>0</v>
      </c>
      <c r="Q5" t="s">
        <v>52</v>
      </c>
      <c r="R5" t="s">
        <v>42</v>
      </c>
      <c r="S5">
        <v>15015511068</v>
      </c>
      <c r="T5" t="str">
        <f ca="1">VLOOKUP(RANDBETWEEN(1,17),'Auxiliar Vendas'!D:G,2,0)</f>
        <v>Produto 15</v>
      </c>
      <c r="U5">
        <v>300</v>
      </c>
      <c r="V5">
        <v>16.2</v>
      </c>
      <c r="W5">
        <v>0</v>
      </c>
      <c r="X5">
        <v>10.23</v>
      </c>
      <c r="Y5" s="3">
        <v>4860</v>
      </c>
      <c r="Z5">
        <v>16</v>
      </c>
      <c r="AA5" t="s">
        <v>53</v>
      </c>
      <c r="AB5">
        <v>0</v>
      </c>
      <c r="AC5">
        <v>0</v>
      </c>
      <c r="AH5" s="2">
        <v>44408.572916666664</v>
      </c>
      <c r="AI5">
        <v>0</v>
      </c>
      <c r="AJ5">
        <v>0</v>
      </c>
      <c r="AK5" s="30" t="str">
        <f ca="1">VLOOKUP(T5,'Auxiliar Vendas'!E:F,2,FALSE)</f>
        <v>Produto 15</v>
      </c>
      <c r="AL5" s="31">
        <f ca="1">U5*VLOOKUP(T5,'Auxiliar Vendas'!E:G,3,FALSE)</f>
        <v>426</v>
      </c>
    </row>
    <row r="6" spans="1:38">
      <c r="A6">
        <v>15269550609</v>
      </c>
      <c r="B6">
        <v>25</v>
      </c>
      <c r="D6" s="1">
        <v>44408</v>
      </c>
      <c r="E6">
        <v>15179581888</v>
      </c>
      <c r="F6" t="str">
        <f ca="1">VLOOKUP(RANDBETWEEN(1,20),'DBO Compras'!AA:AC,3,0)</f>
        <v>Comprador 17</v>
      </c>
      <c r="G6" t="s">
        <v>54</v>
      </c>
      <c r="H6" t="s">
        <v>55</v>
      </c>
      <c r="I6" t="s">
        <v>56</v>
      </c>
      <c r="J6" t="s">
        <v>39</v>
      </c>
      <c r="K6">
        <v>81350610</v>
      </c>
      <c r="L6" t="s">
        <v>40</v>
      </c>
      <c r="M6" t="s">
        <v>57</v>
      </c>
      <c r="N6">
        <v>41996849234</v>
      </c>
      <c r="O6">
        <v>0</v>
      </c>
      <c r="P6">
        <v>0</v>
      </c>
      <c r="R6" t="s">
        <v>42</v>
      </c>
      <c r="S6">
        <v>15015085610</v>
      </c>
      <c r="T6" t="str">
        <f ca="1">VLOOKUP(RANDBETWEEN(1,17),'Auxiliar Vendas'!D:G,2,0)</f>
        <v>Produto 15</v>
      </c>
      <c r="U6" s="3">
        <v>2340</v>
      </c>
      <c r="V6">
        <v>13.9</v>
      </c>
      <c r="W6">
        <v>0</v>
      </c>
      <c r="X6">
        <v>10.23</v>
      </c>
      <c r="Y6" s="3">
        <v>32526</v>
      </c>
      <c r="Z6">
        <v>41</v>
      </c>
      <c r="AA6" t="s">
        <v>43</v>
      </c>
      <c r="AB6">
        <v>0</v>
      </c>
      <c r="AC6">
        <v>0</v>
      </c>
      <c r="AD6" t="s">
        <v>58</v>
      </c>
      <c r="AH6" s="2">
        <v>44408.384722222225</v>
      </c>
      <c r="AI6">
        <v>0</v>
      </c>
      <c r="AJ6">
        <v>0</v>
      </c>
      <c r="AK6" s="30" t="str">
        <f ca="1">VLOOKUP(T6,'Auxiliar Vendas'!E:F,2,FALSE)</f>
        <v>Produto 15</v>
      </c>
      <c r="AL6" s="31">
        <f ca="1">U6*VLOOKUP(T6,'Auxiliar Vendas'!E:G,3,FALSE)</f>
        <v>3322.7999999999997</v>
      </c>
    </row>
    <row r="7" spans="1:38">
      <c r="A7">
        <v>15269550609</v>
      </c>
      <c r="B7">
        <v>25</v>
      </c>
      <c r="D7" s="1">
        <v>44408</v>
      </c>
      <c r="E7">
        <v>15179581888</v>
      </c>
      <c r="F7" t="str">
        <f ca="1">VLOOKUP(RANDBETWEEN(1,20),'DBO Compras'!AA:AC,3,0)</f>
        <v>Comprador 08</v>
      </c>
      <c r="G7" t="s">
        <v>54</v>
      </c>
      <c r="H7" t="s">
        <v>55</v>
      </c>
      <c r="I7" t="s">
        <v>56</v>
      </c>
      <c r="J7" t="s">
        <v>39</v>
      </c>
      <c r="K7">
        <v>81350610</v>
      </c>
      <c r="L7" t="s">
        <v>40</v>
      </c>
      <c r="M7" t="s">
        <v>57</v>
      </c>
      <c r="N7">
        <v>41996849234</v>
      </c>
      <c r="O7">
        <v>0</v>
      </c>
      <c r="P7">
        <v>0</v>
      </c>
      <c r="R7" t="s">
        <v>42</v>
      </c>
      <c r="S7">
        <v>15015353721</v>
      </c>
      <c r="T7" t="str">
        <f ca="1">VLOOKUP(RANDBETWEEN(1,17),'Auxiliar Vendas'!D:G,2,0)</f>
        <v>Produto 11</v>
      </c>
      <c r="U7" s="3">
        <v>1452</v>
      </c>
      <c r="V7">
        <v>8.1999999999999993</v>
      </c>
      <c r="W7">
        <v>0</v>
      </c>
      <c r="X7">
        <v>5.58</v>
      </c>
      <c r="Y7" s="3">
        <v>11906.4</v>
      </c>
      <c r="Z7">
        <v>41</v>
      </c>
      <c r="AA7" t="s">
        <v>44</v>
      </c>
      <c r="AB7">
        <v>0</v>
      </c>
      <c r="AC7">
        <v>0</v>
      </c>
      <c r="AD7" t="s">
        <v>58</v>
      </c>
      <c r="AH7" s="2">
        <v>44408.384722222225</v>
      </c>
      <c r="AI7">
        <v>0</v>
      </c>
      <c r="AJ7">
        <v>0</v>
      </c>
      <c r="AK7" s="30" t="str">
        <f ca="1">VLOOKUP(T7,'Auxiliar Vendas'!E:F,2,FALSE)</f>
        <v>Produto 11</v>
      </c>
      <c r="AL7" s="31">
        <f ca="1">U7*VLOOKUP(T7,'Auxiliar Vendas'!E:G,3,FALSE)</f>
        <v>1597.2</v>
      </c>
    </row>
    <row r="8" spans="1:38">
      <c r="A8">
        <v>15269550609</v>
      </c>
      <c r="B8">
        <v>25</v>
      </c>
      <c r="D8" s="1">
        <v>44408</v>
      </c>
      <c r="E8">
        <v>15179581888</v>
      </c>
      <c r="F8" t="str">
        <f ca="1">VLOOKUP(RANDBETWEEN(1,20),'DBO Compras'!AA:AC,3,0)</f>
        <v>Comprador 11</v>
      </c>
      <c r="G8" t="s">
        <v>54</v>
      </c>
      <c r="H8" t="s">
        <v>55</v>
      </c>
      <c r="I8" t="s">
        <v>56</v>
      </c>
      <c r="J8" t="s">
        <v>39</v>
      </c>
      <c r="K8">
        <v>81350610</v>
      </c>
      <c r="L8" t="s">
        <v>40</v>
      </c>
      <c r="M8" t="s">
        <v>57</v>
      </c>
      <c r="N8">
        <v>41996849234</v>
      </c>
      <c r="O8">
        <v>0</v>
      </c>
      <c r="P8">
        <v>0</v>
      </c>
      <c r="R8" t="s">
        <v>42</v>
      </c>
      <c r="S8">
        <v>15015918644</v>
      </c>
      <c r="T8" t="str">
        <f ca="1">VLOOKUP(RANDBETWEEN(1,17),'Auxiliar Vendas'!D:G,2,0)</f>
        <v>Produto 04</v>
      </c>
      <c r="U8" s="3">
        <v>1000</v>
      </c>
      <c r="V8">
        <v>7.5</v>
      </c>
      <c r="W8">
        <v>0</v>
      </c>
      <c r="X8">
        <v>5.61</v>
      </c>
      <c r="Y8" s="3">
        <v>7500</v>
      </c>
      <c r="Z8">
        <v>41</v>
      </c>
      <c r="AA8" t="s">
        <v>59</v>
      </c>
      <c r="AB8">
        <v>0</v>
      </c>
      <c r="AC8">
        <v>0</v>
      </c>
      <c r="AD8" t="s">
        <v>58</v>
      </c>
      <c r="AH8" s="2">
        <v>44408.384722222225</v>
      </c>
      <c r="AI8">
        <v>0</v>
      </c>
      <c r="AJ8">
        <v>0</v>
      </c>
      <c r="AK8" s="30" t="str">
        <f ca="1">VLOOKUP(T8,'Auxiliar Vendas'!E:F,2,FALSE)</f>
        <v>Produto 04</v>
      </c>
      <c r="AL8" s="31">
        <f ca="1">U8*VLOOKUP(T8,'Auxiliar Vendas'!E:G,3,FALSE)</f>
        <v>600</v>
      </c>
    </row>
    <row r="9" spans="1:38">
      <c r="A9">
        <v>15280180552</v>
      </c>
      <c r="B9">
        <v>64</v>
      </c>
      <c r="D9" s="1">
        <v>44433</v>
      </c>
      <c r="E9">
        <v>15179608501</v>
      </c>
      <c r="F9" t="str">
        <f ca="1">VLOOKUP(RANDBETWEEN(1,20),'DBO Compras'!AA:AC,3,0)</f>
        <v>Comprador 04</v>
      </c>
      <c r="G9" t="s">
        <v>60</v>
      </c>
      <c r="H9" t="s">
        <v>61</v>
      </c>
      <c r="I9" t="s">
        <v>62</v>
      </c>
      <c r="J9" t="s">
        <v>39</v>
      </c>
      <c r="K9">
        <v>82720070</v>
      </c>
      <c r="L9" t="s">
        <v>40</v>
      </c>
      <c r="M9" t="s">
        <v>63</v>
      </c>
      <c r="N9">
        <v>41992354686</v>
      </c>
      <c r="O9">
        <v>0</v>
      </c>
      <c r="P9">
        <v>0</v>
      </c>
      <c r="R9" t="s">
        <v>42</v>
      </c>
      <c r="S9">
        <v>15016087271</v>
      </c>
      <c r="T9" t="str">
        <f ca="1">VLOOKUP(RANDBETWEEN(1,17),'Auxiliar Vendas'!D:G,2,0)</f>
        <v>Produto 01</v>
      </c>
      <c r="U9">
        <v>200</v>
      </c>
      <c r="V9">
        <v>18.2</v>
      </c>
      <c r="W9">
        <v>0</v>
      </c>
      <c r="X9">
        <v>14.4596</v>
      </c>
      <c r="Y9" s="3">
        <v>3640</v>
      </c>
      <c r="Z9">
        <v>42</v>
      </c>
      <c r="AA9" t="s">
        <v>64</v>
      </c>
      <c r="AB9">
        <v>0</v>
      </c>
      <c r="AC9">
        <v>0</v>
      </c>
      <c r="AH9" s="2">
        <v>44433.490277777775</v>
      </c>
      <c r="AI9">
        <v>0</v>
      </c>
      <c r="AJ9">
        <v>0</v>
      </c>
      <c r="AK9" s="30" t="str">
        <f ca="1">VLOOKUP(T9,'Auxiliar Vendas'!E:F,2,FALSE)</f>
        <v>Produto 01</v>
      </c>
      <c r="AL9" s="31">
        <f ca="1">U9*VLOOKUP(T9,'Auxiliar Vendas'!E:G,3,FALSE)</f>
        <v>80</v>
      </c>
    </row>
    <row r="10" spans="1:38">
      <c r="A10">
        <v>15280180552</v>
      </c>
      <c r="B10">
        <v>64</v>
      </c>
      <c r="D10" s="1">
        <v>44433</v>
      </c>
      <c r="E10">
        <v>15179608501</v>
      </c>
      <c r="F10" t="str">
        <f ca="1">VLOOKUP(RANDBETWEEN(1,20),'DBO Compras'!AA:AC,3,0)</f>
        <v>Comprador 14</v>
      </c>
      <c r="G10" t="s">
        <v>60</v>
      </c>
      <c r="H10" t="s">
        <v>61</v>
      </c>
      <c r="I10" t="s">
        <v>62</v>
      </c>
      <c r="J10" t="s">
        <v>39</v>
      </c>
      <c r="K10">
        <v>82720070</v>
      </c>
      <c r="L10" t="s">
        <v>40</v>
      </c>
      <c r="M10" t="s">
        <v>63</v>
      </c>
      <c r="N10">
        <v>41992354686</v>
      </c>
      <c r="O10">
        <v>0</v>
      </c>
      <c r="P10">
        <v>0</v>
      </c>
      <c r="R10" t="s">
        <v>42</v>
      </c>
      <c r="S10">
        <v>15016093155</v>
      </c>
      <c r="T10" t="str">
        <f ca="1">VLOOKUP(RANDBETWEEN(1,17),'Auxiliar Vendas'!D:G,2,0)</f>
        <v>Produto 07</v>
      </c>
      <c r="U10">
        <v>400</v>
      </c>
      <c r="V10">
        <v>16.170000000000002</v>
      </c>
      <c r="W10">
        <v>0</v>
      </c>
      <c r="X10">
        <v>14.4596</v>
      </c>
      <c r="Y10" s="3">
        <v>6468</v>
      </c>
      <c r="Z10">
        <v>42</v>
      </c>
      <c r="AA10" t="s">
        <v>65</v>
      </c>
      <c r="AB10">
        <v>0</v>
      </c>
      <c r="AC10">
        <v>0</v>
      </c>
      <c r="AH10" s="2">
        <v>44433.490277777775</v>
      </c>
      <c r="AI10">
        <v>0</v>
      </c>
      <c r="AJ10">
        <v>0</v>
      </c>
      <c r="AK10" s="30" t="str">
        <f ca="1">VLOOKUP(T10,'Auxiliar Vendas'!E:F,2,FALSE)</f>
        <v>Produto 07</v>
      </c>
      <c r="AL10" s="31">
        <f ca="1">U10*VLOOKUP(T10,'Auxiliar Vendas'!E:G,3,FALSE)</f>
        <v>440.00000000000006</v>
      </c>
    </row>
    <row r="11" spans="1:38">
      <c r="A11">
        <v>15280180552</v>
      </c>
      <c r="B11">
        <v>64</v>
      </c>
      <c r="D11" s="1">
        <v>44433</v>
      </c>
      <c r="E11">
        <v>15179608501</v>
      </c>
      <c r="F11" t="str">
        <f ca="1">VLOOKUP(RANDBETWEEN(1,20),'DBO Compras'!AA:AC,3,0)</f>
        <v>Comprador 18</v>
      </c>
      <c r="G11" t="s">
        <v>60</v>
      </c>
      <c r="H11" t="s">
        <v>61</v>
      </c>
      <c r="I11" t="s">
        <v>62</v>
      </c>
      <c r="J11" t="s">
        <v>39</v>
      </c>
      <c r="K11">
        <v>82720070</v>
      </c>
      <c r="L11" t="s">
        <v>40</v>
      </c>
      <c r="M11" t="s">
        <v>63</v>
      </c>
      <c r="N11">
        <v>41992354686</v>
      </c>
      <c r="O11">
        <v>0</v>
      </c>
      <c r="P11">
        <v>0</v>
      </c>
      <c r="R11" t="s">
        <v>42</v>
      </c>
      <c r="S11">
        <v>15015886084</v>
      </c>
      <c r="T11" t="str">
        <f ca="1">VLOOKUP(RANDBETWEEN(1,17),'Auxiliar Vendas'!D:G,2,0)</f>
        <v>Produto 15</v>
      </c>
      <c r="U11">
        <v>200</v>
      </c>
      <c r="V11">
        <v>18.13</v>
      </c>
      <c r="W11">
        <v>0</v>
      </c>
      <c r="X11">
        <v>15.996</v>
      </c>
      <c r="Y11" s="3">
        <v>3626</v>
      </c>
      <c r="Z11">
        <v>42</v>
      </c>
      <c r="AA11" t="s">
        <v>66</v>
      </c>
      <c r="AB11">
        <v>0</v>
      </c>
      <c r="AC11">
        <v>0</v>
      </c>
      <c r="AH11" s="2">
        <v>44433.490277777775</v>
      </c>
      <c r="AI11">
        <v>0</v>
      </c>
      <c r="AJ11">
        <v>0</v>
      </c>
      <c r="AK11" s="30" t="str">
        <f ca="1">VLOOKUP(T11,'Auxiliar Vendas'!E:F,2,FALSE)</f>
        <v>Produto 15</v>
      </c>
      <c r="AL11" s="31">
        <f ca="1">U11*VLOOKUP(T11,'Auxiliar Vendas'!E:G,3,FALSE)</f>
        <v>284</v>
      </c>
    </row>
    <row r="12" spans="1:38">
      <c r="A12">
        <v>15269564434</v>
      </c>
      <c r="B12">
        <v>26</v>
      </c>
      <c r="D12" s="1">
        <v>44438</v>
      </c>
      <c r="E12">
        <v>15058698393</v>
      </c>
      <c r="F12" t="str">
        <f ca="1">VLOOKUP(RANDBETWEEN(1,20),'DBO Compras'!AA:AC,3,0)</f>
        <v>Comprador 17</v>
      </c>
      <c r="G12" t="s">
        <v>67</v>
      </c>
      <c r="H12" t="s">
        <v>68</v>
      </c>
      <c r="I12" t="s">
        <v>69</v>
      </c>
      <c r="J12" t="s">
        <v>70</v>
      </c>
      <c r="K12">
        <v>83320382</v>
      </c>
      <c r="L12" t="s">
        <v>40</v>
      </c>
      <c r="M12" t="s">
        <v>71</v>
      </c>
      <c r="N12">
        <v>41998972354</v>
      </c>
      <c r="O12">
        <v>0</v>
      </c>
      <c r="P12">
        <v>0</v>
      </c>
      <c r="R12" t="s">
        <v>42</v>
      </c>
      <c r="S12">
        <v>15016043939</v>
      </c>
      <c r="T12" t="str">
        <f ca="1">VLOOKUP(RANDBETWEEN(1,17),'Auxiliar Vendas'!D:G,2,0)</f>
        <v>Produto 07</v>
      </c>
      <c r="U12">
        <v>500</v>
      </c>
      <c r="V12">
        <v>13.9</v>
      </c>
      <c r="W12">
        <v>0</v>
      </c>
      <c r="X12">
        <v>10.747</v>
      </c>
      <c r="Y12" s="3">
        <v>6950</v>
      </c>
      <c r="Z12">
        <v>18</v>
      </c>
      <c r="AA12" t="s">
        <v>50</v>
      </c>
      <c r="AB12">
        <v>0</v>
      </c>
      <c r="AC12">
        <v>0</v>
      </c>
      <c r="AH12" s="2">
        <v>44438.572916666664</v>
      </c>
      <c r="AI12">
        <v>0</v>
      </c>
      <c r="AJ12">
        <v>0</v>
      </c>
      <c r="AK12" s="30" t="str">
        <f ca="1">VLOOKUP(T12,'Auxiliar Vendas'!E:F,2,FALSE)</f>
        <v>Produto 07</v>
      </c>
      <c r="AL12" s="31">
        <f ca="1">U12*VLOOKUP(T12,'Auxiliar Vendas'!E:G,3,FALSE)</f>
        <v>550</v>
      </c>
    </row>
    <row r="13" spans="1:38">
      <c r="A13">
        <v>15269655769</v>
      </c>
      <c r="B13">
        <v>27</v>
      </c>
      <c r="D13" s="1">
        <v>44438</v>
      </c>
      <c r="E13">
        <v>15020006032</v>
      </c>
      <c r="F13" t="str">
        <f ca="1">VLOOKUP(RANDBETWEEN(1,20),'DBO Compras'!AA:AC,3,0)</f>
        <v>Comprador 19</v>
      </c>
      <c r="G13" t="s">
        <v>36</v>
      </c>
      <c r="H13" t="s">
        <v>37</v>
      </c>
      <c r="I13" t="s">
        <v>38</v>
      </c>
      <c r="J13" t="s">
        <v>39</v>
      </c>
      <c r="K13">
        <v>82960015</v>
      </c>
      <c r="L13" t="s">
        <v>40</v>
      </c>
      <c r="M13" t="s">
        <v>41</v>
      </c>
      <c r="N13">
        <v>41996838559</v>
      </c>
      <c r="O13">
        <v>0</v>
      </c>
      <c r="P13">
        <v>0</v>
      </c>
      <c r="R13" t="s">
        <v>42</v>
      </c>
      <c r="S13">
        <v>15015511068</v>
      </c>
      <c r="T13" t="str">
        <f ca="1">VLOOKUP(RANDBETWEEN(1,17),'Auxiliar Vendas'!D:G,2,0)</f>
        <v>Produto 17</v>
      </c>
      <c r="U13">
        <v>500</v>
      </c>
      <c r="V13">
        <v>16.2</v>
      </c>
      <c r="W13">
        <v>0</v>
      </c>
      <c r="X13">
        <v>10.23</v>
      </c>
      <c r="Y13" s="3">
        <v>8100</v>
      </c>
      <c r="Z13">
        <v>16</v>
      </c>
      <c r="AA13" t="s">
        <v>53</v>
      </c>
      <c r="AB13">
        <v>0</v>
      </c>
      <c r="AC13">
        <v>0</v>
      </c>
      <c r="AH13" s="2">
        <v>44438.573611111111</v>
      </c>
      <c r="AI13">
        <v>0</v>
      </c>
      <c r="AJ13">
        <v>0</v>
      </c>
      <c r="AK13" s="30" t="str">
        <f ca="1">VLOOKUP(T13,'Auxiliar Vendas'!E:F,2,FALSE)</f>
        <v>Produto 17</v>
      </c>
      <c r="AL13" s="31">
        <f ca="1">U13*VLOOKUP(T13,'Auxiliar Vendas'!E:G,3,FALSE)</f>
        <v>710</v>
      </c>
    </row>
    <row r="14" spans="1:38">
      <c r="A14">
        <v>15269655769</v>
      </c>
      <c r="B14">
        <v>27</v>
      </c>
      <c r="D14" s="1">
        <v>44438</v>
      </c>
      <c r="E14">
        <v>15020006032</v>
      </c>
      <c r="F14" t="str">
        <f ca="1">VLOOKUP(RANDBETWEEN(1,20),'DBO Compras'!AA:AC,3,0)</f>
        <v>Comprador 05</v>
      </c>
      <c r="G14" t="s">
        <v>36</v>
      </c>
      <c r="H14" t="s">
        <v>37</v>
      </c>
      <c r="I14" t="s">
        <v>38</v>
      </c>
      <c r="J14" t="s">
        <v>39</v>
      </c>
      <c r="K14">
        <v>82960015</v>
      </c>
      <c r="L14" t="s">
        <v>40</v>
      </c>
      <c r="M14" t="s">
        <v>41</v>
      </c>
      <c r="N14">
        <v>41996838559</v>
      </c>
      <c r="O14">
        <v>0</v>
      </c>
      <c r="P14">
        <v>0</v>
      </c>
      <c r="R14" t="s">
        <v>42</v>
      </c>
      <c r="S14">
        <v>15016043939</v>
      </c>
      <c r="T14" t="str">
        <f ca="1">VLOOKUP(RANDBETWEEN(1,17),'Auxiliar Vendas'!D:G,2,0)</f>
        <v>Produto 10</v>
      </c>
      <c r="U14">
        <v>500</v>
      </c>
      <c r="V14">
        <v>13.9</v>
      </c>
      <c r="W14">
        <v>0</v>
      </c>
      <c r="X14">
        <v>10.747</v>
      </c>
      <c r="Y14" s="3">
        <v>6950</v>
      </c>
      <c r="Z14">
        <v>16</v>
      </c>
      <c r="AA14" t="s">
        <v>50</v>
      </c>
      <c r="AB14">
        <v>0</v>
      </c>
      <c r="AC14">
        <v>0</v>
      </c>
      <c r="AH14" s="2">
        <v>44438.573611111111</v>
      </c>
      <c r="AI14">
        <v>0</v>
      </c>
      <c r="AJ14">
        <v>0</v>
      </c>
      <c r="AK14" s="30" t="str">
        <f ca="1">VLOOKUP(T14,'Auxiliar Vendas'!E:F,2,FALSE)</f>
        <v>Produto 10</v>
      </c>
      <c r="AL14" s="31">
        <f ca="1">U14*VLOOKUP(T14,'Auxiliar Vendas'!E:G,3,FALSE)</f>
        <v>550</v>
      </c>
    </row>
    <row r="15" spans="1:38">
      <c r="A15">
        <v>15269655769</v>
      </c>
      <c r="B15">
        <v>27</v>
      </c>
      <c r="D15" s="1">
        <v>44438</v>
      </c>
      <c r="E15">
        <v>15020006032</v>
      </c>
      <c r="F15" t="str">
        <f ca="1">VLOOKUP(RANDBETWEEN(1,20),'DBO Compras'!AA:AC,3,0)</f>
        <v>Comprador 02</v>
      </c>
      <c r="G15" t="s">
        <v>36</v>
      </c>
      <c r="H15" t="s">
        <v>37</v>
      </c>
      <c r="I15" t="s">
        <v>38</v>
      </c>
      <c r="J15" t="s">
        <v>39</v>
      </c>
      <c r="K15">
        <v>82960015</v>
      </c>
      <c r="L15" t="s">
        <v>40</v>
      </c>
      <c r="M15" t="s">
        <v>41</v>
      </c>
      <c r="N15">
        <v>41996838559</v>
      </c>
      <c r="O15">
        <v>0</v>
      </c>
      <c r="P15">
        <v>0</v>
      </c>
      <c r="R15" t="s">
        <v>42</v>
      </c>
      <c r="S15">
        <v>15015918644</v>
      </c>
      <c r="T15" t="str">
        <f ca="1">VLOOKUP(RANDBETWEEN(1,17),'Auxiliar Vendas'!D:G,2,0)</f>
        <v>Produto 09</v>
      </c>
      <c r="U15" s="3">
        <v>2000</v>
      </c>
      <c r="V15">
        <v>8.1999999999999993</v>
      </c>
      <c r="W15">
        <v>0</v>
      </c>
      <c r="X15">
        <v>5.61</v>
      </c>
      <c r="Y15" s="3">
        <v>16400</v>
      </c>
      <c r="Z15">
        <v>16</v>
      </c>
      <c r="AA15" t="s">
        <v>59</v>
      </c>
      <c r="AB15">
        <v>0</v>
      </c>
      <c r="AC15">
        <v>0</v>
      </c>
      <c r="AH15" s="2">
        <v>44438.573611111111</v>
      </c>
      <c r="AI15">
        <v>0</v>
      </c>
      <c r="AJ15">
        <v>0</v>
      </c>
      <c r="AK15" s="30" t="str">
        <f ca="1">VLOOKUP(T15,'Auxiliar Vendas'!E:F,2,FALSE)</f>
        <v>Produto 09</v>
      </c>
      <c r="AL15" s="31">
        <f ca="1">U15*VLOOKUP(T15,'Auxiliar Vendas'!E:G,3,FALSE)</f>
        <v>2200</v>
      </c>
    </row>
    <row r="16" spans="1:38">
      <c r="A16">
        <v>15269738581</v>
      </c>
      <c r="B16">
        <v>28</v>
      </c>
      <c r="D16" s="1">
        <v>44438</v>
      </c>
      <c r="E16">
        <v>15058719469</v>
      </c>
      <c r="F16" t="str">
        <f ca="1">VLOOKUP(RANDBETWEEN(1,20),'DBO Compras'!AA:AC,3,0)</f>
        <v>Comprador 10</v>
      </c>
      <c r="G16" t="s">
        <v>72</v>
      </c>
      <c r="H16" t="s">
        <v>73</v>
      </c>
      <c r="I16" t="s">
        <v>74</v>
      </c>
      <c r="J16" t="s">
        <v>48</v>
      </c>
      <c r="K16">
        <v>82930548</v>
      </c>
      <c r="L16" t="s">
        <v>40</v>
      </c>
      <c r="O16">
        <v>0</v>
      </c>
      <c r="P16">
        <v>0</v>
      </c>
      <c r="R16" t="s">
        <v>42</v>
      </c>
      <c r="S16">
        <v>15016043939</v>
      </c>
      <c r="T16" t="str">
        <f ca="1">VLOOKUP(RANDBETWEEN(1,17),'Auxiliar Vendas'!D:G,2,0)</f>
        <v>Produto 04</v>
      </c>
      <c r="U16">
        <v>250</v>
      </c>
      <c r="V16">
        <v>13.9</v>
      </c>
      <c r="W16">
        <v>0</v>
      </c>
      <c r="X16">
        <v>10.747</v>
      </c>
      <c r="Y16" s="3">
        <v>3475</v>
      </c>
      <c r="Z16">
        <v>19</v>
      </c>
      <c r="AA16" t="s">
        <v>50</v>
      </c>
      <c r="AB16">
        <v>0</v>
      </c>
      <c r="AC16">
        <v>0</v>
      </c>
      <c r="AH16" s="2">
        <v>44438.573611111111</v>
      </c>
      <c r="AI16">
        <v>0</v>
      </c>
      <c r="AJ16">
        <v>0</v>
      </c>
      <c r="AK16" s="30" t="str">
        <f ca="1">VLOOKUP(T16,'Auxiliar Vendas'!E:F,2,FALSE)</f>
        <v>Produto 04</v>
      </c>
      <c r="AL16" s="31">
        <f ca="1">U16*VLOOKUP(T16,'Auxiliar Vendas'!E:G,3,FALSE)</f>
        <v>150</v>
      </c>
    </row>
    <row r="17" spans="1:38">
      <c r="A17">
        <v>15269738581</v>
      </c>
      <c r="B17">
        <v>28</v>
      </c>
      <c r="D17" s="1">
        <v>44438</v>
      </c>
      <c r="E17">
        <v>15058719469</v>
      </c>
      <c r="F17" t="str">
        <f ca="1">VLOOKUP(RANDBETWEEN(1,20),'DBO Compras'!AA:AC,3,0)</f>
        <v>Comprador 19</v>
      </c>
      <c r="G17" t="s">
        <v>72</v>
      </c>
      <c r="H17" t="s">
        <v>73</v>
      </c>
      <c r="I17" t="s">
        <v>74</v>
      </c>
      <c r="J17" t="s">
        <v>48</v>
      </c>
      <c r="K17">
        <v>82930548</v>
      </c>
      <c r="L17" t="s">
        <v>40</v>
      </c>
      <c r="O17">
        <v>0</v>
      </c>
      <c r="P17">
        <v>0</v>
      </c>
      <c r="R17" t="s">
        <v>42</v>
      </c>
      <c r="S17">
        <v>15015918644</v>
      </c>
      <c r="T17" t="str">
        <f ca="1">VLOOKUP(RANDBETWEEN(1,17),'Auxiliar Vendas'!D:G,2,0)</f>
        <v>Produto 06</v>
      </c>
      <c r="U17">
        <v>250</v>
      </c>
      <c r="V17">
        <v>8.1999999999999993</v>
      </c>
      <c r="W17">
        <v>0</v>
      </c>
      <c r="X17">
        <v>5.61</v>
      </c>
      <c r="Y17" s="3">
        <v>2050</v>
      </c>
      <c r="Z17">
        <v>19</v>
      </c>
      <c r="AA17" t="s">
        <v>59</v>
      </c>
      <c r="AB17">
        <v>0</v>
      </c>
      <c r="AC17">
        <v>0</v>
      </c>
      <c r="AH17" s="2">
        <v>44438.573611111111</v>
      </c>
      <c r="AI17">
        <v>0</v>
      </c>
      <c r="AJ17">
        <v>0</v>
      </c>
      <c r="AK17" s="30" t="str">
        <f ca="1">VLOOKUP(T17,'Auxiliar Vendas'!E:F,2,FALSE)</f>
        <v>Produto 06</v>
      </c>
      <c r="AL17" s="31">
        <f ca="1">U17*VLOOKUP(T17,'Auxiliar Vendas'!E:G,3,FALSE)</f>
        <v>125</v>
      </c>
    </row>
    <row r="18" spans="1:38">
      <c r="A18">
        <v>15269778195</v>
      </c>
      <c r="B18">
        <v>29</v>
      </c>
      <c r="D18" s="1">
        <v>44438</v>
      </c>
      <c r="E18">
        <v>15058741746</v>
      </c>
      <c r="F18" t="str">
        <f ca="1">VLOOKUP(RANDBETWEEN(1,20),'DBO Compras'!AA:AC,3,0)</f>
        <v>Comprador 01</v>
      </c>
      <c r="G18" t="s">
        <v>75</v>
      </c>
      <c r="H18" t="s">
        <v>76</v>
      </c>
      <c r="I18" t="s">
        <v>77</v>
      </c>
      <c r="J18" t="s">
        <v>48</v>
      </c>
      <c r="K18">
        <v>81290000</v>
      </c>
      <c r="L18" t="s">
        <v>40</v>
      </c>
      <c r="O18">
        <v>0</v>
      </c>
      <c r="P18">
        <v>0</v>
      </c>
      <c r="R18" t="s">
        <v>42</v>
      </c>
      <c r="S18">
        <v>15015911944</v>
      </c>
      <c r="T18" t="str">
        <f ca="1">VLOOKUP(RANDBETWEEN(1,17),'Auxiliar Vendas'!D:G,2,0)</f>
        <v>Produto 01</v>
      </c>
      <c r="U18" s="3">
        <v>1000</v>
      </c>
      <c r="V18">
        <v>13.8</v>
      </c>
      <c r="W18">
        <v>0</v>
      </c>
      <c r="X18">
        <v>10.285</v>
      </c>
      <c r="Y18" s="3">
        <v>13800</v>
      </c>
      <c r="Z18">
        <v>20</v>
      </c>
      <c r="AA18" t="s">
        <v>78</v>
      </c>
      <c r="AB18">
        <v>0</v>
      </c>
      <c r="AC18">
        <v>0</v>
      </c>
      <c r="AH18" s="2">
        <v>44438.573611111111</v>
      </c>
      <c r="AI18">
        <v>0</v>
      </c>
      <c r="AJ18">
        <v>0</v>
      </c>
      <c r="AK18" s="30" t="str">
        <f ca="1">VLOOKUP(T18,'Auxiliar Vendas'!E:F,2,FALSE)</f>
        <v>Produto 01</v>
      </c>
      <c r="AL18" s="31">
        <f ca="1">U18*VLOOKUP(T18,'Auxiliar Vendas'!E:G,3,FALSE)</f>
        <v>400</v>
      </c>
    </row>
    <row r="19" spans="1:38">
      <c r="A19">
        <v>15269822282</v>
      </c>
      <c r="B19">
        <v>30</v>
      </c>
      <c r="D19" s="1">
        <v>44438</v>
      </c>
      <c r="E19">
        <v>15058669306</v>
      </c>
      <c r="F19" t="str">
        <f ca="1">VLOOKUP(RANDBETWEEN(1,20),'DBO Compras'!AA:AC,3,0)</f>
        <v>Comprador 18</v>
      </c>
      <c r="G19" t="s">
        <v>45</v>
      </c>
      <c r="H19" t="s">
        <v>46</v>
      </c>
      <c r="I19" t="s">
        <v>47</v>
      </c>
      <c r="J19" t="s">
        <v>39</v>
      </c>
      <c r="K19">
        <v>82200430</v>
      </c>
      <c r="L19" t="s">
        <v>40</v>
      </c>
      <c r="M19" t="s">
        <v>472</v>
      </c>
      <c r="N19">
        <v>4191036801</v>
      </c>
      <c r="O19">
        <v>0</v>
      </c>
      <c r="P19">
        <v>0</v>
      </c>
      <c r="R19" t="s">
        <v>42</v>
      </c>
      <c r="S19">
        <v>15015911944</v>
      </c>
      <c r="T19" t="str">
        <f ca="1">VLOOKUP(RANDBETWEEN(1,17),'Auxiliar Vendas'!D:G,2,0)</f>
        <v>Produto 11</v>
      </c>
      <c r="U19">
        <v>300</v>
      </c>
      <c r="V19">
        <v>18.2</v>
      </c>
      <c r="W19">
        <v>0</v>
      </c>
      <c r="X19">
        <v>10.285</v>
      </c>
      <c r="Y19" s="3">
        <v>5460</v>
      </c>
      <c r="Z19">
        <v>17</v>
      </c>
      <c r="AA19" t="s">
        <v>78</v>
      </c>
      <c r="AB19">
        <v>0</v>
      </c>
      <c r="AC19">
        <v>0</v>
      </c>
      <c r="AD19" t="s">
        <v>51</v>
      </c>
      <c r="AH19" s="2">
        <v>44438.573611111111</v>
      </c>
      <c r="AI19">
        <v>0</v>
      </c>
      <c r="AJ19">
        <v>0</v>
      </c>
      <c r="AK19" s="30" t="str">
        <f ca="1">VLOOKUP(T19,'Auxiliar Vendas'!E:F,2,FALSE)</f>
        <v>Produto 11</v>
      </c>
      <c r="AL19" s="31">
        <f ca="1">U19*VLOOKUP(T19,'Auxiliar Vendas'!E:G,3,FALSE)</f>
        <v>330</v>
      </c>
    </row>
    <row r="20" spans="1:38">
      <c r="A20">
        <v>15269822282</v>
      </c>
      <c r="B20">
        <v>30</v>
      </c>
      <c r="D20" s="1">
        <v>44438</v>
      </c>
      <c r="E20">
        <v>15058669306</v>
      </c>
      <c r="F20" t="str">
        <f ca="1">VLOOKUP(RANDBETWEEN(1,20),'DBO Compras'!AA:AC,3,0)</f>
        <v>Comprador 11</v>
      </c>
      <c r="G20" t="s">
        <v>45</v>
      </c>
      <c r="H20" t="s">
        <v>46</v>
      </c>
      <c r="I20" t="s">
        <v>47</v>
      </c>
      <c r="J20" t="s">
        <v>39</v>
      </c>
      <c r="K20">
        <v>82200430</v>
      </c>
      <c r="L20" t="s">
        <v>40</v>
      </c>
      <c r="M20" t="s">
        <v>472</v>
      </c>
      <c r="N20">
        <v>4191036801</v>
      </c>
      <c r="O20">
        <v>0</v>
      </c>
      <c r="P20">
        <v>0</v>
      </c>
      <c r="R20" t="s">
        <v>42</v>
      </c>
      <c r="S20">
        <v>15016099089</v>
      </c>
      <c r="T20" t="str">
        <f ca="1">VLOOKUP(RANDBETWEEN(1,17),'Auxiliar Vendas'!D:G,2,0)</f>
        <v>Produto 16</v>
      </c>
      <c r="U20">
        <v>200</v>
      </c>
      <c r="V20">
        <v>21.3</v>
      </c>
      <c r="W20">
        <v>0</v>
      </c>
      <c r="X20">
        <v>16.804400000000001</v>
      </c>
      <c r="Y20" s="3">
        <v>4260</v>
      </c>
      <c r="Z20">
        <v>17</v>
      </c>
      <c r="AA20" t="s">
        <v>79</v>
      </c>
      <c r="AB20">
        <v>0</v>
      </c>
      <c r="AC20">
        <v>0</v>
      </c>
      <c r="AD20" t="s">
        <v>51</v>
      </c>
      <c r="AH20" s="2">
        <v>44438.573611111111</v>
      </c>
      <c r="AI20">
        <v>0</v>
      </c>
      <c r="AJ20">
        <v>0</v>
      </c>
      <c r="AK20" s="30" t="str">
        <f ca="1">VLOOKUP(T20,'Auxiliar Vendas'!E:F,2,FALSE)</f>
        <v>Produto 16</v>
      </c>
      <c r="AL20" s="31">
        <f ca="1">U20*VLOOKUP(T20,'Auxiliar Vendas'!E:G,3,FALSE)</f>
        <v>254</v>
      </c>
    </row>
    <row r="21" spans="1:38">
      <c r="A21">
        <v>15271227781</v>
      </c>
      <c r="B21">
        <v>41</v>
      </c>
      <c r="D21" s="1">
        <v>44438</v>
      </c>
      <c r="E21">
        <v>15179581888</v>
      </c>
      <c r="F21" t="str">
        <f ca="1">VLOOKUP(RANDBETWEEN(1,20),'DBO Compras'!AA:AC,3,0)</f>
        <v>Comprador 10</v>
      </c>
      <c r="G21" t="s">
        <v>54</v>
      </c>
      <c r="H21" t="s">
        <v>55</v>
      </c>
      <c r="I21" t="s">
        <v>56</v>
      </c>
      <c r="J21" t="s">
        <v>39</v>
      </c>
      <c r="K21">
        <v>81350610</v>
      </c>
      <c r="L21" t="s">
        <v>40</v>
      </c>
      <c r="M21" t="s">
        <v>57</v>
      </c>
      <c r="N21">
        <v>41996849234</v>
      </c>
      <c r="O21">
        <v>0</v>
      </c>
      <c r="P21">
        <v>0</v>
      </c>
      <c r="R21" t="s">
        <v>42</v>
      </c>
      <c r="S21">
        <v>15015911944</v>
      </c>
      <c r="T21" t="str">
        <f ca="1">VLOOKUP(RANDBETWEEN(1,17),'Auxiliar Vendas'!D:G,2,0)</f>
        <v>Produto 02</v>
      </c>
      <c r="U21" s="3">
        <v>12040</v>
      </c>
      <c r="V21">
        <v>13.9</v>
      </c>
      <c r="W21">
        <v>0</v>
      </c>
      <c r="X21">
        <v>10.285</v>
      </c>
      <c r="Y21" s="3">
        <v>167356</v>
      </c>
      <c r="Z21">
        <v>41</v>
      </c>
      <c r="AA21" t="s">
        <v>78</v>
      </c>
      <c r="AB21">
        <v>0</v>
      </c>
      <c r="AC21">
        <v>0</v>
      </c>
      <c r="AD21" t="s">
        <v>58</v>
      </c>
      <c r="AH21" s="2">
        <v>44438.382638888892</v>
      </c>
      <c r="AI21">
        <v>0</v>
      </c>
      <c r="AJ21">
        <v>0</v>
      </c>
      <c r="AK21" s="30" t="str">
        <f ca="1">VLOOKUP(T21,'Auxiliar Vendas'!E:F,2,FALSE)</f>
        <v>Produto 02</v>
      </c>
      <c r="AL21" s="31">
        <f ca="1">U21*VLOOKUP(T21,'Auxiliar Vendas'!E:G,3,FALSE)</f>
        <v>3250.8</v>
      </c>
    </row>
    <row r="22" spans="1:38">
      <c r="A22">
        <v>15271227781</v>
      </c>
      <c r="B22">
        <v>41</v>
      </c>
      <c r="D22" s="1">
        <v>44438</v>
      </c>
      <c r="E22">
        <v>15179581888</v>
      </c>
      <c r="F22" t="str">
        <f ca="1">VLOOKUP(RANDBETWEEN(1,20),'DBO Compras'!AA:AC,3,0)</f>
        <v>Comprador 13</v>
      </c>
      <c r="G22" t="s">
        <v>54</v>
      </c>
      <c r="H22" t="s">
        <v>55</v>
      </c>
      <c r="I22" t="s">
        <v>56</v>
      </c>
      <c r="J22" t="s">
        <v>39</v>
      </c>
      <c r="K22">
        <v>81350610</v>
      </c>
      <c r="L22" t="s">
        <v>40</v>
      </c>
      <c r="M22" t="s">
        <v>57</v>
      </c>
      <c r="N22">
        <v>41996849234</v>
      </c>
      <c r="O22">
        <v>0</v>
      </c>
      <c r="P22">
        <v>0</v>
      </c>
      <c r="R22" t="s">
        <v>42</v>
      </c>
      <c r="S22">
        <v>15016043939</v>
      </c>
      <c r="T22" t="str">
        <f ca="1">VLOOKUP(RANDBETWEEN(1,17),'Auxiliar Vendas'!D:G,2,0)</f>
        <v>Produto 04</v>
      </c>
      <c r="U22" s="3">
        <v>1000</v>
      </c>
      <c r="V22">
        <v>14</v>
      </c>
      <c r="W22">
        <v>0</v>
      </c>
      <c r="X22">
        <v>10.747</v>
      </c>
      <c r="Y22" s="3">
        <v>14000</v>
      </c>
      <c r="Z22">
        <v>41</v>
      </c>
      <c r="AA22" t="s">
        <v>50</v>
      </c>
      <c r="AB22">
        <v>0</v>
      </c>
      <c r="AC22">
        <v>0</v>
      </c>
      <c r="AD22" t="s">
        <v>58</v>
      </c>
      <c r="AH22" s="2">
        <v>44438.382638888892</v>
      </c>
      <c r="AI22">
        <v>0</v>
      </c>
      <c r="AJ22">
        <v>0</v>
      </c>
      <c r="AK22" s="30" t="str">
        <f ca="1">VLOOKUP(T22,'Auxiliar Vendas'!E:F,2,FALSE)</f>
        <v>Produto 04</v>
      </c>
      <c r="AL22" s="31">
        <f ca="1">U22*VLOOKUP(T22,'Auxiliar Vendas'!E:G,3,FALSE)</f>
        <v>600</v>
      </c>
    </row>
    <row r="23" spans="1:38">
      <c r="A23">
        <v>15271227781</v>
      </c>
      <c r="B23">
        <v>41</v>
      </c>
      <c r="D23" s="1">
        <v>44438</v>
      </c>
      <c r="E23">
        <v>15179581888</v>
      </c>
      <c r="F23" t="str">
        <f ca="1">VLOOKUP(RANDBETWEEN(1,20),'DBO Compras'!AA:AC,3,0)</f>
        <v>Comprador 06</v>
      </c>
      <c r="G23" t="s">
        <v>54</v>
      </c>
      <c r="H23" t="s">
        <v>55</v>
      </c>
      <c r="I23" t="s">
        <v>56</v>
      </c>
      <c r="J23" t="s">
        <v>39</v>
      </c>
      <c r="K23">
        <v>81350610</v>
      </c>
      <c r="L23" t="s">
        <v>40</v>
      </c>
      <c r="M23" t="s">
        <v>57</v>
      </c>
      <c r="N23">
        <v>41996849234</v>
      </c>
      <c r="O23">
        <v>0</v>
      </c>
      <c r="P23">
        <v>0</v>
      </c>
      <c r="R23" t="s">
        <v>42</v>
      </c>
      <c r="S23">
        <v>15015085610</v>
      </c>
      <c r="T23" t="str">
        <f ca="1">VLOOKUP(RANDBETWEEN(1,17),'Auxiliar Vendas'!D:G,2,0)</f>
        <v>Produto 13</v>
      </c>
      <c r="U23">
        <v>100</v>
      </c>
      <c r="V23">
        <v>14.2</v>
      </c>
      <c r="W23">
        <v>0</v>
      </c>
      <c r="X23">
        <v>10.23</v>
      </c>
      <c r="Y23" s="3">
        <v>1420</v>
      </c>
      <c r="Z23">
        <v>41</v>
      </c>
      <c r="AA23" t="s">
        <v>43</v>
      </c>
      <c r="AB23">
        <v>0</v>
      </c>
      <c r="AC23">
        <v>0</v>
      </c>
      <c r="AD23" t="s">
        <v>58</v>
      </c>
      <c r="AH23" s="2">
        <v>44438.382638888892</v>
      </c>
      <c r="AI23">
        <v>0</v>
      </c>
      <c r="AJ23">
        <v>0</v>
      </c>
      <c r="AK23" s="30" t="str">
        <f ca="1">VLOOKUP(T23,'Auxiliar Vendas'!E:F,2,FALSE)</f>
        <v>Produto 13</v>
      </c>
      <c r="AL23" s="31">
        <f ca="1">U23*VLOOKUP(T23,'Auxiliar Vendas'!E:G,3,FALSE)</f>
        <v>140</v>
      </c>
    </row>
    <row r="24" spans="1:38">
      <c r="A24">
        <v>15271227781</v>
      </c>
      <c r="B24">
        <v>41</v>
      </c>
      <c r="D24" s="1">
        <v>44438</v>
      </c>
      <c r="E24">
        <v>15179581888</v>
      </c>
      <c r="F24" t="str">
        <f ca="1">VLOOKUP(RANDBETWEEN(1,20),'DBO Compras'!AA:AC,3,0)</f>
        <v>Comprador 19</v>
      </c>
      <c r="G24" t="s">
        <v>54</v>
      </c>
      <c r="H24" t="s">
        <v>55</v>
      </c>
      <c r="I24" t="s">
        <v>56</v>
      </c>
      <c r="J24" t="s">
        <v>39</v>
      </c>
      <c r="K24">
        <v>81350610</v>
      </c>
      <c r="L24" t="s">
        <v>40</v>
      </c>
      <c r="M24" t="s">
        <v>57</v>
      </c>
      <c r="N24">
        <v>41996849234</v>
      </c>
      <c r="O24">
        <v>0</v>
      </c>
      <c r="P24">
        <v>0</v>
      </c>
      <c r="R24" t="s">
        <v>42</v>
      </c>
      <c r="S24">
        <v>15016043939</v>
      </c>
      <c r="T24" t="str">
        <f ca="1">VLOOKUP(RANDBETWEEN(1,17),'Auxiliar Vendas'!D:G,2,0)</f>
        <v>Produto 02</v>
      </c>
      <c r="U24">
        <v>200</v>
      </c>
      <c r="V24">
        <v>14.25</v>
      </c>
      <c r="W24">
        <v>0</v>
      </c>
      <c r="X24">
        <v>10.747</v>
      </c>
      <c r="Y24" s="3">
        <v>2850</v>
      </c>
      <c r="Z24">
        <v>41</v>
      </c>
      <c r="AA24" t="s">
        <v>50</v>
      </c>
      <c r="AB24">
        <v>0</v>
      </c>
      <c r="AC24">
        <v>0</v>
      </c>
      <c r="AD24" t="s">
        <v>58</v>
      </c>
      <c r="AH24" s="2">
        <v>44438.382638888892</v>
      </c>
      <c r="AI24">
        <v>0</v>
      </c>
      <c r="AJ24">
        <v>0</v>
      </c>
      <c r="AK24" s="30" t="str">
        <f ca="1">VLOOKUP(T24,'Auxiliar Vendas'!E:F,2,FALSE)</f>
        <v>Produto 02</v>
      </c>
      <c r="AL24" s="31">
        <f ca="1">U24*VLOOKUP(T24,'Auxiliar Vendas'!E:G,3,FALSE)</f>
        <v>54</v>
      </c>
    </row>
    <row r="25" spans="1:38">
      <c r="A25">
        <v>15271227781</v>
      </c>
      <c r="B25">
        <v>41</v>
      </c>
      <c r="D25" s="1">
        <v>44438</v>
      </c>
      <c r="E25">
        <v>15179581888</v>
      </c>
      <c r="F25" t="str">
        <f ca="1">VLOOKUP(RANDBETWEEN(1,20),'DBO Compras'!AA:AC,3,0)</f>
        <v>Comprador 07</v>
      </c>
      <c r="G25" t="s">
        <v>54</v>
      </c>
      <c r="H25" t="s">
        <v>55</v>
      </c>
      <c r="I25" t="s">
        <v>56</v>
      </c>
      <c r="J25" t="s">
        <v>39</v>
      </c>
      <c r="K25">
        <v>81350610</v>
      </c>
      <c r="L25" t="s">
        <v>40</v>
      </c>
      <c r="M25" t="s">
        <v>57</v>
      </c>
      <c r="N25">
        <v>41996849234</v>
      </c>
      <c r="O25">
        <v>0</v>
      </c>
      <c r="P25">
        <v>0</v>
      </c>
      <c r="R25" t="s">
        <v>42</v>
      </c>
      <c r="S25">
        <v>15015085610</v>
      </c>
      <c r="T25" t="str">
        <f ca="1">VLOOKUP(RANDBETWEEN(1,17),'Auxiliar Vendas'!D:G,2,0)</f>
        <v>Produto 15</v>
      </c>
      <c r="U25">
        <v>20</v>
      </c>
      <c r="V25">
        <v>14.7</v>
      </c>
      <c r="W25">
        <v>0</v>
      </c>
      <c r="X25">
        <v>10.23</v>
      </c>
      <c r="Y25">
        <v>294</v>
      </c>
      <c r="Z25">
        <v>41</v>
      </c>
      <c r="AA25" t="s">
        <v>43</v>
      </c>
      <c r="AB25">
        <v>0</v>
      </c>
      <c r="AC25">
        <v>0</v>
      </c>
      <c r="AD25" t="s">
        <v>58</v>
      </c>
      <c r="AH25" s="2">
        <v>44438.382638888892</v>
      </c>
      <c r="AI25">
        <v>0</v>
      </c>
      <c r="AJ25">
        <v>0</v>
      </c>
      <c r="AK25" s="30" t="str">
        <f ca="1">VLOOKUP(T25,'Auxiliar Vendas'!E:F,2,FALSE)</f>
        <v>Produto 15</v>
      </c>
      <c r="AL25" s="31">
        <f ca="1">U25*VLOOKUP(T25,'Auxiliar Vendas'!E:G,3,FALSE)</f>
        <v>28.4</v>
      </c>
    </row>
    <row r="26" spans="1:38">
      <c r="A26">
        <v>15271227781</v>
      </c>
      <c r="B26">
        <v>41</v>
      </c>
      <c r="D26" s="1">
        <v>44438</v>
      </c>
      <c r="E26">
        <v>15179581888</v>
      </c>
      <c r="F26" t="str">
        <f ca="1">VLOOKUP(RANDBETWEEN(1,20),'DBO Compras'!AA:AC,3,0)</f>
        <v>Comprador 12</v>
      </c>
      <c r="G26" t="s">
        <v>54</v>
      </c>
      <c r="H26" t="s">
        <v>55</v>
      </c>
      <c r="I26" t="s">
        <v>56</v>
      </c>
      <c r="J26" t="s">
        <v>39</v>
      </c>
      <c r="K26">
        <v>81350610</v>
      </c>
      <c r="L26" t="s">
        <v>40</v>
      </c>
      <c r="M26" t="s">
        <v>57</v>
      </c>
      <c r="N26">
        <v>41996849234</v>
      </c>
      <c r="O26">
        <v>0</v>
      </c>
      <c r="P26">
        <v>0</v>
      </c>
      <c r="R26" t="s">
        <v>42</v>
      </c>
      <c r="S26">
        <v>15015911944</v>
      </c>
      <c r="T26" t="str">
        <f ca="1">VLOOKUP(RANDBETWEEN(1,17),'Auxiliar Vendas'!D:G,2,0)</f>
        <v>Produto 17</v>
      </c>
      <c r="U26">
        <v>140</v>
      </c>
      <c r="V26">
        <v>14.9</v>
      </c>
      <c r="W26">
        <v>0</v>
      </c>
      <c r="X26">
        <v>10.285</v>
      </c>
      <c r="Y26" s="3">
        <v>2086</v>
      </c>
      <c r="Z26">
        <v>41</v>
      </c>
      <c r="AA26" t="s">
        <v>78</v>
      </c>
      <c r="AB26">
        <v>0</v>
      </c>
      <c r="AC26">
        <v>0</v>
      </c>
      <c r="AD26" t="s">
        <v>58</v>
      </c>
      <c r="AH26" s="2">
        <v>44438.382638888892</v>
      </c>
      <c r="AI26">
        <v>0</v>
      </c>
      <c r="AJ26">
        <v>0</v>
      </c>
      <c r="AK26" s="30" t="str">
        <f ca="1">VLOOKUP(T26,'Auxiliar Vendas'!E:F,2,FALSE)</f>
        <v>Produto 17</v>
      </c>
      <c r="AL26" s="31">
        <f ca="1">U26*VLOOKUP(T26,'Auxiliar Vendas'!E:G,3,FALSE)</f>
        <v>198.79999999999998</v>
      </c>
    </row>
    <row r="27" spans="1:38">
      <c r="A27">
        <v>15271227781</v>
      </c>
      <c r="B27">
        <v>41</v>
      </c>
      <c r="D27" s="1">
        <v>44438</v>
      </c>
      <c r="E27">
        <v>15179581888</v>
      </c>
      <c r="F27" t="str">
        <f ca="1">VLOOKUP(RANDBETWEEN(1,20),'DBO Compras'!AA:AC,3,0)</f>
        <v>Comprador 03</v>
      </c>
      <c r="G27" t="s">
        <v>54</v>
      </c>
      <c r="H27" t="s">
        <v>55</v>
      </c>
      <c r="I27" t="s">
        <v>56</v>
      </c>
      <c r="J27" t="s">
        <v>39</v>
      </c>
      <c r="K27">
        <v>81350610</v>
      </c>
      <c r="L27" t="s">
        <v>40</v>
      </c>
      <c r="M27" t="s">
        <v>57</v>
      </c>
      <c r="N27">
        <v>41996849234</v>
      </c>
      <c r="O27">
        <v>0</v>
      </c>
      <c r="P27">
        <v>0</v>
      </c>
      <c r="R27" t="s">
        <v>42</v>
      </c>
      <c r="S27">
        <v>15015511068</v>
      </c>
      <c r="T27" t="str">
        <f ca="1">VLOOKUP(RANDBETWEEN(1,17),'Auxiliar Vendas'!D:G,2,0)</f>
        <v>Produto 09</v>
      </c>
      <c r="U27">
        <v>425</v>
      </c>
      <c r="V27">
        <v>13.9</v>
      </c>
      <c r="W27">
        <v>0</v>
      </c>
      <c r="X27">
        <v>10.23</v>
      </c>
      <c r="Y27" s="3">
        <v>5907.5</v>
      </c>
      <c r="Z27">
        <v>41</v>
      </c>
      <c r="AA27" t="s">
        <v>53</v>
      </c>
      <c r="AB27">
        <v>0</v>
      </c>
      <c r="AC27">
        <v>0</v>
      </c>
      <c r="AD27" t="s">
        <v>58</v>
      </c>
      <c r="AH27" s="2">
        <v>44438.382638888892</v>
      </c>
      <c r="AI27">
        <v>0</v>
      </c>
      <c r="AJ27">
        <v>0</v>
      </c>
      <c r="AK27" s="30" t="str">
        <f ca="1">VLOOKUP(T27,'Auxiliar Vendas'!E:F,2,FALSE)</f>
        <v>Produto 09</v>
      </c>
      <c r="AL27" s="31">
        <f ca="1">U27*VLOOKUP(T27,'Auxiliar Vendas'!E:G,3,FALSE)</f>
        <v>467.50000000000006</v>
      </c>
    </row>
    <row r="28" spans="1:38">
      <c r="A28">
        <v>15271227781</v>
      </c>
      <c r="B28">
        <v>41</v>
      </c>
      <c r="D28" s="1">
        <v>44438</v>
      </c>
      <c r="E28">
        <v>15179581888</v>
      </c>
      <c r="F28" t="str">
        <f ca="1">VLOOKUP(RANDBETWEEN(1,20),'DBO Compras'!AA:AC,3,0)</f>
        <v>Comprador 14</v>
      </c>
      <c r="G28" t="s">
        <v>54</v>
      </c>
      <c r="H28" t="s">
        <v>55</v>
      </c>
      <c r="I28" t="s">
        <v>56</v>
      </c>
      <c r="J28" t="s">
        <v>39</v>
      </c>
      <c r="K28">
        <v>81350610</v>
      </c>
      <c r="L28" t="s">
        <v>40</v>
      </c>
      <c r="M28" t="s">
        <v>57</v>
      </c>
      <c r="N28">
        <v>41996849234</v>
      </c>
      <c r="O28">
        <v>0</v>
      </c>
      <c r="P28">
        <v>0</v>
      </c>
      <c r="R28" t="s">
        <v>42</v>
      </c>
      <c r="S28">
        <v>15015511068</v>
      </c>
      <c r="T28" t="str">
        <f ca="1">VLOOKUP(RANDBETWEEN(1,17),'Auxiliar Vendas'!D:G,2,0)</f>
        <v>Produto 05</v>
      </c>
      <c r="U28">
        <v>250</v>
      </c>
      <c r="V28">
        <v>16.7</v>
      </c>
      <c r="W28">
        <v>0</v>
      </c>
      <c r="X28">
        <v>10.23</v>
      </c>
      <c r="Y28" s="3">
        <v>4175</v>
      </c>
      <c r="Z28">
        <v>41</v>
      </c>
      <c r="AA28" t="s">
        <v>53</v>
      </c>
      <c r="AB28">
        <v>0</v>
      </c>
      <c r="AC28">
        <v>0</v>
      </c>
      <c r="AD28" t="s">
        <v>58</v>
      </c>
      <c r="AH28" s="2">
        <v>44438.382638888892</v>
      </c>
      <c r="AI28">
        <v>0</v>
      </c>
      <c r="AJ28">
        <v>0</v>
      </c>
      <c r="AK28" s="30" t="str">
        <f ca="1">VLOOKUP(T28,'Auxiliar Vendas'!E:F,2,FALSE)</f>
        <v>Produto 05</v>
      </c>
      <c r="AL28" s="31">
        <f ca="1">U28*VLOOKUP(T28,'Auxiliar Vendas'!E:G,3,FALSE)</f>
        <v>150</v>
      </c>
    </row>
    <row r="29" spans="1:38">
      <c r="A29">
        <v>15271227781</v>
      </c>
      <c r="B29">
        <v>41</v>
      </c>
      <c r="D29" s="1">
        <v>44438</v>
      </c>
      <c r="E29">
        <v>15179581888</v>
      </c>
      <c r="F29" t="str">
        <f ca="1">VLOOKUP(RANDBETWEEN(1,20),'DBO Compras'!AA:AC,3,0)</f>
        <v>Comprador 01</v>
      </c>
      <c r="G29" t="s">
        <v>54</v>
      </c>
      <c r="H29" t="s">
        <v>55</v>
      </c>
      <c r="I29" t="s">
        <v>56</v>
      </c>
      <c r="J29" t="s">
        <v>39</v>
      </c>
      <c r="K29">
        <v>81350610</v>
      </c>
      <c r="L29" t="s">
        <v>40</v>
      </c>
      <c r="M29" t="s">
        <v>57</v>
      </c>
      <c r="N29">
        <v>41996849234</v>
      </c>
      <c r="O29">
        <v>0</v>
      </c>
      <c r="P29">
        <v>0</v>
      </c>
      <c r="R29" t="s">
        <v>42</v>
      </c>
      <c r="S29">
        <v>15015511068</v>
      </c>
      <c r="T29" t="str">
        <f ca="1">VLOOKUP(RANDBETWEEN(1,17),'Auxiliar Vendas'!D:G,2,0)</f>
        <v>Produto 03</v>
      </c>
      <c r="U29">
        <v>38</v>
      </c>
      <c r="V29">
        <v>17.7</v>
      </c>
      <c r="W29">
        <v>0</v>
      </c>
      <c r="X29">
        <v>10.23</v>
      </c>
      <c r="Y29">
        <v>672.6</v>
      </c>
      <c r="Z29">
        <v>41</v>
      </c>
      <c r="AA29" t="s">
        <v>53</v>
      </c>
      <c r="AB29">
        <v>0</v>
      </c>
      <c r="AC29">
        <v>0</v>
      </c>
      <c r="AD29" t="s">
        <v>58</v>
      </c>
      <c r="AH29" s="2">
        <v>44438.382638888892</v>
      </c>
      <c r="AI29">
        <v>0</v>
      </c>
      <c r="AJ29">
        <v>0</v>
      </c>
      <c r="AK29" s="30" t="str">
        <f ca="1">VLOOKUP(T29,'Auxiliar Vendas'!E:F,2,FALSE)</f>
        <v>Produto 03</v>
      </c>
      <c r="AL29" s="31">
        <f ca="1">U29*VLOOKUP(T29,'Auxiliar Vendas'!E:G,3,FALSE)</f>
        <v>22.8</v>
      </c>
    </row>
    <row r="30" spans="1:38">
      <c r="A30">
        <v>15271227781</v>
      </c>
      <c r="B30">
        <v>41</v>
      </c>
      <c r="D30" s="1">
        <v>44438</v>
      </c>
      <c r="E30">
        <v>15179581888</v>
      </c>
      <c r="F30" t="str">
        <f ca="1">VLOOKUP(RANDBETWEEN(1,20),'DBO Compras'!AA:AC,3,0)</f>
        <v>Comprador 13</v>
      </c>
      <c r="G30" t="s">
        <v>54</v>
      </c>
      <c r="H30" t="s">
        <v>55</v>
      </c>
      <c r="I30" t="s">
        <v>56</v>
      </c>
      <c r="J30" t="s">
        <v>39</v>
      </c>
      <c r="K30">
        <v>81350610</v>
      </c>
      <c r="L30" t="s">
        <v>40</v>
      </c>
      <c r="M30" t="s">
        <v>57</v>
      </c>
      <c r="N30">
        <v>41996849234</v>
      </c>
      <c r="O30">
        <v>0</v>
      </c>
      <c r="P30">
        <v>0</v>
      </c>
      <c r="R30" t="s">
        <v>42</v>
      </c>
      <c r="S30">
        <v>15015918644</v>
      </c>
      <c r="T30" t="str">
        <f ca="1">VLOOKUP(RANDBETWEEN(1,17),'Auxiliar Vendas'!D:G,2,0)</f>
        <v>Produto 15</v>
      </c>
      <c r="U30" s="3">
        <v>6059</v>
      </c>
      <c r="V30">
        <v>8.1999999999999993</v>
      </c>
      <c r="W30">
        <v>0</v>
      </c>
      <c r="X30">
        <v>5.61</v>
      </c>
      <c r="Y30" s="3">
        <v>49683.8</v>
      </c>
      <c r="Z30">
        <v>41</v>
      </c>
      <c r="AA30" t="s">
        <v>59</v>
      </c>
      <c r="AB30">
        <v>0</v>
      </c>
      <c r="AC30">
        <v>0</v>
      </c>
      <c r="AD30" t="s">
        <v>58</v>
      </c>
      <c r="AH30" s="2">
        <v>44438.382638888892</v>
      </c>
      <c r="AI30">
        <v>0</v>
      </c>
      <c r="AJ30">
        <v>0</v>
      </c>
      <c r="AK30" s="30" t="str">
        <f ca="1">VLOOKUP(T30,'Auxiliar Vendas'!E:F,2,FALSE)</f>
        <v>Produto 15</v>
      </c>
      <c r="AL30" s="31">
        <f ca="1">U30*VLOOKUP(T30,'Auxiliar Vendas'!E:G,3,FALSE)</f>
        <v>8603.7799999999988</v>
      </c>
    </row>
    <row r="31" spans="1:38">
      <c r="A31">
        <v>15271227781</v>
      </c>
      <c r="B31">
        <v>41</v>
      </c>
      <c r="D31" s="1">
        <v>44438</v>
      </c>
      <c r="E31">
        <v>15179581888</v>
      </c>
      <c r="F31" t="str">
        <f ca="1">VLOOKUP(RANDBETWEEN(1,20),'DBO Compras'!AA:AC,3,0)</f>
        <v>Comprador 02</v>
      </c>
      <c r="G31" t="s">
        <v>54</v>
      </c>
      <c r="H31" t="s">
        <v>55</v>
      </c>
      <c r="I31" t="s">
        <v>56</v>
      </c>
      <c r="J31" t="s">
        <v>39</v>
      </c>
      <c r="K31">
        <v>81350610</v>
      </c>
      <c r="L31" t="s">
        <v>40</v>
      </c>
      <c r="M31" t="s">
        <v>57</v>
      </c>
      <c r="N31">
        <v>41996849234</v>
      </c>
      <c r="O31">
        <v>0</v>
      </c>
      <c r="P31">
        <v>0</v>
      </c>
      <c r="R31" t="s">
        <v>42</v>
      </c>
      <c r="S31">
        <v>15015918644</v>
      </c>
      <c r="T31" t="str">
        <f ca="1">VLOOKUP(RANDBETWEEN(1,17),'Auxiliar Vendas'!D:G,2,0)</f>
        <v>Produto 10</v>
      </c>
      <c r="U31">
        <v>110</v>
      </c>
      <c r="V31">
        <v>8.3800000000000008</v>
      </c>
      <c r="W31">
        <v>0</v>
      </c>
      <c r="X31">
        <v>5.61</v>
      </c>
      <c r="Y31">
        <v>921.8</v>
      </c>
      <c r="Z31">
        <v>41</v>
      </c>
      <c r="AA31" t="s">
        <v>59</v>
      </c>
      <c r="AB31">
        <v>0</v>
      </c>
      <c r="AC31">
        <v>0</v>
      </c>
      <c r="AD31" t="s">
        <v>58</v>
      </c>
      <c r="AH31" s="2">
        <v>44438.382638888892</v>
      </c>
      <c r="AI31">
        <v>0</v>
      </c>
      <c r="AJ31">
        <v>0</v>
      </c>
      <c r="AK31" s="30" t="str">
        <f ca="1">VLOOKUP(T31,'Auxiliar Vendas'!E:F,2,FALSE)</f>
        <v>Produto 10</v>
      </c>
      <c r="AL31" s="31">
        <f ca="1">U31*VLOOKUP(T31,'Auxiliar Vendas'!E:G,3,FALSE)</f>
        <v>121.00000000000001</v>
      </c>
    </row>
    <row r="32" spans="1:38">
      <c r="A32">
        <v>15271227781</v>
      </c>
      <c r="B32">
        <v>41</v>
      </c>
      <c r="D32" s="1">
        <v>44438</v>
      </c>
      <c r="E32">
        <v>15179581888</v>
      </c>
      <c r="F32" t="str">
        <f ca="1">VLOOKUP(RANDBETWEEN(1,20),'DBO Compras'!AA:AC,3,0)</f>
        <v>Comprador 03</v>
      </c>
      <c r="G32" t="s">
        <v>54</v>
      </c>
      <c r="H32" t="s">
        <v>55</v>
      </c>
      <c r="I32" t="s">
        <v>56</v>
      </c>
      <c r="J32" t="s">
        <v>39</v>
      </c>
      <c r="K32">
        <v>81350610</v>
      </c>
      <c r="L32" t="s">
        <v>40</v>
      </c>
      <c r="M32" t="s">
        <v>57</v>
      </c>
      <c r="N32">
        <v>41996849234</v>
      </c>
      <c r="O32">
        <v>0</v>
      </c>
      <c r="P32">
        <v>0</v>
      </c>
      <c r="R32" t="s">
        <v>42</v>
      </c>
      <c r="S32">
        <v>15015918644</v>
      </c>
      <c r="T32" t="str">
        <f ca="1">VLOOKUP(RANDBETWEEN(1,17),'Auxiliar Vendas'!D:G,2,0)</f>
        <v>Produto 08</v>
      </c>
      <c r="U32">
        <v>124</v>
      </c>
      <c r="V32">
        <v>8.68</v>
      </c>
      <c r="W32">
        <v>0</v>
      </c>
      <c r="X32">
        <v>5.61</v>
      </c>
      <c r="Y32" s="3">
        <v>1076.32</v>
      </c>
      <c r="Z32">
        <v>41</v>
      </c>
      <c r="AA32" t="s">
        <v>59</v>
      </c>
      <c r="AB32">
        <v>0</v>
      </c>
      <c r="AC32">
        <v>0</v>
      </c>
      <c r="AD32" t="s">
        <v>58</v>
      </c>
      <c r="AH32" s="2">
        <v>44438.382638888892</v>
      </c>
      <c r="AI32">
        <v>0</v>
      </c>
      <c r="AJ32">
        <v>0</v>
      </c>
      <c r="AK32" s="30" t="str">
        <f ca="1">VLOOKUP(T32,'Auxiliar Vendas'!E:F,2,FALSE)</f>
        <v>Produto 08</v>
      </c>
      <c r="AL32" s="31">
        <f ca="1">U32*VLOOKUP(T32,'Auxiliar Vendas'!E:G,3,FALSE)</f>
        <v>136.4</v>
      </c>
    </row>
    <row r="33" spans="1:38">
      <c r="A33">
        <v>15271227781</v>
      </c>
      <c r="B33">
        <v>41</v>
      </c>
      <c r="D33" s="1">
        <v>44438</v>
      </c>
      <c r="E33">
        <v>15179581888</v>
      </c>
      <c r="F33" t="str">
        <f ca="1">VLOOKUP(RANDBETWEEN(1,20),'DBO Compras'!AA:AC,3,0)</f>
        <v>Comprador 11</v>
      </c>
      <c r="G33" t="s">
        <v>54</v>
      </c>
      <c r="H33" t="s">
        <v>55</v>
      </c>
      <c r="I33" t="s">
        <v>56</v>
      </c>
      <c r="J33" t="s">
        <v>39</v>
      </c>
      <c r="K33">
        <v>81350610</v>
      </c>
      <c r="L33" t="s">
        <v>40</v>
      </c>
      <c r="M33" t="s">
        <v>57</v>
      </c>
      <c r="N33">
        <v>41996849234</v>
      </c>
      <c r="O33">
        <v>0</v>
      </c>
      <c r="P33">
        <v>0</v>
      </c>
      <c r="R33" t="s">
        <v>42</v>
      </c>
      <c r="S33">
        <v>15016080333</v>
      </c>
      <c r="T33" t="str">
        <f ca="1">VLOOKUP(RANDBETWEEN(1,17),'Auxiliar Vendas'!D:G,2,0)</f>
        <v>Produto 14</v>
      </c>
      <c r="U33">
        <v>111</v>
      </c>
      <c r="V33">
        <v>15.2</v>
      </c>
      <c r="W33">
        <v>0</v>
      </c>
      <c r="X33">
        <v>10.747</v>
      </c>
      <c r="Y33" s="3">
        <v>1687.2</v>
      </c>
      <c r="Z33">
        <v>41</v>
      </c>
      <c r="AA33" t="s">
        <v>80</v>
      </c>
      <c r="AB33">
        <v>0</v>
      </c>
      <c r="AC33">
        <v>0</v>
      </c>
      <c r="AD33" t="s">
        <v>58</v>
      </c>
      <c r="AH33" s="2">
        <v>44438.382638888892</v>
      </c>
      <c r="AI33">
        <v>0</v>
      </c>
      <c r="AJ33">
        <v>0</v>
      </c>
      <c r="AK33" s="30" t="str">
        <f ca="1">VLOOKUP(T33,'Auxiliar Vendas'!E:F,2,FALSE)</f>
        <v>Produto 14</v>
      </c>
      <c r="AL33" s="31">
        <f ca="1">U33*VLOOKUP(T33,'Auxiliar Vendas'!E:G,3,FALSE)</f>
        <v>155.39999999999998</v>
      </c>
    </row>
    <row r="34" spans="1:38">
      <c r="A34">
        <v>15271227781</v>
      </c>
      <c r="B34">
        <v>41</v>
      </c>
      <c r="D34" s="1">
        <v>44438</v>
      </c>
      <c r="E34">
        <v>15179581888</v>
      </c>
      <c r="F34" t="str">
        <f ca="1">VLOOKUP(RANDBETWEEN(1,20),'DBO Compras'!AA:AC,3,0)</f>
        <v>Comprador 20</v>
      </c>
      <c r="G34" t="s">
        <v>54</v>
      </c>
      <c r="H34" t="s">
        <v>55</v>
      </c>
      <c r="I34" t="s">
        <v>56</v>
      </c>
      <c r="J34" t="s">
        <v>39</v>
      </c>
      <c r="K34">
        <v>81350610</v>
      </c>
      <c r="L34" t="s">
        <v>40</v>
      </c>
      <c r="M34" t="s">
        <v>57</v>
      </c>
      <c r="N34">
        <v>41996849234</v>
      </c>
      <c r="O34">
        <v>0</v>
      </c>
      <c r="P34">
        <v>0</v>
      </c>
      <c r="R34" t="s">
        <v>42</v>
      </c>
      <c r="S34">
        <v>15015746121</v>
      </c>
      <c r="T34" t="str">
        <f ca="1">VLOOKUP(RANDBETWEEN(1,17),'Auxiliar Vendas'!D:G,2,0)</f>
        <v>Produto 06</v>
      </c>
      <c r="U34">
        <v>110</v>
      </c>
      <c r="V34">
        <v>18.2</v>
      </c>
      <c r="W34">
        <v>0</v>
      </c>
      <c r="X34">
        <v>13.763999999999999</v>
      </c>
      <c r="Y34" s="3">
        <v>2002</v>
      </c>
      <c r="Z34">
        <v>41</v>
      </c>
      <c r="AA34" t="s">
        <v>81</v>
      </c>
      <c r="AB34">
        <v>0</v>
      </c>
      <c r="AC34">
        <v>0</v>
      </c>
      <c r="AD34" t="s">
        <v>58</v>
      </c>
      <c r="AH34" s="2">
        <v>44438.382638888892</v>
      </c>
      <c r="AI34">
        <v>0</v>
      </c>
      <c r="AJ34">
        <v>0</v>
      </c>
      <c r="AK34" s="30" t="str">
        <f ca="1">VLOOKUP(T34,'Auxiliar Vendas'!E:F,2,FALSE)</f>
        <v>Produto 06</v>
      </c>
      <c r="AL34" s="31">
        <f ca="1">U34*VLOOKUP(T34,'Auxiliar Vendas'!E:G,3,FALSE)</f>
        <v>55</v>
      </c>
    </row>
    <row r="35" spans="1:38">
      <c r="A35">
        <v>15271227781</v>
      </c>
      <c r="B35">
        <v>41</v>
      </c>
      <c r="D35" s="1">
        <v>44438</v>
      </c>
      <c r="E35">
        <v>15179581888</v>
      </c>
      <c r="F35" t="str">
        <f ca="1">VLOOKUP(RANDBETWEEN(1,20),'DBO Compras'!AA:AC,3,0)</f>
        <v>Comprador 19</v>
      </c>
      <c r="G35" t="s">
        <v>54</v>
      </c>
      <c r="H35" t="s">
        <v>55</v>
      </c>
      <c r="I35" t="s">
        <v>56</v>
      </c>
      <c r="J35" t="s">
        <v>39</v>
      </c>
      <c r="K35">
        <v>81350610</v>
      </c>
      <c r="L35" t="s">
        <v>40</v>
      </c>
      <c r="M35" t="s">
        <v>57</v>
      </c>
      <c r="N35">
        <v>41996849234</v>
      </c>
      <c r="O35">
        <v>0</v>
      </c>
      <c r="P35">
        <v>0</v>
      </c>
      <c r="R35" t="s">
        <v>42</v>
      </c>
      <c r="S35">
        <v>15015746121</v>
      </c>
      <c r="T35" t="str">
        <f ca="1">VLOOKUP(RANDBETWEEN(1,17),'Auxiliar Vendas'!D:G,2,0)</f>
        <v>Produto 12</v>
      </c>
      <c r="U35">
        <v>100</v>
      </c>
      <c r="V35">
        <v>17.97</v>
      </c>
      <c r="W35">
        <v>0</v>
      </c>
      <c r="X35">
        <v>13.763999999999999</v>
      </c>
      <c r="Y35" s="3">
        <v>1797</v>
      </c>
      <c r="Z35">
        <v>41</v>
      </c>
      <c r="AA35" t="s">
        <v>81</v>
      </c>
      <c r="AB35">
        <v>0</v>
      </c>
      <c r="AC35">
        <v>0</v>
      </c>
      <c r="AD35" t="s">
        <v>58</v>
      </c>
      <c r="AH35" s="2">
        <v>44438.382638888892</v>
      </c>
      <c r="AI35">
        <v>0</v>
      </c>
      <c r="AJ35">
        <v>0</v>
      </c>
      <c r="AK35" s="30" t="str">
        <f ca="1">VLOOKUP(T35,'Auxiliar Vendas'!E:F,2,FALSE)</f>
        <v>Produto 12</v>
      </c>
      <c r="AL35" s="31">
        <f ca="1">U35*VLOOKUP(T35,'Auxiliar Vendas'!E:G,3,FALSE)</f>
        <v>140</v>
      </c>
    </row>
    <row r="36" spans="1:38">
      <c r="A36">
        <v>15271227781</v>
      </c>
      <c r="B36">
        <v>41</v>
      </c>
      <c r="D36" s="1">
        <v>44438</v>
      </c>
      <c r="E36">
        <v>15179581888</v>
      </c>
      <c r="F36" t="str">
        <f ca="1">VLOOKUP(RANDBETWEEN(1,20),'DBO Compras'!AA:AC,3,0)</f>
        <v>Comprador 18</v>
      </c>
      <c r="G36" t="s">
        <v>54</v>
      </c>
      <c r="H36" t="s">
        <v>55</v>
      </c>
      <c r="I36" t="s">
        <v>56</v>
      </c>
      <c r="J36" t="s">
        <v>39</v>
      </c>
      <c r="K36">
        <v>81350610</v>
      </c>
      <c r="L36" t="s">
        <v>40</v>
      </c>
      <c r="M36" t="s">
        <v>57</v>
      </c>
      <c r="N36">
        <v>41996849234</v>
      </c>
      <c r="O36">
        <v>0</v>
      </c>
      <c r="P36">
        <v>0</v>
      </c>
      <c r="R36" t="s">
        <v>42</v>
      </c>
      <c r="S36">
        <v>15016093155</v>
      </c>
      <c r="T36" t="str">
        <f ca="1">VLOOKUP(RANDBETWEEN(1,17),'Auxiliar Vendas'!D:G,2,0)</f>
        <v>Produto 01</v>
      </c>
      <c r="U36">
        <v>210</v>
      </c>
      <c r="V36">
        <v>18.2</v>
      </c>
      <c r="W36">
        <v>0</v>
      </c>
      <c r="X36">
        <v>14.4596</v>
      </c>
      <c r="Y36" s="3">
        <v>3822</v>
      </c>
      <c r="Z36">
        <v>41</v>
      </c>
      <c r="AA36" t="s">
        <v>65</v>
      </c>
      <c r="AB36">
        <v>0</v>
      </c>
      <c r="AC36">
        <v>0</v>
      </c>
      <c r="AD36" t="s">
        <v>58</v>
      </c>
      <c r="AH36" s="2">
        <v>44438.382638888892</v>
      </c>
      <c r="AI36">
        <v>0</v>
      </c>
      <c r="AJ36">
        <v>0</v>
      </c>
      <c r="AK36" s="30" t="str">
        <f ca="1">VLOOKUP(T36,'Auxiliar Vendas'!E:F,2,FALSE)</f>
        <v>Produto 01</v>
      </c>
      <c r="AL36" s="31">
        <f ca="1">U36*VLOOKUP(T36,'Auxiliar Vendas'!E:G,3,FALSE)</f>
        <v>84</v>
      </c>
    </row>
    <row r="37" spans="1:38">
      <c r="A37">
        <v>15271227781</v>
      </c>
      <c r="B37">
        <v>41</v>
      </c>
      <c r="D37" s="1">
        <v>44438</v>
      </c>
      <c r="E37">
        <v>15179581888</v>
      </c>
      <c r="F37" t="str">
        <f ca="1">VLOOKUP(RANDBETWEEN(1,20),'DBO Compras'!AA:AC,3,0)</f>
        <v>Comprador 05</v>
      </c>
      <c r="G37" t="s">
        <v>54</v>
      </c>
      <c r="H37" t="s">
        <v>55</v>
      </c>
      <c r="I37" t="s">
        <v>56</v>
      </c>
      <c r="J37" t="s">
        <v>39</v>
      </c>
      <c r="K37">
        <v>81350610</v>
      </c>
      <c r="L37" t="s">
        <v>40</v>
      </c>
      <c r="M37" t="s">
        <v>57</v>
      </c>
      <c r="N37">
        <v>41996849234</v>
      </c>
      <c r="O37">
        <v>0</v>
      </c>
      <c r="P37">
        <v>0</v>
      </c>
      <c r="R37" t="s">
        <v>42</v>
      </c>
      <c r="S37">
        <v>15016099089</v>
      </c>
      <c r="T37" t="str">
        <f ca="1">VLOOKUP(RANDBETWEEN(1,17),'Auxiliar Vendas'!D:G,2,0)</f>
        <v>Produto 14</v>
      </c>
      <c r="U37">
        <v>100</v>
      </c>
      <c r="V37">
        <v>21.3</v>
      </c>
      <c r="W37">
        <v>0</v>
      </c>
      <c r="X37">
        <v>16.804400000000001</v>
      </c>
      <c r="Y37" s="3">
        <v>2130</v>
      </c>
      <c r="Z37">
        <v>41</v>
      </c>
      <c r="AA37" t="s">
        <v>79</v>
      </c>
      <c r="AB37">
        <v>0</v>
      </c>
      <c r="AC37">
        <v>0</v>
      </c>
      <c r="AD37" t="s">
        <v>58</v>
      </c>
      <c r="AH37" s="2">
        <v>44438.382638888892</v>
      </c>
      <c r="AI37">
        <v>0</v>
      </c>
      <c r="AJ37">
        <v>0</v>
      </c>
      <c r="AK37" s="30" t="str">
        <f ca="1">VLOOKUP(T37,'Auxiliar Vendas'!E:F,2,FALSE)</f>
        <v>Produto 14</v>
      </c>
      <c r="AL37" s="31">
        <f ca="1">U37*VLOOKUP(T37,'Auxiliar Vendas'!E:G,3,FALSE)</f>
        <v>140</v>
      </c>
    </row>
    <row r="38" spans="1:38">
      <c r="A38">
        <v>15271227781</v>
      </c>
      <c r="B38">
        <v>41</v>
      </c>
      <c r="D38" s="1">
        <v>44438</v>
      </c>
      <c r="E38">
        <v>15179581888</v>
      </c>
      <c r="F38" t="str">
        <f ca="1">VLOOKUP(RANDBETWEEN(1,20),'DBO Compras'!AA:AC,3,0)</f>
        <v>Comprador 15</v>
      </c>
      <c r="G38" t="s">
        <v>54</v>
      </c>
      <c r="H38" t="s">
        <v>55</v>
      </c>
      <c r="I38" t="s">
        <v>56</v>
      </c>
      <c r="J38" t="s">
        <v>39</v>
      </c>
      <c r="K38">
        <v>81350610</v>
      </c>
      <c r="L38" t="s">
        <v>40</v>
      </c>
      <c r="M38" t="s">
        <v>57</v>
      </c>
      <c r="N38">
        <v>41996849234</v>
      </c>
      <c r="O38">
        <v>0</v>
      </c>
      <c r="P38">
        <v>0</v>
      </c>
      <c r="R38" t="s">
        <v>42</v>
      </c>
      <c r="S38">
        <v>15015925662</v>
      </c>
      <c r="T38" t="str">
        <f ca="1">VLOOKUP(RANDBETWEEN(1,17),'Auxiliar Vendas'!D:G,2,0)</f>
        <v>Produto 16</v>
      </c>
      <c r="U38">
        <v>120</v>
      </c>
      <c r="V38">
        <v>4.99</v>
      </c>
      <c r="W38">
        <v>0</v>
      </c>
      <c r="X38">
        <v>3.74</v>
      </c>
      <c r="Y38">
        <v>598.79999999999995</v>
      </c>
      <c r="Z38">
        <v>41</v>
      </c>
      <c r="AA38" t="s">
        <v>82</v>
      </c>
      <c r="AB38">
        <v>0</v>
      </c>
      <c r="AC38">
        <v>0</v>
      </c>
      <c r="AD38" t="s">
        <v>58</v>
      </c>
      <c r="AH38" s="2">
        <v>44438.382638888892</v>
      </c>
      <c r="AI38">
        <v>0</v>
      </c>
      <c r="AJ38">
        <v>0</v>
      </c>
      <c r="AK38" s="30" t="str">
        <f ca="1">VLOOKUP(T38,'Auxiliar Vendas'!E:F,2,FALSE)</f>
        <v>Produto 16</v>
      </c>
      <c r="AL38" s="31">
        <f ca="1">U38*VLOOKUP(T38,'Auxiliar Vendas'!E:G,3,FALSE)</f>
        <v>152.4</v>
      </c>
    </row>
    <row r="39" spans="1:38">
      <c r="A39">
        <v>15279376352</v>
      </c>
      <c r="B39">
        <v>60</v>
      </c>
      <c r="D39" s="1">
        <v>44438</v>
      </c>
      <c r="E39">
        <v>15279322250</v>
      </c>
      <c r="F39" t="str">
        <f ca="1">VLOOKUP(RANDBETWEEN(1,20),'DBO Compras'!AA:AC,3,0)</f>
        <v>Comprador 15</v>
      </c>
      <c r="G39" t="s">
        <v>83</v>
      </c>
      <c r="H39" t="s">
        <v>84</v>
      </c>
      <c r="I39" t="s">
        <v>85</v>
      </c>
      <c r="J39" t="s">
        <v>39</v>
      </c>
      <c r="K39">
        <v>80220100</v>
      </c>
      <c r="L39" t="s">
        <v>40</v>
      </c>
      <c r="M39" t="s">
        <v>86</v>
      </c>
      <c r="N39">
        <v>41993330017</v>
      </c>
      <c r="O39">
        <v>0</v>
      </c>
      <c r="P39">
        <v>0</v>
      </c>
      <c r="R39" t="s">
        <v>42</v>
      </c>
      <c r="S39">
        <v>15015085610</v>
      </c>
      <c r="T39" t="str">
        <f ca="1">VLOOKUP(RANDBETWEEN(1,17),'Auxiliar Vendas'!D:G,2,0)</f>
        <v>Produto 07</v>
      </c>
      <c r="U39">
        <v>700</v>
      </c>
      <c r="V39">
        <v>13.9</v>
      </c>
      <c r="W39">
        <v>0</v>
      </c>
      <c r="X39">
        <v>10.23</v>
      </c>
      <c r="Y39" s="3">
        <v>9730</v>
      </c>
      <c r="Z39">
        <v>68</v>
      </c>
      <c r="AA39" t="s">
        <v>43</v>
      </c>
      <c r="AB39">
        <v>0</v>
      </c>
      <c r="AC39">
        <v>0</v>
      </c>
      <c r="AH39" s="2">
        <v>44438.469444444447</v>
      </c>
      <c r="AI39">
        <v>0</v>
      </c>
      <c r="AJ39">
        <v>0</v>
      </c>
      <c r="AK39" s="30" t="str">
        <f ca="1">VLOOKUP(T39,'Auxiliar Vendas'!E:F,2,FALSE)</f>
        <v>Produto 07</v>
      </c>
      <c r="AL39" s="31">
        <f ca="1">U39*VLOOKUP(T39,'Auxiliar Vendas'!E:G,3,FALSE)</f>
        <v>770.00000000000011</v>
      </c>
    </row>
    <row r="40" spans="1:38">
      <c r="A40">
        <v>15279376352</v>
      </c>
      <c r="B40">
        <v>60</v>
      </c>
      <c r="D40" s="1">
        <v>44438</v>
      </c>
      <c r="E40">
        <v>15279322250</v>
      </c>
      <c r="F40" t="str">
        <f ca="1">VLOOKUP(RANDBETWEEN(1,20),'DBO Compras'!AA:AC,3,0)</f>
        <v>Comprador 07</v>
      </c>
      <c r="G40" t="s">
        <v>83</v>
      </c>
      <c r="H40" t="s">
        <v>84</v>
      </c>
      <c r="I40" t="s">
        <v>85</v>
      </c>
      <c r="J40" t="s">
        <v>39</v>
      </c>
      <c r="K40">
        <v>80220100</v>
      </c>
      <c r="L40" t="s">
        <v>40</v>
      </c>
      <c r="M40" t="s">
        <v>86</v>
      </c>
      <c r="N40">
        <v>41993330017</v>
      </c>
      <c r="O40">
        <v>0</v>
      </c>
      <c r="P40">
        <v>0</v>
      </c>
      <c r="R40" t="s">
        <v>42</v>
      </c>
      <c r="S40">
        <v>15015353721</v>
      </c>
      <c r="T40" t="str">
        <f ca="1">VLOOKUP(RANDBETWEEN(1,17),'Auxiliar Vendas'!D:G,2,0)</f>
        <v>Produto 14</v>
      </c>
      <c r="U40">
        <v>700</v>
      </c>
      <c r="V40">
        <v>8.1999999999999993</v>
      </c>
      <c r="W40">
        <v>0</v>
      </c>
      <c r="X40">
        <v>5.58</v>
      </c>
      <c r="Y40" s="3">
        <v>5740</v>
      </c>
      <c r="Z40">
        <v>68</v>
      </c>
      <c r="AA40" t="s">
        <v>44</v>
      </c>
      <c r="AB40">
        <v>0</v>
      </c>
      <c r="AC40">
        <v>0</v>
      </c>
      <c r="AH40" s="2">
        <v>44438.469444444447</v>
      </c>
      <c r="AI40">
        <v>0</v>
      </c>
      <c r="AJ40">
        <v>0</v>
      </c>
      <c r="AK40" s="30" t="str">
        <f ca="1">VLOOKUP(T40,'Auxiliar Vendas'!E:F,2,FALSE)</f>
        <v>Produto 14</v>
      </c>
      <c r="AL40" s="31">
        <f ca="1">U40*VLOOKUP(T40,'Auxiliar Vendas'!E:G,3,FALSE)</f>
        <v>979.99999999999989</v>
      </c>
    </row>
    <row r="41" spans="1:38">
      <c r="A41">
        <v>15279376352</v>
      </c>
      <c r="B41">
        <v>60</v>
      </c>
      <c r="D41" s="1">
        <v>44438</v>
      </c>
      <c r="E41">
        <v>15279322250</v>
      </c>
      <c r="F41" t="str">
        <f ca="1">VLOOKUP(RANDBETWEEN(1,20),'DBO Compras'!AA:AC,3,0)</f>
        <v>Comprador 09</v>
      </c>
      <c r="G41" t="s">
        <v>83</v>
      </c>
      <c r="H41" t="s">
        <v>84</v>
      </c>
      <c r="I41" t="s">
        <v>85</v>
      </c>
      <c r="J41" t="s">
        <v>39</v>
      </c>
      <c r="K41">
        <v>80220100</v>
      </c>
      <c r="L41" t="s">
        <v>40</v>
      </c>
      <c r="M41" t="s">
        <v>86</v>
      </c>
      <c r="N41">
        <v>41993330017</v>
      </c>
      <c r="O41">
        <v>0</v>
      </c>
      <c r="P41">
        <v>0</v>
      </c>
      <c r="R41" t="s">
        <v>42</v>
      </c>
      <c r="S41">
        <v>15015867005</v>
      </c>
      <c r="T41" t="str">
        <f ca="1">VLOOKUP(RANDBETWEEN(1,17),'Auxiliar Vendas'!D:G,2,0)</f>
        <v>Produto 12</v>
      </c>
      <c r="U41">
        <v>194</v>
      </c>
      <c r="V41">
        <v>18.2</v>
      </c>
      <c r="W41">
        <v>0</v>
      </c>
      <c r="X41">
        <v>13.763999999999999</v>
      </c>
      <c r="Y41" s="3">
        <v>3530.8</v>
      </c>
      <c r="Z41">
        <v>68</v>
      </c>
      <c r="AA41" t="s">
        <v>87</v>
      </c>
      <c r="AB41">
        <v>0</v>
      </c>
      <c r="AC41">
        <v>0</v>
      </c>
      <c r="AH41" s="2">
        <v>44438.469444444447</v>
      </c>
      <c r="AI41">
        <v>0</v>
      </c>
      <c r="AJ41">
        <v>0</v>
      </c>
      <c r="AK41" s="30" t="str">
        <f ca="1">VLOOKUP(T41,'Auxiliar Vendas'!E:F,2,FALSE)</f>
        <v>Produto 12</v>
      </c>
      <c r="AL41" s="31">
        <f ca="1">U41*VLOOKUP(T41,'Auxiliar Vendas'!E:G,3,FALSE)</f>
        <v>271.59999999999997</v>
      </c>
    </row>
    <row r="42" spans="1:38">
      <c r="A42">
        <v>15279376352</v>
      </c>
      <c r="B42">
        <v>60</v>
      </c>
      <c r="D42" s="1">
        <v>44438</v>
      </c>
      <c r="E42">
        <v>15279322250</v>
      </c>
      <c r="F42" t="str">
        <f ca="1">VLOOKUP(RANDBETWEEN(1,20),'DBO Compras'!AA:AC,3,0)</f>
        <v>Comprador 08</v>
      </c>
      <c r="G42" t="s">
        <v>83</v>
      </c>
      <c r="H42" t="s">
        <v>84</v>
      </c>
      <c r="I42" t="s">
        <v>85</v>
      </c>
      <c r="J42" t="s">
        <v>39</v>
      </c>
      <c r="K42">
        <v>80220100</v>
      </c>
      <c r="L42" t="s">
        <v>40</v>
      </c>
      <c r="M42" t="s">
        <v>86</v>
      </c>
      <c r="N42">
        <v>41993330017</v>
      </c>
      <c r="O42">
        <v>0</v>
      </c>
      <c r="P42">
        <v>0</v>
      </c>
      <c r="R42" t="s">
        <v>42</v>
      </c>
      <c r="S42">
        <v>15016093155</v>
      </c>
      <c r="T42" t="str">
        <f ca="1">VLOOKUP(RANDBETWEEN(1,17),'Auxiliar Vendas'!D:G,2,0)</f>
        <v>Produto 14</v>
      </c>
      <c r="U42">
        <v>6</v>
      </c>
      <c r="V42">
        <v>18.2</v>
      </c>
      <c r="W42">
        <v>0</v>
      </c>
      <c r="X42">
        <v>14.4596</v>
      </c>
      <c r="Y42">
        <v>109.2</v>
      </c>
      <c r="Z42">
        <v>68</v>
      </c>
      <c r="AA42" t="s">
        <v>65</v>
      </c>
      <c r="AB42">
        <v>0</v>
      </c>
      <c r="AC42">
        <v>0</v>
      </c>
      <c r="AH42" s="2">
        <v>44438.469444444447</v>
      </c>
      <c r="AI42">
        <v>0</v>
      </c>
      <c r="AJ42">
        <v>0</v>
      </c>
      <c r="AK42" s="30" t="str">
        <f ca="1">VLOOKUP(T42,'Auxiliar Vendas'!E:F,2,FALSE)</f>
        <v>Produto 14</v>
      </c>
      <c r="AL42" s="31">
        <f ca="1">U42*VLOOKUP(T42,'Auxiliar Vendas'!E:G,3,FALSE)</f>
        <v>8.3999999999999986</v>
      </c>
    </row>
    <row r="43" spans="1:38">
      <c r="A43">
        <v>15293132741</v>
      </c>
      <c r="B43">
        <v>95</v>
      </c>
      <c r="D43" s="1">
        <v>44442</v>
      </c>
      <c r="E43">
        <v>15291803674</v>
      </c>
      <c r="F43" t="str">
        <f ca="1">VLOOKUP(RANDBETWEEN(1,20),'DBO Compras'!AA:AC,3,0)</f>
        <v>Comprador 10</v>
      </c>
      <c r="G43" t="s">
        <v>88</v>
      </c>
      <c r="H43" t="s">
        <v>89</v>
      </c>
      <c r="I43" t="s">
        <v>90</v>
      </c>
      <c r="J43" t="s">
        <v>91</v>
      </c>
      <c r="K43">
        <v>88337440</v>
      </c>
      <c r="L43" t="s">
        <v>92</v>
      </c>
      <c r="M43" t="s">
        <v>93</v>
      </c>
      <c r="N43">
        <v>47996529345</v>
      </c>
      <c r="O43">
        <v>0</v>
      </c>
      <c r="P43">
        <v>0</v>
      </c>
      <c r="R43" t="s">
        <v>42</v>
      </c>
      <c r="S43">
        <v>15016043939</v>
      </c>
      <c r="T43" t="str">
        <f ca="1">VLOOKUP(RANDBETWEEN(1,17),'Auxiliar Vendas'!D:G,2,0)</f>
        <v>Produto 16</v>
      </c>
      <c r="U43" s="3">
        <v>1000</v>
      </c>
      <c r="V43">
        <v>13.99</v>
      </c>
      <c r="W43">
        <v>0</v>
      </c>
      <c r="X43">
        <v>10.747</v>
      </c>
      <c r="Y43" s="3">
        <v>13990</v>
      </c>
      <c r="Z43">
        <v>73</v>
      </c>
      <c r="AA43" t="s">
        <v>50</v>
      </c>
      <c r="AB43">
        <v>0</v>
      </c>
      <c r="AC43">
        <v>0</v>
      </c>
      <c r="AH43" s="2">
        <v>44442.577777777777</v>
      </c>
      <c r="AI43">
        <v>0</v>
      </c>
      <c r="AJ43">
        <v>0</v>
      </c>
      <c r="AK43" s="30" t="str">
        <f ca="1">VLOOKUP(T43,'Auxiliar Vendas'!E:F,2,FALSE)</f>
        <v>Produto 16</v>
      </c>
      <c r="AL43" s="31">
        <f ca="1">U43*VLOOKUP(T43,'Auxiliar Vendas'!E:G,3,FALSE)</f>
        <v>1270</v>
      </c>
    </row>
    <row r="44" spans="1:38">
      <c r="A44">
        <v>15280230788</v>
      </c>
      <c r="B44">
        <v>65</v>
      </c>
      <c r="D44" s="1">
        <v>44466</v>
      </c>
      <c r="E44">
        <v>15179608501</v>
      </c>
      <c r="F44" t="str">
        <f ca="1">VLOOKUP(RANDBETWEEN(1,20),'DBO Compras'!AA:AC,3,0)</f>
        <v>Comprador 06</v>
      </c>
      <c r="G44" t="s">
        <v>60</v>
      </c>
      <c r="H44" t="s">
        <v>61</v>
      </c>
      <c r="I44" t="s">
        <v>62</v>
      </c>
      <c r="J44" t="s">
        <v>39</v>
      </c>
      <c r="K44">
        <v>82720070</v>
      </c>
      <c r="L44" t="s">
        <v>40</v>
      </c>
      <c r="M44" t="s">
        <v>63</v>
      </c>
      <c r="N44">
        <v>41992354686</v>
      </c>
      <c r="O44">
        <v>0</v>
      </c>
      <c r="P44">
        <v>0</v>
      </c>
      <c r="R44" t="s">
        <v>42</v>
      </c>
      <c r="S44">
        <v>15016099089</v>
      </c>
      <c r="T44" t="str">
        <f ca="1">VLOOKUP(RANDBETWEEN(1,17),'Auxiliar Vendas'!D:G,2,0)</f>
        <v>Produto 13</v>
      </c>
      <c r="U44">
        <v>200</v>
      </c>
      <c r="V44">
        <v>19.170000000000002</v>
      </c>
      <c r="W44">
        <v>0</v>
      </c>
      <c r="X44">
        <v>16.804400000000001</v>
      </c>
      <c r="Y44" s="3">
        <v>3834</v>
      </c>
      <c r="Z44">
        <v>42</v>
      </c>
      <c r="AA44" t="s">
        <v>79</v>
      </c>
      <c r="AB44">
        <v>0</v>
      </c>
      <c r="AC44">
        <v>0</v>
      </c>
      <c r="AH44" s="2">
        <v>44466.491666666669</v>
      </c>
      <c r="AI44">
        <v>0</v>
      </c>
      <c r="AJ44">
        <v>0</v>
      </c>
      <c r="AK44" s="30" t="str">
        <f ca="1">VLOOKUP(T44,'Auxiliar Vendas'!E:F,2,FALSE)</f>
        <v>Produto 13</v>
      </c>
      <c r="AL44" s="31">
        <f ca="1">U44*VLOOKUP(T44,'Auxiliar Vendas'!E:G,3,FALSE)</f>
        <v>280</v>
      </c>
    </row>
    <row r="45" spans="1:38">
      <c r="A45">
        <v>15280230788</v>
      </c>
      <c r="B45">
        <v>65</v>
      </c>
      <c r="D45" s="1">
        <v>44466</v>
      </c>
      <c r="E45">
        <v>15179608501</v>
      </c>
      <c r="F45" t="str">
        <f ca="1">VLOOKUP(RANDBETWEEN(1,20),'DBO Compras'!AA:AC,3,0)</f>
        <v>Comprador 04</v>
      </c>
      <c r="G45" t="s">
        <v>60</v>
      </c>
      <c r="H45" t="s">
        <v>61</v>
      </c>
      <c r="I45" t="s">
        <v>62</v>
      </c>
      <c r="J45" t="s">
        <v>39</v>
      </c>
      <c r="K45">
        <v>82720070</v>
      </c>
      <c r="L45" t="s">
        <v>40</v>
      </c>
      <c r="M45" t="s">
        <v>63</v>
      </c>
      <c r="N45">
        <v>41992354686</v>
      </c>
      <c r="O45">
        <v>0</v>
      </c>
      <c r="P45">
        <v>0</v>
      </c>
      <c r="R45" t="s">
        <v>42</v>
      </c>
      <c r="S45">
        <v>15016099089</v>
      </c>
      <c r="T45" t="str">
        <f ca="1">VLOOKUP(RANDBETWEEN(1,17),'Auxiliar Vendas'!D:G,2,0)</f>
        <v>Produto 08</v>
      </c>
      <c r="U45">
        <v>200</v>
      </c>
      <c r="V45">
        <v>21.3</v>
      </c>
      <c r="W45">
        <v>0</v>
      </c>
      <c r="X45">
        <v>16.804400000000001</v>
      </c>
      <c r="Y45" s="3">
        <v>4260</v>
      </c>
      <c r="Z45">
        <v>42</v>
      </c>
      <c r="AA45" t="s">
        <v>79</v>
      </c>
      <c r="AB45">
        <v>0</v>
      </c>
      <c r="AC45">
        <v>0</v>
      </c>
      <c r="AH45" s="2">
        <v>44466.491666666669</v>
      </c>
      <c r="AI45">
        <v>0</v>
      </c>
      <c r="AJ45">
        <v>0</v>
      </c>
      <c r="AK45" s="30" t="str">
        <f ca="1">VLOOKUP(T45,'Auxiliar Vendas'!E:F,2,FALSE)</f>
        <v>Produto 08</v>
      </c>
      <c r="AL45" s="31">
        <f ca="1">U45*VLOOKUP(T45,'Auxiliar Vendas'!E:G,3,FALSE)</f>
        <v>220.00000000000003</v>
      </c>
    </row>
    <row r="46" spans="1:38">
      <c r="A46">
        <v>15294739206</v>
      </c>
      <c r="B46">
        <v>102</v>
      </c>
      <c r="D46" s="1">
        <v>44468</v>
      </c>
      <c r="E46">
        <v>15179784707</v>
      </c>
      <c r="F46" t="str">
        <f ca="1">VLOOKUP(RANDBETWEEN(1,20),'DBO Compras'!AA:AC,3,0)</f>
        <v>Comprador 13</v>
      </c>
      <c r="G46" t="s">
        <v>94</v>
      </c>
      <c r="H46" t="s">
        <v>95</v>
      </c>
      <c r="I46" t="s">
        <v>96</v>
      </c>
      <c r="J46" t="s">
        <v>97</v>
      </c>
      <c r="K46">
        <v>86185130</v>
      </c>
      <c r="L46" t="s">
        <v>40</v>
      </c>
      <c r="M46" t="s">
        <v>98</v>
      </c>
      <c r="N46">
        <v>41996084664</v>
      </c>
      <c r="O46">
        <v>0</v>
      </c>
      <c r="P46">
        <v>0</v>
      </c>
      <c r="R46" t="s">
        <v>42</v>
      </c>
      <c r="S46">
        <v>15015511068</v>
      </c>
      <c r="T46" t="str">
        <f ca="1">VLOOKUP(RANDBETWEEN(1,17),'Auxiliar Vendas'!D:G,2,0)</f>
        <v>Produto 05</v>
      </c>
      <c r="U46">
        <v>100</v>
      </c>
      <c r="V46">
        <v>16.7</v>
      </c>
      <c r="W46">
        <v>0</v>
      </c>
      <c r="X46">
        <v>10.23</v>
      </c>
      <c r="Y46" s="3">
        <v>1670</v>
      </c>
      <c r="Z46">
        <v>49</v>
      </c>
      <c r="AA46" t="s">
        <v>53</v>
      </c>
      <c r="AB46">
        <v>0</v>
      </c>
      <c r="AC46">
        <v>0</v>
      </c>
      <c r="AH46" s="2">
        <v>44468.363194444442</v>
      </c>
      <c r="AI46">
        <v>0</v>
      </c>
      <c r="AJ46">
        <v>0</v>
      </c>
      <c r="AK46" s="30" t="str">
        <f ca="1">VLOOKUP(T46,'Auxiliar Vendas'!E:F,2,FALSE)</f>
        <v>Produto 05</v>
      </c>
      <c r="AL46" s="31">
        <f ca="1">U46*VLOOKUP(T46,'Auxiliar Vendas'!E:G,3,FALSE)</f>
        <v>60</v>
      </c>
    </row>
    <row r="47" spans="1:38">
      <c r="A47">
        <v>15294739206</v>
      </c>
      <c r="B47">
        <v>102</v>
      </c>
      <c r="D47" s="1">
        <v>44468</v>
      </c>
      <c r="E47">
        <v>15179784707</v>
      </c>
      <c r="F47" t="str">
        <f ca="1">VLOOKUP(RANDBETWEEN(1,20),'DBO Compras'!AA:AC,3,0)</f>
        <v>Comprador 18</v>
      </c>
      <c r="G47" t="s">
        <v>94</v>
      </c>
      <c r="H47" t="s">
        <v>95</v>
      </c>
      <c r="I47" t="s">
        <v>96</v>
      </c>
      <c r="J47" t="s">
        <v>97</v>
      </c>
      <c r="K47">
        <v>86185130</v>
      </c>
      <c r="L47" t="s">
        <v>40</v>
      </c>
      <c r="M47" t="s">
        <v>98</v>
      </c>
      <c r="N47">
        <v>41996084664</v>
      </c>
      <c r="O47">
        <v>0</v>
      </c>
      <c r="P47">
        <v>0</v>
      </c>
      <c r="R47" t="s">
        <v>42</v>
      </c>
      <c r="S47">
        <v>15016080333</v>
      </c>
      <c r="T47" t="str">
        <f ca="1">VLOOKUP(RANDBETWEEN(1,17),'Auxiliar Vendas'!D:G,2,0)</f>
        <v>Produto 08</v>
      </c>
      <c r="U47">
        <v>100</v>
      </c>
      <c r="V47">
        <v>15.5</v>
      </c>
      <c r="W47">
        <v>0</v>
      </c>
      <c r="X47">
        <v>10.747</v>
      </c>
      <c r="Y47" s="3">
        <v>1550</v>
      </c>
      <c r="Z47">
        <v>49</v>
      </c>
      <c r="AA47" t="s">
        <v>80</v>
      </c>
      <c r="AB47">
        <v>0</v>
      </c>
      <c r="AC47">
        <v>0</v>
      </c>
      <c r="AH47" s="2">
        <v>44468.363194444442</v>
      </c>
      <c r="AI47">
        <v>0</v>
      </c>
      <c r="AJ47">
        <v>0</v>
      </c>
      <c r="AK47" s="30" t="str">
        <f ca="1">VLOOKUP(T47,'Auxiliar Vendas'!E:F,2,FALSE)</f>
        <v>Produto 08</v>
      </c>
      <c r="AL47" s="31">
        <f ca="1">U47*VLOOKUP(T47,'Auxiliar Vendas'!E:G,3,FALSE)</f>
        <v>110.00000000000001</v>
      </c>
    </row>
    <row r="48" spans="1:38">
      <c r="A48">
        <v>15294739206</v>
      </c>
      <c r="B48">
        <v>102</v>
      </c>
      <c r="D48" s="1">
        <v>44468</v>
      </c>
      <c r="E48">
        <v>15179784707</v>
      </c>
      <c r="F48" t="str">
        <f ca="1">VLOOKUP(RANDBETWEEN(1,20),'DBO Compras'!AA:AC,3,0)</f>
        <v>Comprador 19</v>
      </c>
      <c r="G48" t="s">
        <v>94</v>
      </c>
      <c r="H48" t="s">
        <v>95</v>
      </c>
      <c r="I48" t="s">
        <v>96</v>
      </c>
      <c r="J48" t="s">
        <v>97</v>
      </c>
      <c r="K48">
        <v>86185130</v>
      </c>
      <c r="L48" t="s">
        <v>40</v>
      </c>
      <c r="M48" t="s">
        <v>98</v>
      </c>
      <c r="N48">
        <v>41996084664</v>
      </c>
      <c r="O48">
        <v>0</v>
      </c>
      <c r="P48">
        <v>0</v>
      </c>
      <c r="R48" t="s">
        <v>42</v>
      </c>
      <c r="S48">
        <v>15016093155</v>
      </c>
      <c r="T48" t="str">
        <f ca="1">VLOOKUP(RANDBETWEEN(1,17),'Auxiliar Vendas'!D:G,2,0)</f>
        <v>Produto 06</v>
      </c>
      <c r="U48">
        <v>150</v>
      </c>
      <c r="V48">
        <v>18.600000000000001</v>
      </c>
      <c r="W48">
        <v>0</v>
      </c>
      <c r="X48">
        <v>14.4596</v>
      </c>
      <c r="Y48" s="3">
        <v>2790</v>
      </c>
      <c r="Z48">
        <v>49</v>
      </c>
      <c r="AA48" t="s">
        <v>65</v>
      </c>
      <c r="AB48">
        <v>0</v>
      </c>
      <c r="AC48">
        <v>0</v>
      </c>
      <c r="AH48" s="2">
        <v>44468.363194444442</v>
      </c>
      <c r="AI48">
        <v>0</v>
      </c>
      <c r="AJ48">
        <v>0</v>
      </c>
      <c r="AK48" s="30" t="str">
        <f ca="1">VLOOKUP(T48,'Auxiliar Vendas'!E:F,2,FALSE)</f>
        <v>Produto 06</v>
      </c>
      <c r="AL48" s="31">
        <f ca="1">U48*VLOOKUP(T48,'Auxiliar Vendas'!E:G,3,FALSE)</f>
        <v>75</v>
      </c>
    </row>
    <row r="49" spans="1:38">
      <c r="A49">
        <v>15270293212</v>
      </c>
      <c r="B49">
        <v>31</v>
      </c>
      <c r="D49" s="1">
        <v>44469</v>
      </c>
      <c r="E49">
        <v>15058764044</v>
      </c>
      <c r="F49" t="str">
        <f ca="1">VLOOKUP(RANDBETWEEN(1,20),'DBO Compras'!AA:AC,3,0)</f>
        <v>Comprador 10</v>
      </c>
      <c r="G49" t="s">
        <v>99</v>
      </c>
      <c r="H49" t="s">
        <v>100</v>
      </c>
      <c r="I49" t="s">
        <v>69</v>
      </c>
      <c r="J49" t="s">
        <v>101</v>
      </c>
      <c r="K49">
        <v>84600290</v>
      </c>
      <c r="L49" t="s">
        <v>40</v>
      </c>
      <c r="O49">
        <v>0</v>
      </c>
      <c r="P49">
        <v>0</v>
      </c>
      <c r="R49" t="s">
        <v>42</v>
      </c>
      <c r="S49">
        <v>15016043939</v>
      </c>
      <c r="T49" t="str">
        <f ca="1">VLOOKUP(RANDBETWEEN(1,17),'Auxiliar Vendas'!D:G,2,0)</f>
        <v>Produto 05</v>
      </c>
      <c r="U49">
        <v>200</v>
      </c>
      <c r="V49">
        <v>14.25</v>
      </c>
      <c r="W49">
        <v>0</v>
      </c>
      <c r="X49">
        <v>10.747</v>
      </c>
      <c r="Y49" s="3">
        <v>2850</v>
      </c>
      <c r="Z49">
        <v>21</v>
      </c>
      <c r="AA49" t="s">
        <v>50</v>
      </c>
      <c r="AB49">
        <v>0</v>
      </c>
      <c r="AC49">
        <v>0</v>
      </c>
      <c r="AH49" s="2">
        <v>44469.573611111111</v>
      </c>
      <c r="AI49">
        <v>0</v>
      </c>
      <c r="AJ49">
        <v>0</v>
      </c>
      <c r="AK49" s="30" t="str">
        <f ca="1">VLOOKUP(T49,'Auxiliar Vendas'!E:F,2,FALSE)</f>
        <v>Produto 05</v>
      </c>
      <c r="AL49" s="31">
        <f ca="1">U49*VLOOKUP(T49,'Auxiliar Vendas'!E:G,3,FALSE)</f>
        <v>120</v>
      </c>
    </row>
    <row r="50" spans="1:38">
      <c r="A50">
        <v>15270293212</v>
      </c>
      <c r="B50">
        <v>31</v>
      </c>
      <c r="D50" s="1">
        <v>44469</v>
      </c>
      <c r="E50">
        <v>15058764044</v>
      </c>
      <c r="F50" t="str">
        <f ca="1">VLOOKUP(RANDBETWEEN(1,20),'DBO Compras'!AA:AC,3,0)</f>
        <v>Comprador 16</v>
      </c>
      <c r="G50" t="s">
        <v>99</v>
      </c>
      <c r="H50" t="s">
        <v>100</v>
      </c>
      <c r="I50" t="s">
        <v>69</v>
      </c>
      <c r="J50" t="s">
        <v>101</v>
      </c>
      <c r="K50">
        <v>84600290</v>
      </c>
      <c r="L50" t="s">
        <v>40</v>
      </c>
      <c r="O50">
        <v>0</v>
      </c>
      <c r="P50">
        <v>0</v>
      </c>
      <c r="R50" t="s">
        <v>42</v>
      </c>
      <c r="S50">
        <v>15015511068</v>
      </c>
      <c r="T50" t="str">
        <f ca="1">VLOOKUP(RANDBETWEEN(1,17),'Auxiliar Vendas'!D:G,2,0)</f>
        <v>Produto 17</v>
      </c>
      <c r="U50">
        <v>150</v>
      </c>
      <c r="V50">
        <v>16.700099999999999</v>
      </c>
      <c r="W50">
        <v>0</v>
      </c>
      <c r="X50">
        <v>10.23</v>
      </c>
      <c r="Y50" s="3">
        <v>2505.0149999999999</v>
      </c>
      <c r="Z50">
        <v>21</v>
      </c>
      <c r="AA50" t="s">
        <v>53</v>
      </c>
      <c r="AB50">
        <v>0</v>
      </c>
      <c r="AC50">
        <v>0</v>
      </c>
      <c r="AH50" s="2">
        <v>44469.573611111111</v>
      </c>
      <c r="AI50">
        <v>0</v>
      </c>
      <c r="AJ50">
        <v>0</v>
      </c>
      <c r="AK50" s="30" t="str">
        <f ca="1">VLOOKUP(T50,'Auxiliar Vendas'!E:F,2,FALSE)</f>
        <v>Produto 17</v>
      </c>
      <c r="AL50" s="31">
        <f ca="1">U50*VLOOKUP(T50,'Auxiliar Vendas'!E:G,3,FALSE)</f>
        <v>213</v>
      </c>
    </row>
    <row r="51" spans="1:38">
      <c r="A51">
        <v>15270293212</v>
      </c>
      <c r="B51">
        <v>31</v>
      </c>
      <c r="D51" s="1">
        <v>44469</v>
      </c>
      <c r="E51">
        <v>15058764044</v>
      </c>
      <c r="F51" t="str">
        <f ca="1">VLOOKUP(RANDBETWEEN(1,20),'DBO Compras'!AA:AC,3,0)</f>
        <v>Comprador 14</v>
      </c>
      <c r="G51" t="s">
        <v>99</v>
      </c>
      <c r="H51" t="s">
        <v>100</v>
      </c>
      <c r="I51" t="s">
        <v>69</v>
      </c>
      <c r="J51" t="s">
        <v>101</v>
      </c>
      <c r="K51">
        <v>84600290</v>
      </c>
      <c r="L51" t="s">
        <v>40</v>
      </c>
      <c r="O51">
        <v>0</v>
      </c>
      <c r="P51">
        <v>0</v>
      </c>
      <c r="R51" t="s">
        <v>42</v>
      </c>
      <c r="S51">
        <v>15015918644</v>
      </c>
      <c r="T51" t="str">
        <f ca="1">VLOOKUP(RANDBETWEEN(1,17),'Auxiliar Vendas'!D:G,2,0)</f>
        <v>Produto 05</v>
      </c>
      <c r="U51">
        <v>160</v>
      </c>
      <c r="V51">
        <v>8.3801000000000005</v>
      </c>
      <c r="W51">
        <v>0</v>
      </c>
      <c r="X51">
        <v>5.61</v>
      </c>
      <c r="Y51" s="3">
        <v>1340.816</v>
      </c>
      <c r="Z51">
        <v>21</v>
      </c>
      <c r="AA51" t="s">
        <v>59</v>
      </c>
      <c r="AB51">
        <v>0</v>
      </c>
      <c r="AC51">
        <v>0</v>
      </c>
      <c r="AH51" s="2">
        <v>44469.573611111111</v>
      </c>
      <c r="AI51">
        <v>0</v>
      </c>
      <c r="AJ51">
        <v>0</v>
      </c>
      <c r="AK51" s="30" t="str">
        <f ca="1">VLOOKUP(T51,'Auxiliar Vendas'!E:F,2,FALSE)</f>
        <v>Produto 05</v>
      </c>
      <c r="AL51" s="31">
        <f ca="1">U51*VLOOKUP(T51,'Auxiliar Vendas'!E:G,3,FALSE)</f>
        <v>96</v>
      </c>
    </row>
    <row r="52" spans="1:38">
      <c r="A52">
        <v>15270293212</v>
      </c>
      <c r="B52">
        <v>31</v>
      </c>
      <c r="D52" s="1">
        <v>44469</v>
      </c>
      <c r="E52">
        <v>15058764044</v>
      </c>
      <c r="F52" t="str">
        <f ca="1">VLOOKUP(RANDBETWEEN(1,20),'DBO Compras'!AA:AC,3,0)</f>
        <v>Comprador 12</v>
      </c>
      <c r="G52" t="s">
        <v>99</v>
      </c>
      <c r="H52" t="s">
        <v>100</v>
      </c>
      <c r="I52" t="s">
        <v>69</v>
      </c>
      <c r="J52" t="s">
        <v>101</v>
      </c>
      <c r="K52">
        <v>84600290</v>
      </c>
      <c r="L52" t="s">
        <v>40</v>
      </c>
      <c r="O52">
        <v>0</v>
      </c>
      <c r="P52">
        <v>0</v>
      </c>
      <c r="R52" t="s">
        <v>42</v>
      </c>
      <c r="S52">
        <v>15016087271</v>
      </c>
      <c r="T52" t="str">
        <f ca="1">VLOOKUP(RANDBETWEEN(1,17),'Auxiliar Vendas'!D:G,2,0)</f>
        <v>Produto 14</v>
      </c>
      <c r="U52">
        <v>100</v>
      </c>
      <c r="V52">
        <v>18.7</v>
      </c>
      <c r="W52">
        <v>0</v>
      </c>
      <c r="X52">
        <v>14.4596</v>
      </c>
      <c r="Y52" s="3">
        <v>1870</v>
      </c>
      <c r="Z52">
        <v>21</v>
      </c>
      <c r="AA52" t="s">
        <v>64</v>
      </c>
      <c r="AB52">
        <v>0</v>
      </c>
      <c r="AC52">
        <v>0</v>
      </c>
      <c r="AH52" s="2">
        <v>44469.573611111111</v>
      </c>
      <c r="AI52">
        <v>0</v>
      </c>
      <c r="AJ52">
        <v>0</v>
      </c>
      <c r="AK52" s="30" t="str">
        <f ca="1">VLOOKUP(T52,'Auxiliar Vendas'!E:F,2,FALSE)</f>
        <v>Produto 14</v>
      </c>
      <c r="AL52" s="31">
        <f ca="1">U52*VLOOKUP(T52,'Auxiliar Vendas'!E:G,3,FALSE)</f>
        <v>140</v>
      </c>
    </row>
    <row r="53" spans="1:38">
      <c r="A53">
        <v>15270293212</v>
      </c>
      <c r="B53">
        <v>31</v>
      </c>
      <c r="D53" s="1">
        <v>44469</v>
      </c>
      <c r="E53">
        <v>15058764044</v>
      </c>
      <c r="F53" t="str">
        <f ca="1">VLOOKUP(RANDBETWEEN(1,20),'DBO Compras'!AA:AC,3,0)</f>
        <v>Comprador 02</v>
      </c>
      <c r="G53" t="s">
        <v>99</v>
      </c>
      <c r="H53" t="s">
        <v>100</v>
      </c>
      <c r="I53" t="s">
        <v>69</v>
      </c>
      <c r="J53" t="s">
        <v>101</v>
      </c>
      <c r="K53">
        <v>84600290</v>
      </c>
      <c r="L53" t="s">
        <v>40</v>
      </c>
      <c r="O53">
        <v>0</v>
      </c>
      <c r="P53">
        <v>0</v>
      </c>
      <c r="R53" t="s">
        <v>42</v>
      </c>
      <c r="S53">
        <v>15016099089</v>
      </c>
      <c r="T53" t="str">
        <f ca="1">VLOOKUP(RANDBETWEEN(1,17),'Auxiliar Vendas'!D:G,2,0)</f>
        <v>Produto 05</v>
      </c>
      <c r="U53">
        <v>230</v>
      </c>
      <c r="V53">
        <v>21.3</v>
      </c>
      <c r="W53">
        <v>0</v>
      </c>
      <c r="X53">
        <v>16.804400000000001</v>
      </c>
      <c r="Y53" s="3">
        <v>4899</v>
      </c>
      <c r="Z53">
        <v>21</v>
      </c>
      <c r="AA53" t="s">
        <v>79</v>
      </c>
      <c r="AB53">
        <v>0</v>
      </c>
      <c r="AC53">
        <v>0</v>
      </c>
      <c r="AH53" s="2">
        <v>44469.573611111111</v>
      </c>
      <c r="AI53">
        <v>0</v>
      </c>
      <c r="AJ53">
        <v>0</v>
      </c>
      <c r="AK53" s="30" t="str">
        <f ca="1">VLOOKUP(T53,'Auxiliar Vendas'!E:F,2,FALSE)</f>
        <v>Produto 05</v>
      </c>
      <c r="AL53" s="31">
        <f ca="1">U53*VLOOKUP(T53,'Auxiliar Vendas'!E:G,3,FALSE)</f>
        <v>138</v>
      </c>
    </row>
    <row r="54" spans="1:38">
      <c r="A54">
        <v>15270673210</v>
      </c>
      <c r="B54">
        <v>32</v>
      </c>
      <c r="D54" s="1">
        <v>44469</v>
      </c>
      <c r="E54">
        <v>15058669306</v>
      </c>
      <c r="F54" t="str">
        <f ca="1">VLOOKUP(RANDBETWEEN(1,20),'DBO Compras'!AA:AC,3,0)</f>
        <v>Comprador 11</v>
      </c>
      <c r="G54" t="s">
        <v>45</v>
      </c>
      <c r="H54" t="s">
        <v>46</v>
      </c>
      <c r="I54" t="s">
        <v>47</v>
      </c>
      <c r="J54" t="s">
        <v>39</v>
      </c>
      <c r="K54">
        <v>82200430</v>
      </c>
      <c r="L54" t="s">
        <v>40</v>
      </c>
      <c r="M54" t="s">
        <v>472</v>
      </c>
      <c r="N54">
        <v>4191036801</v>
      </c>
      <c r="O54">
        <v>0</v>
      </c>
      <c r="P54">
        <v>0</v>
      </c>
      <c r="R54" t="s">
        <v>42</v>
      </c>
      <c r="S54">
        <v>15015511068</v>
      </c>
      <c r="T54" t="str">
        <f ca="1">VLOOKUP(RANDBETWEEN(1,17),'Auxiliar Vendas'!D:G,2,0)</f>
        <v>Produto 17</v>
      </c>
      <c r="U54">
        <v>200</v>
      </c>
      <c r="V54">
        <v>16.2</v>
      </c>
      <c r="W54">
        <v>0</v>
      </c>
      <c r="X54">
        <v>10.23</v>
      </c>
      <c r="Y54" s="3">
        <v>3240</v>
      </c>
      <c r="Z54">
        <v>17</v>
      </c>
      <c r="AA54" t="s">
        <v>53</v>
      </c>
      <c r="AB54">
        <v>0</v>
      </c>
      <c r="AC54">
        <v>0</v>
      </c>
      <c r="AH54" s="2">
        <v>44469.574305555558</v>
      </c>
      <c r="AI54">
        <v>0</v>
      </c>
      <c r="AJ54">
        <v>0</v>
      </c>
      <c r="AK54" s="30" t="str">
        <f ca="1">VLOOKUP(T54,'Auxiliar Vendas'!E:F,2,FALSE)</f>
        <v>Produto 17</v>
      </c>
      <c r="AL54" s="31">
        <f ca="1">U54*VLOOKUP(T54,'Auxiliar Vendas'!E:G,3,FALSE)</f>
        <v>284</v>
      </c>
    </row>
    <row r="55" spans="1:38">
      <c r="A55">
        <v>15270673210</v>
      </c>
      <c r="B55">
        <v>32</v>
      </c>
      <c r="D55" s="1">
        <v>44469</v>
      </c>
      <c r="E55">
        <v>15058669306</v>
      </c>
      <c r="F55" t="str">
        <f ca="1">VLOOKUP(RANDBETWEEN(1,20),'DBO Compras'!AA:AC,3,0)</f>
        <v>Comprador 20</v>
      </c>
      <c r="G55" t="s">
        <v>45</v>
      </c>
      <c r="H55" t="s">
        <v>46</v>
      </c>
      <c r="I55" t="s">
        <v>47</v>
      </c>
      <c r="J55" t="s">
        <v>39</v>
      </c>
      <c r="K55">
        <v>82200430</v>
      </c>
      <c r="L55" t="s">
        <v>40</v>
      </c>
      <c r="M55" t="s">
        <v>472</v>
      </c>
      <c r="N55">
        <v>4191036801</v>
      </c>
      <c r="O55">
        <v>0</v>
      </c>
      <c r="P55">
        <v>0</v>
      </c>
      <c r="R55" t="s">
        <v>42</v>
      </c>
      <c r="S55">
        <v>15016099089</v>
      </c>
      <c r="T55" t="str">
        <f ca="1">VLOOKUP(RANDBETWEEN(1,17),'Auxiliar Vendas'!D:G,2,0)</f>
        <v>Produto 01</v>
      </c>
      <c r="U55">
        <v>300</v>
      </c>
      <c r="V55">
        <v>21.3</v>
      </c>
      <c r="W55">
        <v>0</v>
      </c>
      <c r="X55">
        <v>16.804400000000001</v>
      </c>
      <c r="Y55" s="3">
        <v>6390</v>
      </c>
      <c r="Z55">
        <v>17</v>
      </c>
      <c r="AA55" t="s">
        <v>79</v>
      </c>
      <c r="AB55">
        <v>0</v>
      </c>
      <c r="AC55">
        <v>0</v>
      </c>
      <c r="AH55" s="2">
        <v>44469.574305555558</v>
      </c>
      <c r="AI55">
        <v>0</v>
      </c>
      <c r="AJ55">
        <v>0</v>
      </c>
      <c r="AK55" s="30" t="str">
        <f ca="1">VLOOKUP(T55,'Auxiliar Vendas'!E:F,2,FALSE)</f>
        <v>Produto 01</v>
      </c>
      <c r="AL55" s="31">
        <f ca="1">U55*VLOOKUP(T55,'Auxiliar Vendas'!E:G,3,FALSE)</f>
        <v>120</v>
      </c>
    </row>
    <row r="56" spans="1:38">
      <c r="A56">
        <v>15270673210</v>
      </c>
      <c r="B56">
        <v>32</v>
      </c>
      <c r="D56" s="1">
        <v>44469</v>
      </c>
      <c r="E56">
        <v>15058669306</v>
      </c>
      <c r="F56" t="str">
        <f ca="1">VLOOKUP(RANDBETWEEN(1,20),'DBO Compras'!AA:AC,3,0)</f>
        <v>Comprador 14</v>
      </c>
      <c r="G56" t="s">
        <v>45</v>
      </c>
      <c r="H56" t="s">
        <v>46</v>
      </c>
      <c r="I56" t="s">
        <v>47</v>
      </c>
      <c r="J56" t="s">
        <v>39</v>
      </c>
      <c r="K56">
        <v>82200430</v>
      </c>
      <c r="L56" t="s">
        <v>40</v>
      </c>
      <c r="M56" t="s">
        <v>472</v>
      </c>
      <c r="N56">
        <v>4191036801</v>
      </c>
      <c r="O56">
        <v>0</v>
      </c>
      <c r="P56">
        <v>0</v>
      </c>
      <c r="R56" t="s">
        <v>42</v>
      </c>
      <c r="S56">
        <v>15016087271</v>
      </c>
      <c r="T56" t="str">
        <f ca="1">VLOOKUP(RANDBETWEEN(1,17),'Auxiliar Vendas'!D:G,2,0)</f>
        <v>Produto 03</v>
      </c>
      <c r="U56">
        <v>200</v>
      </c>
      <c r="V56">
        <v>18.2</v>
      </c>
      <c r="W56">
        <v>0</v>
      </c>
      <c r="X56">
        <v>14.4596</v>
      </c>
      <c r="Y56" s="3">
        <v>3640</v>
      </c>
      <c r="Z56">
        <v>17</v>
      </c>
      <c r="AA56" t="s">
        <v>64</v>
      </c>
      <c r="AB56">
        <v>0</v>
      </c>
      <c r="AC56">
        <v>0</v>
      </c>
      <c r="AH56" s="2">
        <v>44469.574305555558</v>
      </c>
      <c r="AI56">
        <v>0</v>
      </c>
      <c r="AJ56">
        <v>0</v>
      </c>
      <c r="AK56" s="30" t="str">
        <f ca="1">VLOOKUP(T56,'Auxiliar Vendas'!E:F,2,FALSE)</f>
        <v>Produto 03</v>
      </c>
      <c r="AL56" s="31">
        <f ca="1">U56*VLOOKUP(T56,'Auxiliar Vendas'!E:G,3,FALSE)</f>
        <v>120</v>
      </c>
    </row>
    <row r="57" spans="1:38">
      <c r="A57">
        <v>15270738302</v>
      </c>
      <c r="B57">
        <v>33</v>
      </c>
      <c r="D57" s="1">
        <v>44469</v>
      </c>
      <c r="E57">
        <v>15058814973</v>
      </c>
      <c r="F57" t="str">
        <f ca="1">VLOOKUP(RANDBETWEEN(1,20),'DBO Compras'!AA:AC,3,0)</f>
        <v>Comprador 14</v>
      </c>
      <c r="G57" t="s">
        <v>102</v>
      </c>
      <c r="H57" t="s">
        <v>103</v>
      </c>
      <c r="I57" t="s">
        <v>69</v>
      </c>
      <c r="J57" t="s">
        <v>39</v>
      </c>
      <c r="K57" t="s">
        <v>104</v>
      </c>
      <c r="L57" t="s">
        <v>40</v>
      </c>
      <c r="O57">
        <v>0</v>
      </c>
      <c r="P57">
        <v>0</v>
      </c>
      <c r="R57" t="s">
        <v>42</v>
      </c>
      <c r="S57">
        <v>15015918644</v>
      </c>
      <c r="T57" t="str">
        <f ca="1">VLOOKUP(RANDBETWEEN(1,17),'Auxiliar Vendas'!D:G,2,0)</f>
        <v>Produto 12</v>
      </c>
      <c r="U57">
        <v>250</v>
      </c>
      <c r="V57">
        <v>8.1999999999999993</v>
      </c>
      <c r="W57">
        <v>0</v>
      </c>
      <c r="X57">
        <v>5.61</v>
      </c>
      <c r="Y57" s="3">
        <v>2050</v>
      </c>
      <c r="Z57">
        <v>22</v>
      </c>
      <c r="AA57" t="s">
        <v>59</v>
      </c>
      <c r="AB57">
        <v>0</v>
      </c>
      <c r="AC57">
        <v>0</v>
      </c>
      <c r="AH57" s="2">
        <v>44469.574305555558</v>
      </c>
      <c r="AI57">
        <v>0</v>
      </c>
      <c r="AJ57">
        <v>0</v>
      </c>
      <c r="AK57" s="30" t="str">
        <f ca="1">VLOOKUP(T57,'Auxiliar Vendas'!E:F,2,FALSE)</f>
        <v>Produto 12</v>
      </c>
      <c r="AL57" s="31">
        <f ca="1">U57*VLOOKUP(T57,'Auxiliar Vendas'!E:G,3,FALSE)</f>
        <v>350</v>
      </c>
    </row>
    <row r="58" spans="1:38">
      <c r="A58">
        <v>15270798343</v>
      </c>
      <c r="B58">
        <v>34</v>
      </c>
      <c r="D58" s="1">
        <v>44469</v>
      </c>
      <c r="E58">
        <v>15058861864</v>
      </c>
      <c r="F58" t="str">
        <f ca="1">VLOOKUP(RANDBETWEEN(1,20),'DBO Compras'!AA:AC,3,0)</f>
        <v>Comprador 14</v>
      </c>
      <c r="G58" t="s">
        <v>105</v>
      </c>
      <c r="H58" t="s">
        <v>106</v>
      </c>
      <c r="I58" t="s">
        <v>107</v>
      </c>
      <c r="J58" t="s">
        <v>108</v>
      </c>
      <c r="K58" t="s">
        <v>109</v>
      </c>
      <c r="L58" t="s">
        <v>40</v>
      </c>
      <c r="O58">
        <v>0</v>
      </c>
      <c r="P58">
        <v>0</v>
      </c>
      <c r="R58" t="s">
        <v>42</v>
      </c>
      <c r="S58">
        <v>15016099089</v>
      </c>
      <c r="T58" t="str">
        <f ca="1">VLOOKUP(RANDBETWEEN(1,17),'Auxiliar Vendas'!D:G,2,0)</f>
        <v>Produto 14</v>
      </c>
      <c r="U58">
        <v>122</v>
      </c>
      <c r="V58">
        <v>21.3</v>
      </c>
      <c r="W58">
        <v>0</v>
      </c>
      <c r="X58">
        <v>16.804400000000001</v>
      </c>
      <c r="Y58" s="3">
        <v>2598.6</v>
      </c>
      <c r="Z58">
        <v>23</v>
      </c>
      <c r="AA58" t="s">
        <v>79</v>
      </c>
      <c r="AB58">
        <v>0</v>
      </c>
      <c r="AC58">
        <v>0</v>
      </c>
      <c r="AH58" s="2">
        <v>44469.574305555558</v>
      </c>
      <c r="AI58">
        <v>0</v>
      </c>
      <c r="AJ58">
        <v>0</v>
      </c>
      <c r="AK58" s="30" t="str">
        <f ca="1">VLOOKUP(T58,'Auxiliar Vendas'!E:F,2,FALSE)</f>
        <v>Produto 14</v>
      </c>
      <c r="AL58" s="31">
        <f ca="1">U58*VLOOKUP(T58,'Auxiliar Vendas'!E:G,3,FALSE)</f>
        <v>170.79999999999998</v>
      </c>
    </row>
    <row r="59" spans="1:38">
      <c r="A59">
        <v>15270798343</v>
      </c>
      <c r="B59">
        <v>34</v>
      </c>
      <c r="D59" s="1">
        <v>44469</v>
      </c>
      <c r="E59">
        <v>15058861864</v>
      </c>
      <c r="F59" t="str">
        <f ca="1">VLOOKUP(RANDBETWEEN(1,20),'DBO Compras'!AA:AC,3,0)</f>
        <v>Comprador 12</v>
      </c>
      <c r="G59" t="s">
        <v>105</v>
      </c>
      <c r="H59" t="s">
        <v>106</v>
      </c>
      <c r="I59" t="s">
        <v>107</v>
      </c>
      <c r="J59" t="s">
        <v>108</v>
      </c>
      <c r="K59" t="s">
        <v>109</v>
      </c>
      <c r="L59" t="s">
        <v>40</v>
      </c>
      <c r="O59">
        <v>0</v>
      </c>
      <c r="P59">
        <v>0</v>
      </c>
      <c r="R59" t="s">
        <v>42</v>
      </c>
      <c r="S59">
        <v>15016087271</v>
      </c>
      <c r="T59" t="str">
        <f ca="1">VLOOKUP(RANDBETWEEN(1,17),'Auxiliar Vendas'!D:G,2,0)</f>
        <v>Produto 13</v>
      </c>
      <c r="U59">
        <v>34</v>
      </c>
      <c r="V59">
        <v>18.2</v>
      </c>
      <c r="W59">
        <v>0</v>
      </c>
      <c r="X59">
        <v>14.4596</v>
      </c>
      <c r="Y59">
        <v>618.79999999999995</v>
      </c>
      <c r="Z59">
        <v>23</v>
      </c>
      <c r="AA59" t="s">
        <v>64</v>
      </c>
      <c r="AB59">
        <v>0</v>
      </c>
      <c r="AC59">
        <v>0</v>
      </c>
      <c r="AH59" s="2">
        <v>44469.574305555558</v>
      </c>
      <c r="AI59">
        <v>0</v>
      </c>
      <c r="AJ59">
        <v>0</v>
      </c>
      <c r="AK59" s="30" t="str">
        <f ca="1">VLOOKUP(T59,'Auxiliar Vendas'!E:F,2,FALSE)</f>
        <v>Produto 13</v>
      </c>
      <c r="AL59" s="31">
        <f ca="1">U59*VLOOKUP(T59,'Auxiliar Vendas'!E:G,3,FALSE)</f>
        <v>47.599999999999994</v>
      </c>
    </row>
    <row r="60" spans="1:38">
      <c r="A60">
        <v>15270933856</v>
      </c>
      <c r="B60">
        <v>36</v>
      </c>
      <c r="D60" s="1">
        <v>44469</v>
      </c>
      <c r="E60">
        <v>15058741746</v>
      </c>
      <c r="F60" t="str">
        <f ca="1">VLOOKUP(RANDBETWEEN(1,20),'DBO Compras'!AA:AC,3,0)</f>
        <v>Comprador 15</v>
      </c>
      <c r="G60" t="s">
        <v>75</v>
      </c>
      <c r="H60" t="s">
        <v>76</v>
      </c>
      <c r="I60" t="s">
        <v>77</v>
      </c>
      <c r="J60" t="s">
        <v>48</v>
      </c>
      <c r="K60">
        <v>81290000</v>
      </c>
      <c r="L60" t="s">
        <v>40</v>
      </c>
      <c r="O60">
        <v>0</v>
      </c>
      <c r="P60">
        <v>0</v>
      </c>
      <c r="R60" t="s">
        <v>42</v>
      </c>
      <c r="S60">
        <v>15016099089</v>
      </c>
      <c r="T60" t="str">
        <f ca="1">VLOOKUP(RANDBETWEEN(1,17),'Auxiliar Vendas'!D:G,2,0)</f>
        <v>Produto 01</v>
      </c>
      <c r="U60">
        <v>200</v>
      </c>
      <c r="V60">
        <v>21.3</v>
      </c>
      <c r="W60">
        <v>0</v>
      </c>
      <c r="X60">
        <v>16.804400000000001</v>
      </c>
      <c r="Y60" s="3">
        <v>4260</v>
      </c>
      <c r="Z60">
        <v>20</v>
      </c>
      <c r="AA60" t="s">
        <v>79</v>
      </c>
      <c r="AB60">
        <v>0</v>
      </c>
      <c r="AC60">
        <v>0</v>
      </c>
      <c r="AH60" s="2">
        <v>44469.574305555558</v>
      </c>
      <c r="AI60">
        <v>0</v>
      </c>
      <c r="AJ60">
        <v>0</v>
      </c>
      <c r="AK60" s="30" t="str">
        <f ca="1">VLOOKUP(T60,'Auxiliar Vendas'!E:F,2,FALSE)</f>
        <v>Produto 01</v>
      </c>
      <c r="AL60" s="31">
        <f ca="1">U60*VLOOKUP(T60,'Auxiliar Vendas'!E:G,3,FALSE)</f>
        <v>80</v>
      </c>
    </row>
    <row r="61" spans="1:38">
      <c r="A61">
        <v>15270933856</v>
      </c>
      <c r="B61">
        <v>36</v>
      </c>
      <c r="D61" s="1">
        <v>44469</v>
      </c>
      <c r="E61">
        <v>15058741746</v>
      </c>
      <c r="F61" t="str">
        <f ca="1">VLOOKUP(RANDBETWEEN(1,20),'DBO Compras'!AA:AC,3,0)</f>
        <v>Comprador 03</v>
      </c>
      <c r="G61" t="s">
        <v>75</v>
      </c>
      <c r="H61" t="s">
        <v>76</v>
      </c>
      <c r="I61" t="s">
        <v>77</v>
      </c>
      <c r="J61" t="s">
        <v>48</v>
      </c>
      <c r="K61">
        <v>81290000</v>
      </c>
      <c r="L61" t="s">
        <v>40</v>
      </c>
      <c r="O61">
        <v>0</v>
      </c>
      <c r="P61">
        <v>0</v>
      </c>
      <c r="R61" t="s">
        <v>42</v>
      </c>
      <c r="S61">
        <v>15015918644</v>
      </c>
      <c r="T61" t="str">
        <f ca="1">VLOOKUP(RANDBETWEEN(1,17),'Auxiliar Vendas'!D:G,2,0)</f>
        <v>Produto 07</v>
      </c>
      <c r="U61">
        <v>500</v>
      </c>
      <c r="V61">
        <v>8.1999999999999993</v>
      </c>
      <c r="W61">
        <v>0</v>
      </c>
      <c r="X61">
        <v>5.61</v>
      </c>
      <c r="Y61" s="3">
        <v>4100</v>
      </c>
      <c r="Z61">
        <v>20</v>
      </c>
      <c r="AA61" t="s">
        <v>59</v>
      </c>
      <c r="AB61">
        <v>0</v>
      </c>
      <c r="AC61">
        <v>0</v>
      </c>
      <c r="AH61" s="2">
        <v>44469.574305555558</v>
      </c>
      <c r="AI61">
        <v>0</v>
      </c>
      <c r="AJ61">
        <v>0</v>
      </c>
      <c r="AK61" s="30" t="str">
        <f ca="1">VLOOKUP(T61,'Auxiliar Vendas'!E:F,2,FALSE)</f>
        <v>Produto 07</v>
      </c>
      <c r="AL61" s="31">
        <f ca="1">U61*VLOOKUP(T61,'Auxiliar Vendas'!E:G,3,FALSE)</f>
        <v>550</v>
      </c>
    </row>
    <row r="62" spans="1:38">
      <c r="A62">
        <v>15271037296</v>
      </c>
      <c r="B62">
        <v>37</v>
      </c>
      <c r="D62" s="1">
        <v>44469</v>
      </c>
      <c r="E62">
        <v>15058915459</v>
      </c>
      <c r="F62" t="str">
        <f ca="1">VLOOKUP(RANDBETWEEN(1,20),'DBO Compras'!AA:AC,3,0)</f>
        <v>Comprador 10</v>
      </c>
      <c r="G62" t="s">
        <v>110</v>
      </c>
      <c r="H62" t="s">
        <v>111</v>
      </c>
      <c r="I62" t="s">
        <v>112</v>
      </c>
      <c r="J62" t="s">
        <v>113</v>
      </c>
      <c r="K62">
        <v>87013250</v>
      </c>
      <c r="L62" t="s">
        <v>40</v>
      </c>
      <c r="O62">
        <v>0</v>
      </c>
      <c r="P62">
        <v>0</v>
      </c>
      <c r="R62" t="s">
        <v>42</v>
      </c>
      <c r="S62">
        <v>15015511068</v>
      </c>
      <c r="T62" t="str">
        <f ca="1">VLOOKUP(RANDBETWEEN(1,17),'Auxiliar Vendas'!D:G,2,0)</f>
        <v>Produto 13</v>
      </c>
      <c r="U62">
        <v>78</v>
      </c>
      <c r="V62">
        <v>16.7</v>
      </c>
      <c r="W62">
        <v>0</v>
      </c>
      <c r="X62">
        <v>10.23</v>
      </c>
      <c r="Y62" s="3">
        <v>1302.5999999999999</v>
      </c>
      <c r="Z62">
        <v>25</v>
      </c>
      <c r="AA62" t="s">
        <v>53</v>
      </c>
      <c r="AB62">
        <v>0</v>
      </c>
      <c r="AC62">
        <v>0</v>
      </c>
      <c r="AH62" s="2">
        <v>44469.574999999997</v>
      </c>
      <c r="AI62">
        <v>0</v>
      </c>
      <c r="AJ62">
        <v>0</v>
      </c>
      <c r="AK62" s="30" t="str">
        <f ca="1">VLOOKUP(T62,'Auxiliar Vendas'!E:F,2,FALSE)</f>
        <v>Produto 13</v>
      </c>
      <c r="AL62" s="31">
        <f ca="1">U62*VLOOKUP(T62,'Auxiliar Vendas'!E:G,3,FALSE)</f>
        <v>109.19999999999999</v>
      </c>
    </row>
    <row r="63" spans="1:38">
      <c r="A63">
        <v>15271037296</v>
      </c>
      <c r="B63">
        <v>37</v>
      </c>
      <c r="D63" s="1">
        <v>44469</v>
      </c>
      <c r="E63">
        <v>15058915459</v>
      </c>
      <c r="F63" t="str">
        <f ca="1">VLOOKUP(RANDBETWEEN(1,20),'DBO Compras'!AA:AC,3,0)</f>
        <v>Comprador 01</v>
      </c>
      <c r="G63" t="s">
        <v>110</v>
      </c>
      <c r="H63" t="s">
        <v>111</v>
      </c>
      <c r="I63" t="s">
        <v>112</v>
      </c>
      <c r="J63" t="s">
        <v>113</v>
      </c>
      <c r="K63">
        <v>87013250</v>
      </c>
      <c r="L63" t="s">
        <v>40</v>
      </c>
      <c r="O63">
        <v>0</v>
      </c>
      <c r="P63">
        <v>0</v>
      </c>
      <c r="R63" t="s">
        <v>42</v>
      </c>
      <c r="S63">
        <v>15015911944</v>
      </c>
      <c r="T63" t="str">
        <f ca="1">VLOOKUP(RANDBETWEEN(1,17),'Auxiliar Vendas'!D:G,2,0)</f>
        <v>Produto 05</v>
      </c>
      <c r="U63">
        <v>155</v>
      </c>
      <c r="V63">
        <v>14.25</v>
      </c>
      <c r="W63">
        <v>0</v>
      </c>
      <c r="X63">
        <v>10.285</v>
      </c>
      <c r="Y63" s="3">
        <v>2208.75</v>
      </c>
      <c r="Z63">
        <v>25</v>
      </c>
      <c r="AA63" t="s">
        <v>78</v>
      </c>
      <c r="AB63">
        <v>0</v>
      </c>
      <c r="AC63">
        <v>0</v>
      </c>
      <c r="AH63" s="2">
        <v>44469.574999999997</v>
      </c>
      <c r="AI63">
        <v>0</v>
      </c>
      <c r="AJ63">
        <v>0</v>
      </c>
      <c r="AK63" s="30" t="str">
        <f ca="1">VLOOKUP(T63,'Auxiliar Vendas'!E:F,2,FALSE)</f>
        <v>Produto 05</v>
      </c>
      <c r="AL63" s="31">
        <f ca="1">U63*VLOOKUP(T63,'Auxiliar Vendas'!E:G,3,FALSE)</f>
        <v>93</v>
      </c>
    </row>
    <row r="64" spans="1:38">
      <c r="A64">
        <v>15271071632</v>
      </c>
      <c r="B64">
        <v>38</v>
      </c>
      <c r="D64" s="1">
        <v>44469</v>
      </c>
      <c r="E64">
        <v>15058876151</v>
      </c>
      <c r="F64" t="str">
        <f ca="1">VLOOKUP(RANDBETWEEN(1,20),'DBO Compras'!AA:AC,3,0)</f>
        <v>Comprador 19</v>
      </c>
      <c r="G64" t="s">
        <v>114</v>
      </c>
      <c r="H64" t="s">
        <v>115</v>
      </c>
      <c r="I64" t="s">
        <v>116</v>
      </c>
      <c r="J64" t="s">
        <v>117</v>
      </c>
      <c r="K64">
        <v>86027620</v>
      </c>
      <c r="L64" t="s">
        <v>40</v>
      </c>
      <c r="M64" t="s">
        <v>118</v>
      </c>
      <c r="N64">
        <v>43996560102</v>
      </c>
      <c r="O64">
        <v>0</v>
      </c>
      <c r="P64">
        <v>0</v>
      </c>
      <c r="R64" t="s">
        <v>42</v>
      </c>
      <c r="S64">
        <v>15016099089</v>
      </c>
      <c r="T64" t="str">
        <f ca="1">VLOOKUP(RANDBETWEEN(1,17),'Auxiliar Vendas'!D:G,2,0)</f>
        <v>Produto 12</v>
      </c>
      <c r="U64">
        <v>460</v>
      </c>
      <c r="V64">
        <v>21.75</v>
      </c>
      <c r="W64">
        <v>0</v>
      </c>
      <c r="X64">
        <v>16.804400000000001</v>
      </c>
      <c r="Y64" s="3">
        <v>10005</v>
      </c>
      <c r="Z64">
        <v>24</v>
      </c>
      <c r="AA64" t="s">
        <v>79</v>
      </c>
      <c r="AB64">
        <v>0</v>
      </c>
      <c r="AC64">
        <v>0</v>
      </c>
      <c r="AH64" s="2">
        <v>44469.574999999997</v>
      </c>
      <c r="AI64">
        <v>0</v>
      </c>
      <c r="AJ64">
        <v>0</v>
      </c>
      <c r="AK64" s="30" t="str">
        <f ca="1">VLOOKUP(T64,'Auxiliar Vendas'!E:F,2,FALSE)</f>
        <v>Produto 12</v>
      </c>
      <c r="AL64" s="31">
        <f ca="1">U64*VLOOKUP(T64,'Auxiliar Vendas'!E:G,3,FALSE)</f>
        <v>644</v>
      </c>
    </row>
    <row r="65" spans="1:38">
      <c r="A65">
        <v>15271183865</v>
      </c>
      <c r="B65">
        <v>39</v>
      </c>
      <c r="D65" s="1">
        <v>44469</v>
      </c>
      <c r="E65">
        <v>15058959920</v>
      </c>
      <c r="F65" t="str">
        <f ca="1">VLOOKUP(RANDBETWEEN(1,20),'DBO Compras'!AA:AC,3,0)</f>
        <v>Comprador 11</v>
      </c>
      <c r="G65" t="s">
        <v>119</v>
      </c>
      <c r="H65" t="s">
        <v>120</v>
      </c>
      <c r="I65" t="s">
        <v>121</v>
      </c>
      <c r="J65" t="s">
        <v>113</v>
      </c>
      <c r="K65">
        <v>87025540</v>
      </c>
      <c r="L65" t="s">
        <v>40</v>
      </c>
      <c r="M65" t="s">
        <v>98</v>
      </c>
      <c r="N65">
        <v>4441413353</v>
      </c>
      <c r="O65">
        <v>0</v>
      </c>
      <c r="P65">
        <v>0</v>
      </c>
      <c r="R65" t="s">
        <v>42</v>
      </c>
      <c r="S65">
        <v>15016043939</v>
      </c>
      <c r="T65" t="str">
        <f ca="1">VLOOKUP(RANDBETWEEN(1,17),'Auxiliar Vendas'!D:G,2,0)</f>
        <v>Produto 12</v>
      </c>
      <c r="U65">
        <v>122</v>
      </c>
      <c r="V65">
        <v>14.25</v>
      </c>
      <c r="W65">
        <v>0</v>
      </c>
      <c r="X65">
        <v>10.747</v>
      </c>
      <c r="Y65" s="3">
        <v>1738.5</v>
      </c>
      <c r="Z65">
        <v>26</v>
      </c>
      <c r="AA65" t="s">
        <v>50</v>
      </c>
      <c r="AB65">
        <v>0</v>
      </c>
      <c r="AC65">
        <v>0</v>
      </c>
      <c r="AH65" s="2">
        <v>44469.574999999997</v>
      </c>
      <c r="AI65">
        <v>0</v>
      </c>
      <c r="AJ65">
        <v>0</v>
      </c>
      <c r="AK65" s="30" t="str">
        <f ca="1">VLOOKUP(T65,'Auxiliar Vendas'!E:F,2,FALSE)</f>
        <v>Produto 12</v>
      </c>
      <c r="AL65" s="31">
        <f ca="1">U65*VLOOKUP(T65,'Auxiliar Vendas'!E:G,3,FALSE)</f>
        <v>170.79999999999998</v>
      </c>
    </row>
    <row r="66" spans="1:38">
      <c r="A66">
        <v>15271183865</v>
      </c>
      <c r="B66">
        <v>39</v>
      </c>
      <c r="D66" s="1">
        <v>44469</v>
      </c>
      <c r="E66">
        <v>15058959920</v>
      </c>
      <c r="F66" t="str">
        <f ca="1">VLOOKUP(RANDBETWEEN(1,20),'DBO Compras'!AA:AC,3,0)</f>
        <v>Comprador 19</v>
      </c>
      <c r="G66" t="s">
        <v>119</v>
      </c>
      <c r="H66" t="s">
        <v>120</v>
      </c>
      <c r="I66" t="s">
        <v>121</v>
      </c>
      <c r="J66" t="s">
        <v>113</v>
      </c>
      <c r="K66">
        <v>87025540</v>
      </c>
      <c r="L66" t="s">
        <v>40</v>
      </c>
      <c r="M66" t="s">
        <v>98</v>
      </c>
      <c r="N66">
        <v>4441413353</v>
      </c>
      <c r="O66">
        <v>0</v>
      </c>
      <c r="P66">
        <v>0</v>
      </c>
      <c r="R66" t="s">
        <v>42</v>
      </c>
      <c r="S66">
        <v>15015511068</v>
      </c>
      <c r="T66" t="str">
        <f ca="1">VLOOKUP(RANDBETWEEN(1,17),'Auxiliar Vendas'!D:G,2,0)</f>
        <v>Produto 02</v>
      </c>
      <c r="U66">
        <v>78</v>
      </c>
      <c r="V66">
        <v>14.7</v>
      </c>
      <c r="W66">
        <v>0</v>
      </c>
      <c r="X66">
        <v>10.23</v>
      </c>
      <c r="Y66" s="3">
        <v>1146.5999999999999</v>
      </c>
      <c r="Z66">
        <v>26</v>
      </c>
      <c r="AA66" t="s">
        <v>53</v>
      </c>
      <c r="AB66">
        <v>0</v>
      </c>
      <c r="AC66">
        <v>0</v>
      </c>
      <c r="AH66" s="2">
        <v>44469.574999999997</v>
      </c>
      <c r="AI66">
        <v>0</v>
      </c>
      <c r="AJ66">
        <v>0</v>
      </c>
      <c r="AK66" s="30" t="str">
        <f ca="1">VLOOKUP(T66,'Auxiliar Vendas'!E:F,2,FALSE)</f>
        <v>Produto 02</v>
      </c>
      <c r="AL66" s="31">
        <f ca="1">U66*VLOOKUP(T66,'Auxiliar Vendas'!E:G,3,FALSE)</f>
        <v>21.060000000000002</v>
      </c>
    </row>
    <row r="67" spans="1:38">
      <c r="A67">
        <v>15271183865</v>
      </c>
      <c r="B67">
        <v>39</v>
      </c>
      <c r="D67" s="1">
        <v>44469</v>
      </c>
      <c r="E67">
        <v>15058959920</v>
      </c>
      <c r="F67" t="str">
        <f ca="1">VLOOKUP(RANDBETWEEN(1,20),'DBO Compras'!AA:AC,3,0)</f>
        <v>Comprador 20</v>
      </c>
      <c r="G67" t="s">
        <v>119</v>
      </c>
      <c r="H67" t="s">
        <v>120</v>
      </c>
      <c r="I67" t="s">
        <v>121</v>
      </c>
      <c r="J67" t="s">
        <v>113</v>
      </c>
      <c r="K67">
        <v>87025540</v>
      </c>
      <c r="L67" t="s">
        <v>40</v>
      </c>
      <c r="M67" t="s">
        <v>98</v>
      </c>
      <c r="N67">
        <v>4441413353</v>
      </c>
      <c r="O67">
        <v>0</v>
      </c>
      <c r="P67">
        <v>0</v>
      </c>
      <c r="R67" t="s">
        <v>42</v>
      </c>
      <c r="S67">
        <v>15015918644</v>
      </c>
      <c r="T67" t="str">
        <f ca="1">VLOOKUP(RANDBETWEEN(1,17),'Auxiliar Vendas'!D:G,2,0)</f>
        <v>Produto 01</v>
      </c>
      <c r="U67">
        <v>100</v>
      </c>
      <c r="V67">
        <v>8.3800000000000008</v>
      </c>
      <c r="W67">
        <v>0</v>
      </c>
      <c r="X67">
        <v>5.61</v>
      </c>
      <c r="Y67">
        <v>838</v>
      </c>
      <c r="Z67">
        <v>26</v>
      </c>
      <c r="AA67" t="s">
        <v>59</v>
      </c>
      <c r="AB67">
        <v>0</v>
      </c>
      <c r="AC67">
        <v>0</v>
      </c>
      <c r="AH67" s="2">
        <v>44469.574999999997</v>
      </c>
      <c r="AI67">
        <v>0</v>
      </c>
      <c r="AJ67">
        <v>0</v>
      </c>
      <c r="AK67" s="30" t="str">
        <f ca="1">VLOOKUP(T67,'Auxiliar Vendas'!E:F,2,FALSE)</f>
        <v>Produto 01</v>
      </c>
      <c r="AL67" s="31">
        <f ca="1">U67*VLOOKUP(T67,'Auxiliar Vendas'!E:G,3,FALSE)</f>
        <v>40</v>
      </c>
    </row>
    <row r="68" spans="1:38">
      <c r="A68">
        <v>15271183865</v>
      </c>
      <c r="B68">
        <v>39</v>
      </c>
      <c r="D68" s="1">
        <v>44469</v>
      </c>
      <c r="E68">
        <v>15058959920</v>
      </c>
      <c r="F68" t="str">
        <f ca="1">VLOOKUP(RANDBETWEEN(1,20),'DBO Compras'!AA:AC,3,0)</f>
        <v>Comprador 08</v>
      </c>
      <c r="G68" t="s">
        <v>119</v>
      </c>
      <c r="H68" t="s">
        <v>120</v>
      </c>
      <c r="I68" t="s">
        <v>121</v>
      </c>
      <c r="J68" t="s">
        <v>113</v>
      </c>
      <c r="K68">
        <v>87025540</v>
      </c>
      <c r="L68" t="s">
        <v>40</v>
      </c>
      <c r="M68" t="s">
        <v>98</v>
      </c>
      <c r="N68">
        <v>4441413353</v>
      </c>
      <c r="O68">
        <v>0</v>
      </c>
      <c r="P68">
        <v>0</v>
      </c>
      <c r="R68" t="s">
        <v>42</v>
      </c>
      <c r="S68">
        <v>15016093155</v>
      </c>
      <c r="T68" t="str">
        <f ca="1">VLOOKUP(RANDBETWEEN(1,17),'Auxiliar Vendas'!D:G,2,0)</f>
        <v>Produto 07</v>
      </c>
      <c r="U68">
        <v>60</v>
      </c>
      <c r="V68">
        <v>18.649999999999999</v>
      </c>
      <c r="W68">
        <v>0</v>
      </c>
      <c r="X68">
        <v>14.4596</v>
      </c>
      <c r="Y68" s="3">
        <v>1119</v>
      </c>
      <c r="Z68">
        <v>26</v>
      </c>
      <c r="AA68" t="s">
        <v>65</v>
      </c>
      <c r="AB68">
        <v>0</v>
      </c>
      <c r="AC68">
        <v>0</v>
      </c>
      <c r="AH68" s="2">
        <v>44469.574999999997</v>
      </c>
      <c r="AI68">
        <v>0</v>
      </c>
      <c r="AJ68">
        <v>0</v>
      </c>
      <c r="AK68" s="30" t="str">
        <f ca="1">VLOOKUP(T68,'Auxiliar Vendas'!E:F,2,FALSE)</f>
        <v>Produto 07</v>
      </c>
      <c r="AL68" s="31">
        <f ca="1">U68*VLOOKUP(T68,'Auxiliar Vendas'!E:G,3,FALSE)</f>
        <v>66</v>
      </c>
    </row>
    <row r="69" spans="1:38">
      <c r="A69">
        <v>15271183865</v>
      </c>
      <c r="B69">
        <v>39</v>
      </c>
      <c r="D69" s="1">
        <v>44469</v>
      </c>
      <c r="E69">
        <v>15058959920</v>
      </c>
      <c r="F69" t="str">
        <f ca="1">VLOOKUP(RANDBETWEEN(1,20),'DBO Compras'!AA:AC,3,0)</f>
        <v>Comprador 10</v>
      </c>
      <c r="G69" t="s">
        <v>119</v>
      </c>
      <c r="H69" t="s">
        <v>120</v>
      </c>
      <c r="I69" t="s">
        <v>121</v>
      </c>
      <c r="J69" t="s">
        <v>113</v>
      </c>
      <c r="K69">
        <v>87025540</v>
      </c>
      <c r="L69" t="s">
        <v>40</v>
      </c>
      <c r="M69" t="s">
        <v>98</v>
      </c>
      <c r="N69">
        <v>4441413353</v>
      </c>
      <c r="O69">
        <v>0</v>
      </c>
      <c r="P69">
        <v>0</v>
      </c>
      <c r="R69" t="s">
        <v>42</v>
      </c>
      <c r="S69">
        <v>15016080333</v>
      </c>
      <c r="T69" t="str">
        <f ca="1">VLOOKUP(RANDBETWEEN(1,17),'Auxiliar Vendas'!D:G,2,0)</f>
        <v>Produto 01</v>
      </c>
      <c r="U69">
        <v>20</v>
      </c>
      <c r="V69">
        <v>15.5</v>
      </c>
      <c r="W69">
        <v>0</v>
      </c>
      <c r="X69">
        <v>10.747</v>
      </c>
      <c r="Y69">
        <v>310</v>
      </c>
      <c r="Z69">
        <v>26</v>
      </c>
      <c r="AA69" t="s">
        <v>80</v>
      </c>
      <c r="AB69">
        <v>0</v>
      </c>
      <c r="AC69">
        <v>0</v>
      </c>
      <c r="AH69" s="2">
        <v>44469.574999999997</v>
      </c>
      <c r="AI69">
        <v>0</v>
      </c>
      <c r="AJ69">
        <v>0</v>
      </c>
      <c r="AK69" s="30" t="str">
        <f ca="1">VLOOKUP(T69,'Auxiliar Vendas'!E:F,2,FALSE)</f>
        <v>Produto 01</v>
      </c>
      <c r="AL69" s="31">
        <f ca="1">U69*VLOOKUP(T69,'Auxiliar Vendas'!E:G,3,FALSE)</f>
        <v>8</v>
      </c>
    </row>
    <row r="70" spans="1:38">
      <c r="A70">
        <v>15271224426</v>
      </c>
      <c r="B70">
        <v>40</v>
      </c>
      <c r="D70" s="1">
        <v>44469</v>
      </c>
      <c r="E70">
        <v>15058990861</v>
      </c>
      <c r="F70" t="str">
        <f ca="1">VLOOKUP(RANDBETWEEN(1,20),'DBO Compras'!AA:AC,3,0)</f>
        <v>Comprador 08</v>
      </c>
      <c r="G70" t="s">
        <v>122</v>
      </c>
      <c r="H70" t="s">
        <v>123</v>
      </c>
      <c r="I70" t="s">
        <v>124</v>
      </c>
      <c r="J70" t="s">
        <v>113</v>
      </c>
      <c r="K70">
        <v>87010055</v>
      </c>
      <c r="L70" t="s">
        <v>40</v>
      </c>
      <c r="O70">
        <v>0</v>
      </c>
      <c r="P70">
        <v>0</v>
      </c>
      <c r="R70" t="s">
        <v>42</v>
      </c>
      <c r="S70">
        <v>15016043939</v>
      </c>
      <c r="T70" t="str">
        <f ca="1">VLOOKUP(RANDBETWEEN(1,17),'Auxiliar Vendas'!D:G,2,0)</f>
        <v>Produto 06</v>
      </c>
      <c r="U70">
        <v>153</v>
      </c>
      <c r="V70">
        <v>14.25</v>
      </c>
      <c r="W70">
        <v>0</v>
      </c>
      <c r="X70">
        <v>10.747</v>
      </c>
      <c r="Y70" s="3">
        <v>2180.25</v>
      </c>
      <c r="Z70">
        <v>27</v>
      </c>
      <c r="AA70" t="s">
        <v>50</v>
      </c>
      <c r="AB70">
        <v>0</v>
      </c>
      <c r="AC70">
        <v>0</v>
      </c>
      <c r="AH70" s="2">
        <v>44469.574999999997</v>
      </c>
      <c r="AI70">
        <v>0</v>
      </c>
      <c r="AJ70">
        <v>0</v>
      </c>
      <c r="AK70" s="30" t="str">
        <f ca="1">VLOOKUP(T70,'Auxiliar Vendas'!E:F,2,FALSE)</f>
        <v>Produto 06</v>
      </c>
      <c r="AL70" s="31">
        <f ca="1">U70*VLOOKUP(T70,'Auxiliar Vendas'!E:G,3,FALSE)</f>
        <v>76.5</v>
      </c>
    </row>
    <row r="71" spans="1:38">
      <c r="A71">
        <v>15271224426</v>
      </c>
      <c r="B71">
        <v>40</v>
      </c>
      <c r="D71" s="1">
        <v>44469</v>
      </c>
      <c r="E71">
        <v>15058990861</v>
      </c>
      <c r="F71" t="str">
        <f ca="1">VLOOKUP(RANDBETWEEN(1,20),'DBO Compras'!AA:AC,3,0)</f>
        <v>Comprador 04</v>
      </c>
      <c r="G71" t="s">
        <v>122</v>
      </c>
      <c r="H71" t="s">
        <v>123</v>
      </c>
      <c r="I71" t="s">
        <v>124</v>
      </c>
      <c r="J71" t="s">
        <v>113</v>
      </c>
      <c r="K71">
        <v>87010055</v>
      </c>
      <c r="L71" t="s">
        <v>40</v>
      </c>
      <c r="O71">
        <v>0</v>
      </c>
      <c r="P71">
        <v>0</v>
      </c>
      <c r="R71" t="s">
        <v>42</v>
      </c>
      <c r="S71">
        <v>15015511068</v>
      </c>
      <c r="T71" t="str">
        <f ca="1">VLOOKUP(RANDBETWEEN(1,17),'Auxiliar Vendas'!D:G,2,0)</f>
        <v>Produto 09</v>
      </c>
      <c r="U71">
        <v>33</v>
      </c>
      <c r="V71">
        <v>14.7</v>
      </c>
      <c r="W71">
        <v>0</v>
      </c>
      <c r="X71">
        <v>10.23</v>
      </c>
      <c r="Y71">
        <v>485.1</v>
      </c>
      <c r="Z71">
        <v>27</v>
      </c>
      <c r="AA71" t="s">
        <v>53</v>
      </c>
      <c r="AB71">
        <v>0</v>
      </c>
      <c r="AC71">
        <v>0</v>
      </c>
      <c r="AH71" s="2">
        <v>44469.574999999997</v>
      </c>
      <c r="AI71">
        <v>0</v>
      </c>
      <c r="AJ71">
        <v>0</v>
      </c>
      <c r="AK71" s="30" t="str">
        <f ca="1">VLOOKUP(T71,'Auxiliar Vendas'!E:F,2,FALSE)</f>
        <v>Produto 09</v>
      </c>
      <c r="AL71" s="31">
        <f ca="1">U71*VLOOKUP(T71,'Auxiliar Vendas'!E:G,3,FALSE)</f>
        <v>36.300000000000004</v>
      </c>
    </row>
    <row r="72" spans="1:38">
      <c r="A72">
        <v>15272077365</v>
      </c>
      <c r="B72">
        <v>49</v>
      </c>
      <c r="D72" s="1">
        <v>44469</v>
      </c>
      <c r="E72">
        <v>15179581888</v>
      </c>
      <c r="F72" t="str">
        <f ca="1">VLOOKUP(RANDBETWEEN(1,20),'DBO Compras'!AA:AC,3,0)</f>
        <v>Comprador 01</v>
      </c>
      <c r="G72" t="s">
        <v>54</v>
      </c>
      <c r="H72" t="s">
        <v>55</v>
      </c>
      <c r="I72" t="s">
        <v>56</v>
      </c>
      <c r="J72" t="s">
        <v>39</v>
      </c>
      <c r="K72">
        <v>81350610</v>
      </c>
      <c r="L72" t="s">
        <v>40</v>
      </c>
      <c r="M72" t="s">
        <v>57</v>
      </c>
      <c r="N72">
        <v>41996849234</v>
      </c>
      <c r="O72">
        <v>0</v>
      </c>
      <c r="P72">
        <v>0</v>
      </c>
      <c r="R72" t="s">
        <v>42</v>
      </c>
      <c r="S72">
        <v>15015085610</v>
      </c>
      <c r="T72" t="str">
        <f ca="1">VLOOKUP(RANDBETWEEN(1,17),'Auxiliar Vendas'!D:G,2,0)</f>
        <v>Produto 15</v>
      </c>
      <c r="U72">
        <v>150</v>
      </c>
      <c r="V72">
        <v>13.8</v>
      </c>
      <c r="W72">
        <v>0</v>
      </c>
      <c r="X72">
        <v>10.23</v>
      </c>
      <c r="Y72" s="3">
        <v>2070</v>
      </c>
      <c r="Z72">
        <v>41</v>
      </c>
      <c r="AA72" t="s">
        <v>43</v>
      </c>
      <c r="AB72">
        <v>0</v>
      </c>
      <c r="AC72">
        <v>0</v>
      </c>
      <c r="AD72" t="s">
        <v>58</v>
      </c>
      <c r="AH72" s="2">
        <v>44469.381944444445</v>
      </c>
      <c r="AI72">
        <v>0</v>
      </c>
      <c r="AJ72">
        <v>0</v>
      </c>
      <c r="AK72" s="30" t="str">
        <f ca="1">VLOOKUP(T72,'Auxiliar Vendas'!E:F,2,FALSE)</f>
        <v>Produto 15</v>
      </c>
      <c r="AL72" s="31">
        <f ca="1">U72*VLOOKUP(T72,'Auxiliar Vendas'!E:G,3,FALSE)</f>
        <v>213</v>
      </c>
    </row>
    <row r="73" spans="1:38">
      <c r="A73">
        <v>15272077365</v>
      </c>
      <c r="B73">
        <v>49</v>
      </c>
      <c r="D73" s="1">
        <v>44469</v>
      </c>
      <c r="E73">
        <v>15179581888</v>
      </c>
      <c r="F73" t="str">
        <f ca="1">VLOOKUP(RANDBETWEEN(1,20),'DBO Compras'!AA:AC,3,0)</f>
        <v>Comprador 17</v>
      </c>
      <c r="G73" t="s">
        <v>54</v>
      </c>
      <c r="H73" t="s">
        <v>55</v>
      </c>
      <c r="I73" t="s">
        <v>56</v>
      </c>
      <c r="J73" t="s">
        <v>39</v>
      </c>
      <c r="K73">
        <v>81350610</v>
      </c>
      <c r="L73" t="s">
        <v>40</v>
      </c>
      <c r="M73" t="s">
        <v>57</v>
      </c>
      <c r="N73">
        <v>41996849234</v>
      </c>
      <c r="O73">
        <v>0</v>
      </c>
      <c r="P73">
        <v>0</v>
      </c>
      <c r="R73" t="s">
        <v>42</v>
      </c>
      <c r="S73">
        <v>15016043939</v>
      </c>
      <c r="T73" t="str">
        <f ca="1">VLOOKUP(RANDBETWEEN(1,17),'Auxiliar Vendas'!D:G,2,0)</f>
        <v>Produto 10</v>
      </c>
      <c r="U73" s="3">
        <v>7410</v>
      </c>
      <c r="V73">
        <v>13.9</v>
      </c>
      <c r="W73">
        <v>0</v>
      </c>
      <c r="X73">
        <v>10.747</v>
      </c>
      <c r="Y73" s="3">
        <v>102999</v>
      </c>
      <c r="Z73">
        <v>41</v>
      </c>
      <c r="AA73" t="s">
        <v>50</v>
      </c>
      <c r="AB73">
        <v>0</v>
      </c>
      <c r="AC73">
        <v>0</v>
      </c>
      <c r="AD73" t="s">
        <v>58</v>
      </c>
      <c r="AH73" s="2">
        <v>44469.381944444445</v>
      </c>
      <c r="AI73">
        <v>0</v>
      </c>
      <c r="AJ73">
        <v>0</v>
      </c>
      <c r="AK73" s="30" t="str">
        <f ca="1">VLOOKUP(T73,'Auxiliar Vendas'!E:F,2,FALSE)</f>
        <v>Produto 10</v>
      </c>
      <c r="AL73" s="31">
        <f ca="1">U73*VLOOKUP(T73,'Auxiliar Vendas'!E:G,3,FALSE)</f>
        <v>8151.0000000000009</v>
      </c>
    </row>
    <row r="74" spans="1:38">
      <c r="A74">
        <v>15272077365</v>
      </c>
      <c r="B74">
        <v>49</v>
      </c>
      <c r="D74" s="1">
        <v>44469</v>
      </c>
      <c r="E74">
        <v>15179581888</v>
      </c>
      <c r="F74" t="str">
        <f ca="1">VLOOKUP(RANDBETWEEN(1,20),'DBO Compras'!AA:AC,3,0)</f>
        <v>Comprador 05</v>
      </c>
      <c r="G74" t="s">
        <v>54</v>
      </c>
      <c r="H74" t="s">
        <v>55</v>
      </c>
      <c r="I74" t="s">
        <v>56</v>
      </c>
      <c r="J74" t="s">
        <v>39</v>
      </c>
      <c r="K74">
        <v>81350610</v>
      </c>
      <c r="L74" t="s">
        <v>40</v>
      </c>
      <c r="M74" t="s">
        <v>57</v>
      </c>
      <c r="N74">
        <v>41996849234</v>
      </c>
      <c r="O74">
        <v>0</v>
      </c>
      <c r="P74">
        <v>0</v>
      </c>
      <c r="R74" t="s">
        <v>42</v>
      </c>
      <c r="S74">
        <v>15015911944</v>
      </c>
      <c r="T74" t="str">
        <f ca="1">VLOOKUP(RANDBETWEEN(1,17),'Auxiliar Vendas'!D:G,2,0)</f>
        <v>Produto 12</v>
      </c>
      <c r="U74">
        <v>600</v>
      </c>
      <c r="V74">
        <v>14.25</v>
      </c>
      <c r="W74">
        <v>0</v>
      </c>
      <c r="X74">
        <v>10.285</v>
      </c>
      <c r="Y74" s="3">
        <v>8550</v>
      </c>
      <c r="Z74">
        <v>41</v>
      </c>
      <c r="AA74" t="s">
        <v>78</v>
      </c>
      <c r="AB74">
        <v>0</v>
      </c>
      <c r="AC74">
        <v>0</v>
      </c>
      <c r="AD74" t="s">
        <v>58</v>
      </c>
      <c r="AH74" s="2">
        <v>44469.381944444445</v>
      </c>
      <c r="AI74">
        <v>0</v>
      </c>
      <c r="AJ74">
        <v>0</v>
      </c>
      <c r="AK74" s="30" t="str">
        <f ca="1">VLOOKUP(T74,'Auxiliar Vendas'!E:F,2,FALSE)</f>
        <v>Produto 12</v>
      </c>
      <c r="AL74" s="31">
        <f ca="1">U74*VLOOKUP(T74,'Auxiliar Vendas'!E:G,3,FALSE)</f>
        <v>840</v>
      </c>
    </row>
    <row r="75" spans="1:38">
      <c r="A75">
        <v>15272077365</v>
      </c>
      <c r="B75">
        <v>49</v>
      </c>
      <c r="D75" s="1">
        <v>44469</v>
      </c>
      <c r="E75">
        <v>15179581888</v>
      </c>
      <c r="F75" t="str">
        <f ca="1">VLOOKUP(RANDBETWEEN(1,20),'DBO Compras'!AA:AC,3,0)</f>
        <v>Comprador 16</v>
      </c>
      <c r="G75" t="s">
        <v>54</v>
      </c>
      <c r="H75" t="s">
        <v>55</v>
      </c>
      <c r="I75" t="s">
        <v>56</v>
      </c>
      <c r="J75" t="s">
        <v>39</v>
      </c>
      <c r="K75">
        <v>81350610</v>
      </c>
      <c r="L75" t="s">
        <v>40</v>
      </c>
      <c r="M75" t="s">
        <v>57</v>
      </c>
      <c r="N75">
        <v>41996849234</v>
      </c>
      <c r="O75">
        <v>0</v>
      </c>
      <c r="P75">
        <v>0</v>
      </c>
      <c r="R75" t="s">
        <v>42</v>
      </c>
      <c r="S75">
        <v>15015911944</v>
      </c>
      <c r="T75" t="str">
        <f ca="1">VLOOKUP(RANDBETWEEN(1,17),'Auxiliar Vendas'!D:G,2,0)</f>
        <v>Produto 12</v>
      </c>
      <c r="U75">
        <v>20</v>
      </c>
      <c r="V75">
        <v>14.9</v>
      </c>
      <c r="W75">
        <v>0</v>
      </c>
      <c r="X75">
        <v>10.285</v>
      </c>
      <c r="Y75">
        <v>298</v>
      </c>
      <c r="Z75">
        <v>41</v>
      </c>
      <c r="AA75" t="s">
        <v>78</v>
      </c>
      <c r="AB75">
        <v>0</v>
      </c>
      <c r="AC75">
        <v>0</v>
      </c>
      <c r="AD75" t="s">
        <v>58</v>
      </c>
      <c r="AH75" s="2">
        <v>44469.381944444445</v>
      </c>
      <c r="AI75">
        <v>0</v>
      </c>
      <c r="AJ75">
        <v>0</v>
      </c>
      <c r="AK75" s="30" t="str">
        <f ca="1">VLOOKUP(T75,'Auxiliar Vendas'!E:F,2,FALSE)</f>
        <v>Produto 12</v>
      </c>
      <c r="AL75" s="31">
        <f ca="1">U75*VLOOKUP(T75,'Auxiliar Vendas'!E:G,3,FALSE)</f>
        <v>28</v>
      </c>
    </row>
    <row r="76" spans="1:38">
      <c r="A76">
        <v>15272077365</v>
      </c>
      <c r="B76">
        <v>49</v>
      </c>
      <c r="D76" s="1">
        <v>44469</v>
      </c>
      <c r="E76">
        <v>15179581888</v>
      </c>
      <c r="F76" t="str">
        <f ca="1">VLOOKUP(RANDBETWEEN(1,20),'DBO Compras'!AA:AC,3,0)</f>
        <v>Comprador 09</v>
      </c>
      <c r="G76" t="s">
        <v>54</v>
      </c>
      <c r="H76" t="s">
        <v>55</v>
      </c>
      <c r="I76" t="s">
        <v>56</v>
      </c>
      <c r="J76" t="s">
        <v>39</v>
      </c>
      <c r="K76">
        <v>81350610</v>
      </c>
      <c r="L76" t="s">
        <v>40</v>
      </c>
      <c r="M76" t="s">
        <v>57</v>
      </c>
      <c r="N76">
        <v>41996849234</v>
      </c>
      <c r="O76">
        <v>0</v>
      </c>
      <c r="P76">
        <v>0</v>
      </c>
      <c r="R76" t="s">
        <v>42</v>
      </c>
      <c r="S76">
        <v>15015423083</v>
      </c>
      <c r="T76" t="str">
        <f ca="1">VLOOKUP(RANDBETWEEN(1,17),'Auxiliar Vendas'!D:G,2,0)</f>
        <v>Produto 08</v>
      </c>
      <c r="U76">
        <v>90</v>
      </c>
      <c r="V76">
        <v>15</v>
      </c>
      <c r="W76">
        <v>0</v>
      </c>
      <c r="X76">
        <v>10.23</v>
      </c>
      <c r="Y76" s="3">
        <v>1350</v>
      </c>
      <c r="Z76">
        <v>41</v>
      </c>
      <c r="AA76" t="s">
        <v>125</v>
      </c>
      <c r="AB76">
        <v>0</v>
      </c>
      <c r="AC76">
        <v>0</v>
      </c>
      <c r="AD76" t="s">
        <v>58</v>
      </c>
      <c r="AH76" s="2">
        <v>44469.381944444445</v>
      </c>
      <c r="AI76">
        <v>0</v>
      </c>
      <c r="AJ76">
        <v>0</v>
      </c>
      <c r="AK76" s="30" t="str">
        <f ca="1">VLOOKUP(T76,'Auxiliar Vendas'!E:F,2,FALSE)</f>
        <v>Produto 08</v>
      </c>
      <c r="AL76" s="31">
        <f ca="1">U76*VLOOKUP(T76,'Auxiliar Vendas'!E:G,3,FALSE)</f>
        <v>99.000000000000014</v>
      </c>
    </row>
    <row r="77" spans="1:38">
      <c r="A77">
        <v>15272077365</v>
      </c>
      <c r="B77">
        <v>49</v>
      </c>
      <c r="D77" s="1">
        <v>44469</v>
      </c>
      <c r="E77">
        <v>15179581888</v>
      </c>
      <c r="F77" t="str">
        <f ca="1">VLOOKUP(RANDBETWEEN(1,20),'DBO Compras'!AA:AC,3,0)</f>
        <v>Comprador 16</v>
      </c>
      <c r="G77" t="s">
        <v>54</v>
      </c>
      <c r="H77" t="s">
        <v>55</v>
      </c>
      <c r="I77" t="s">
        <v>56</v>
      </c>
      <c r="J77" t="s">
        <v>39</v>
      </c>
      <c r="K77">
        <v>81350610</v>
      </c>
      <c r="L77" t="s">
        <v>40</v>
      </c>
      <c r="M77" t="s">
        <v>57</v>
      </c>
      <c r="N77">
        <v>41996849234</v>
      </c>
      <c r="O77">
        <v>0</v>
      </c>
      <c r="P77">
        <v>0</v>
      </c>
      <c r="R77" t="s">
        <v>42</v>
      </c>
      <c r="S77">
        <v>15016066088</v>
      </c>
      <c r="T77" t="str">
        <f ca="1">VLOOKUP(RANDBETWEEN(1,17),'Auxiliar Vendas'!D:G,2,0)</f>
        <v>Produto 05</v>
      </c>
      <c r="U77">
        <v>300</v>
      </c>
      <c r="V77">
        <v>15.2</v>
      </c>
      <c r="W77">
        <v>0</v>
      </c>
      <c r="X77">
        <v>10.747</v>
      </c>
      <c r="Y77" s="3">
        <v>4560</v>
      </c>
      <c r="Z77">
        <v>41</v>
      </c>
      <c r="AA77" t="s">
        <v>126</v>
      </c>
      <c r="AB77">
        <v>0</v>
      </c>
      <c r="AC77">
        <v>0</v>
      </c>
      <c r="AD77" t="s">
        <v>58</v>
      </c>
      <c r="AH77" s="2">
        <v>44469.381944444445</v>
      </c>
      <c r="AI77">
        <v>0</v>
      </c>
      <c r="AJ77">
        <v>0</v>
      </c>
      <c r="AK77" s="30" t="str">
        <f ca="1">VLOOKUP(T77,'Auxiliar Vendas'!E:F,2,FALSE)</f>
        <v>Produto 05</v>
      </c>
      <c r="AL77" s="31">
        <f ca="1">U77*VLOOKUP(T77,'Auxiliar Vendas'!E:G,3,FALSE)</f>
        <v>180</v>
      </c>
    </row>
    <row r="78" spans="1:38">
      <c r="A78">
        <v>15272077365</v>
      </c>
      <c r="B78">
        <v>49</v>
      </c>
      <c r="D78" s="1">
        <v>44469</v>
      </c>
      <c r="E78">
        <v>15179581888</v>
      </c>
      <c r="F78" t="str">
        <f ca="1">VLOOKUP(RANDBETWEEN(1,20),'DBO Compras'!AA:AC,3,0)</f>
        <v>Comprador 20</v>
      </c>
      <c r="G78" t="s">
        <v>54</v>
      </c>
      <c r="H78" t="s">
        <v>55</v>
      </c>
      <c r="I78" t="s">
        <v>56</v>
      </c>
      <c r="J78" t="s">
        <v>39</v>
      </c>
      <c r="K78">
        <v>81350610</v>
      </c>
      <c r="L78" t="s">
        <v>40</v>
      </c>
      <c r="M78" t="s">
        <v>57</v>
      </c>
      <c r="N78">
        <v>41996849234</v>
      </c>
      <c r="O78">
        <v>0</v>
      </c>
      <c r="P78">
        <v>0</v>
      </c>
      <c r="R78" t="s">
        <v>42</v>
      </c>
      <c r="S78">
        <v>15015511068</v>
      </c>
      <c r="T78" t="str">
        <f ca="1">VLOOKUP(RANDBETWEEN(1,17),'Auxiliar Vendas'!D:G,2,0)</f>
        <v>Produto 09</v>
      </c>
      <c r="U78">
        <v>168</v>
      </c>
      <c r="V78">
        <v>15.5</v>
      </c>
      <c r="W78">
        <v>0</v>
      </c>
      <c r="X78">
        <v>10.23</v>
      </c>
      <c r="Y78" s="3">
        <v>2604</v>
      </c>
      <c r="Z78">
        <v>41</v>
      </c>
      <c r="AA78" t="s">
        <v>53</v>
      </c>
      <c r="AB78">
        <v>0</v>
      </c>
      <c r="AC78">
        <v>0</v>
      </c>
      <c r="AD78" t="s">
        <v>58</v>
      </c>
      <c r="AH78" s="2">
        <v>44469.381944444445</v>
      </c>
      <c r="AI78">
        <v>0</v>
      </c>
      <c r="AJ78">
        <v>0</v>
      </c>
      <c r="AK78" s="30" t="str">
        <f ca="1">VLOOKUP(T78,'Auxiliar Vendas'!E:F,2,FALSE)</f>
        <v>Produto 09</v>
      </c>
      <c r="AL78" s="31">
        <f ca="1">U78*VLOOKUP(T78,'Auxiliar Vendas'!E:G,3,FALSE)</f>
        <v>184.8</v>
      </c>
    </row>
    <row r="79" spans="1:38">
      <c r="A79">
        <v>15272077365</v>
      </c>
      <c r="B79">
        <v>49</v>
      </c>
      <c r="D79" s="1">
        <v>44469</v>
      </c>
      <c r="E79">
        <v>15179581888</v>
      </c>
      <c r="F79" t="str">
        <f ca="1">VLOOKUP(RANDBETWEEN(1,20),'DBO Compras'!AA:AC,3,0)</f>
        <v>Comprador 01</v>
      </c>
      <c r="G79" t="s">
        <v>54</v>
      </c>
      <c r="H79" t="s">
        <v>55</v>
      </c>
      <c r="I79" t="s">
        <v>56</v>
      </c>
      <c r="J79" t="s">
        <v>39</v>
      </c>
      <c r="K79">
        <v>81350610</v>
      </c>
      <c r="L79" t="s">
        <v>40</v>
      </c>
      <c r="M79" t="s">
        <v>57</v>
      </c>
      <c r="N79">
        <v>41996849234</v>
      </c>
      <c r="O79">
        <v>0</v>
      </c>
      <c r="P79">
        <v>0</v>
      </c>
      <c r="R79" t="s">
        <v>42</v>
      </c>
      <c r="S79">
        <v>15015511068</v>
      </c>
      <c r="T79" t="str">
        <f ca="1">VLOOKUP(RANDBETWEEN(1,17),'Auxiliar Vendas'!D:G,2,0)</f>
        <v>Produto 02</v>
      </c>
      <c r="U79" s="3">
        <v>1143</v>
      </c>
      <c r="V79">
        <v>16.2</v>
      </c>
      <c r="W79">
        <v>0</v>
      </c>
      <c r="X79">
        <v>10.23</v>
      </c>
      <c r="Y79" s="3">
        <v>18516.599999999999</v>
      </c>
      <c r="Z79">
        <v>41</v>
      </c>
      <c r="AA79" t="s">
        <v>53</v>
      </c>
      <c r="AB79">
        <v>0</v>
      </c>
      <c r="AC79">
        <v>0</v>
      </c>
      <c r="AD79" t="s">
        <v>58</v>
      </c>
      <c r="AH79" s="2">
        <v>44469.381944444445</v>
      </c>
      <c r="AI79">
        <v>0</v>
      </c>
      <c r="AJ79">
        <v>0</v>
      </c>
      <c r="AK79" s="30" t="str">
        <f ca="1">VLOOKUP(T79,'Auxiliar Vendas'!E:F,2,FALSE)</f>
        <v>Produto 02</v>
      </c>
      <c r="AL79" s="31">
        <f ca="1">U79*VLOOKUP(T79,'Auxiliar Vendas'!E:G,3,FALSE)</f>
        <v>308.61</v>
      </c>
    </row>
    <row r="80" spans="1:38">
      <c r="A80">
        <v>15272077365</v>
      </c>
      <c r="B80">
        <v>49</v>
      </c>
      <c r="D80" s="1">
        <v>44469</v>
      </c>
      <c r="E80">
        <v>15179581888</v>
      </c>
      <c r="F80" t="str">
        <f ca="1">VLOOKUP(RANDBETWEEN(1,20),'DBO Compras'!AA:AC,3,0)</f>
        <v>Comprador 04</v>
      </c>
      <c r="G80" t="s">
        <v>54</v>
      </c>
      <c r="H80" t="s">
        <v>55</v>
      </c>
      <c r="I80" t="s">
        <v>56</v>
      </c>
      <c r="J80" t="s">
        <v>39</v>
      </c>
      <c r="K80">
        <v>81350610</v>
      </c>
      <c r="L80" t="s">
        <v>40</v>
      </c>
      <c r="M80" t="s">
        <v>57</v>
      </c>
      <c r="N80">
        <v>41996849234</v>
      </c>
      <c r="O80">
        <v>0</v>
      </c>
      <c r="P80">
        <v>0</v>
      </c>
      <c r="R80" t="s">
        <v>42</v>
      </c>
      <c r="S80">
        <v>15015423083</v>
      </c>
      <c r="T80" t="str">
        <f ca="1">VLOOKUP(RANDBETWEEN(1,17),'Auxiliar Vendas'!D:G,2,0)</f>
        <v>Produto 07</v>
      </c>
      <c r="U80">
        <v>50</v>
      </c>
      <c r="V80">
        <v>16.7</v>
      </c>
      <c r="W80">
        <v>0</v>
      </c>
      <c r="X80">
        <v>10.23</v>
      </c>
      <c r="Y80">
        <v>835</v>
      </c>
      <c r="Z80">
        <v>41</v>
      </c>
      <c r="AA80" t="s">
        <v>125</v>
      </c>
      <c r="AB80">
        <v>0</v>
      </c>
      <c r="AC80">
        <v>0</v>
      </c>
      <c r="AD80" t="s">
        <v>58</v>
      </c>
      <c r="AH80" s="2">
        <v>44469.381944444445</v>
      </c>
      <c r="AI80">
        <v>0</v>
      </c>
      <c r="AJ80">
        <v>0</v>
      </c>
      <c r="AK80" s="30" t="str">
        <f ca="1">VLOOKUP(T80,'Auxiliar Vendas'!E:F,2,FALSE)</f>
        <v>Produto 07</v>
      </c>
      <c r="AL80" s="31">
        <f ca="1">U80*VLOOKUP(T80,'Auxiliar Vendas'!E:G,3,FALSE)</f>
        <v>55.000000000000007</v>
      </c>
    </row>
    <row r="81" spans="1:38">
      <c r="A81">
        <v>15272077365</v>
      </c>
      <c r="B81">
        <v>49</v>
      </c>
      <c r="D81" s="1">
        <v>44469</v>
      </c>
      <c r="E81">
        <v>15179581888</v>
      </c>
      <c r="F81" t="str">
        <f ca="1">VLOOKUP(RANDBETWEEN(1,20),'DBO Compras'!AA:AC,3,0)</f>
        <v>Comprador 18</v>
      </c>
      <c r="G81" t="s">
        <v>54</v>
      </c>
      <c r="H81" t="s">
        <v>55</v>
      </c>
      <c r="I81" t="s">
        <v>56</v>
      </c>
      <c r="J81" t="s">
        <v>39</v>
      </c>
      <c r="K81">
        <v>81350610</v>
      </c>
      <c r="L81" t="s">
        <v>40</v>
      </c>
      <c r="M81" t="s">
        <v>57</v>
      </c>
      <c r="N81">
        <v>41996849234</v>
      </c>
      <c r="O81">
        <v>0</v>
      </c>
      <c r="P81">
        <v>0</v>
      </c>
      <c r="R81" t="s">
        <v>42</v>
      </c>
      <c r="S81">
        <v>15015511068</v>
      </c>
      <c r="T81" t="str">
        <f ca="1">VLOOKUP(RANDBETWEEN(1,17),'Auxiliar Vendas'!D:G,2,0)</f>
        <v>Produto 15</v>
      </c>
      <c r="U81">
        <v>2</v>
      </c>
      <c r="V81">
        <v>17.7</v>
      </c>
      <c r="W81">
        <v>0</v>
      </c>
      <c r="X81">
        <v>10.23</v>
      </c>
      <c r="Y81">
        <v>35.4</v>
      </c>
      <c r="Z81">
        <v>41</v>
      </c>
      <c r="AA81" t="s">
        <v>53</v>
      </c>
      <c r="AB81">
        <v>0</v>
      </c>
      <c r="AC81">
        <v>0</v>
      </c>
      <c r="AD81" t="s">
        <v>58</v>
      </c>
      <c r="AH81" s="2">
        <v>44469.381944444445</v>
      </c>
      <c r="AI81">
        <v>0</v>
      </c>
      <c r="AJ81">
        <v>0</v>
      </c>
      <c r="AK81" s="30" t="str">
        <f ca="1">VLOOKUP(T81,'Auxiliar Vendas'!E:F,2,FALSE)</f>
        <v>Produto 15</v>
      </c>
      <c r="AL81" s="31">
        <f ca="1">U81*VLOOKUP(T81,'Auxiliar Vendas'!E:G,3,FALSE)</f>
        <v>2.84</v>
      </c>
    </row>
    <row r="82" spans="1:38">
      <c r="A82">
        <v>15272077365</v>
      </c>
      <c r="B82">
        <v>49</v>
      </c>
      <c r="D82" s="1">
        <v>44469</v>
      </c>
      <c r="E82">
        <v>15179581888</v>
      </c>
      <c r="F82" t="str">
        <f ca="1">VLOOKUP(RANDBETWEEN(1,20),'DBO Compras'!AA:AC,3,0)</f>
        <v>Comprador 02</v>
      </c>
      <c r="G82" t="s">
        <v>54</v>
      </c>
      <c r="H82" t="s">
        <v>55</v>
      </c>
      <c r="I82" t="s">
        <v>56</v>
      </c>
      <c r="J82" t="s">
        <v>39</v>
      </c>
      <c r="K82">
        <v>81350610</v>
      </c>
      <c r="L82" t="s">
        <v>40</v>
      </c>
      <c r="M82" t="s">
        <v>57</v>
      </c>
      <c r="N82">
        <v>41996849234</v>
      </c>
      <c r="O82">
        <v>0</v>
      </c>
      <c r="P82">
        <v>0</v>
      </c>
      <c r="R82" t="s">
        <v>42</v>
      </c>
      <c r="S82">
        <v>15015918644</v>
      </c>
      <c r="T82" t="str">
        <f ca="1">VLOOKUP(RANDBETWEEN(1,17),'Auxiliar Vendas'!D:G,2,0)</f>
        <v>Produto 04</v>
      </c>
      <c r="U82" s="3">
        <v>5478</v>
      </c>
      <c r="V82">
        <v>8.1999999999999993</v>
      </c>
      <c r="W82">
        <v>0</v>
      </c>
      <c r="X82">
        <v>5.61</v>
      </c>
      <c r="Y82" s="3">
        <v>44919.6</v>
      </c>
      <c r="Z82">
        <v>41</v>
      </c>
      <c r="AA82" t="s">
        <v>59</v>
      </c>
      <c r="AB82">
        <v>0</v>
      </c>
      <c r="AC82">
        <v>0</v>
      </c>
      <c r="AD82" t="s">
        <v>58</v>
      </c>
      <c r="AH82" s="2">
        <v>44469.381944444445</v>
      </c>
      <c r="AI82">
        <v>0</v>
      </c>
      <c r="AJ82">
        <v>0</v>
      </c>
      <c r="AK82" s="30" t="str">
        <f ca="1">VLOOKUP(T82,'Auxiliar Vendas'!E:F,2,FALSE)</f>
        <v>Produto 04</v>
      </c>
      <c r="AL82" s="31">
        <f ca="1">U82*VLOOKUP(T82,'Auxiliar Vendas'!E:G,3,FALSE)</f>
        <v>3286.7999999999997</v>
      </c>
    </row>
    <row r="83" spans="1:38">
      <c r="A83">
        <v>15272077365</v>
      </c>
      <c r="B83">
        <v>49</v>
      </c>
      <c r="D83" s="1">
        <v>44469</v>
      </c>
      <c r="E83">
        <v>15179581888</v>
      </c>
      <c r="F83" t="str">
        <f ca="1">VLOOKUP(RANDBETWEEN(1,20),'DBO Compras'!AA:AC,3,0)</f>
        <v>Comprador 15</v>
      </c>
      <c r="G83" t="s">
        <v>54</v>
      </c>
      <c r="H83" t="s">
        <v>55</v>
      </c>
      <c r="I83" t="s">
        <v>56</v>
      </c>
      <c r="J83" t="s">
        <v>39</v>
      </c>
      <c r="K83">
        <v>81350610</v>
      </c>
      <c r="L83" t="s">
        <v>40</v>
      </c>
      <c r="M83" t="s">
        <v>57</v>
      </c>
      <c r="N83">
        <v>41996849234</v>
      </c>
      <c r="O83">
        <v>0</v>
      </c>
      <c r="P83">
        <v>0</v>
      </c>
      <c r="R83" t="s">
        <v>42</v>
      </c>
      <c r="S83">
        <v>15015353721</v>
      </c>
      <c r="T83" t="str">
        <f ca="1">VLOOKUP(RANDBETWEEN(1,17),'Auxiliar Vendas'!D:G,2,0)</f>
        <v>Produto 05</v>
      </c>
      <c r="U83" s="3">
        <v>1080</v>
      </c>
      <c r="V83">
        <v>8.3800000000000008</v>
      </c>
      <c r="W83">
        <v>0</v>
      </c>
      <c r="X83">
        <v>5.58</v>
      </c>
      <c r="Y83" s="3">
        <v>9050.4</v>
      </c>
      <c r="Z83">
        <v>41</v>
      </c>
      <c r="AA83" t="s">
        <v>44</v>
      </c>
      <c r="AB83">
        <v>0</v>
      </c>
      <c r="AC83">
        <v>0</v>
      </c>
      <c r="AD83" t="s">
        <v>58</v>
      </c>
      <c r="AH83" s="2">
        <v>44469.381944444445</v>
      </c>
      <c r="AI83">
        <v>0</v>
      </c>
      <c r="AJ83">
        <v>0</v>
      </c>
      <c r="AK83" s="30" t="str">
        <f ca="1">VLOOKUP(T83,'Auxiliar Vendas'!E:F,2,FALSE)</f>
        <v>Produto 05</v>
      </c>
      <c r="AL83" s="31">
        <f ca="1">U83*VLOOKUP(T83,'Auxiliar Vendas'!E:G,3,FALSE)</f>
        <v>648</v>
      </c>
    </row>
    <row r="84" spans="1:38">
      <c r="A84">
        <v>15272077365</v>
      </c>
      <c r="B84">
        <v>49</v>
      </c>
      <c r="D84" s="1">
        <v>44469</v>
      </c>
      <c r="E84">
        <v>15179581888</v>
      </c>
      <c r="F84" t="str">
        <f ca="1">VLOOKUP(RANDBETWEEN(1,20),'DBO Compras'!AA:AC,3,0)</f>
        <v>Comprador 08</v>
      </c>
      <c r="G84" t="s">
        <v>54</v>
      </c>
      <c r="H84" t="s">
        <v>55</v>
      </c>
      <c r="I84" t="s">
        <v>56</v>
      </c>
      <c r="J84" t="s">
        <v>39</v>
      </c>
      <c r="K84">
        <v>81350610</v>
      </c>
      <c r="L84" t="s">
        <v>40</v>
      </c>
      <c r="M84" t="s">
        <v>57</v>
      </c>
      <c r="N84">
        <v>41996849234</v>
      </c>
      <c r="O84">
        <v>0</v>
      </c>
      <c r="P84">
        <v>0</v>
      </c>
      <c r="R84" t="s">
        <v>42</v>
      </c>
      <c r="S84">
        <v>15015918644</v>
      </c>
      <c r="T84" t="str">
        <f ca="1">VLOOKUP(RANDBETWEEN(1,17),'Auxiliar Vendas'!D:G,2,0)</f>
        <v>Produto 12</v>
      </c>
      <c r="U84">
        <v>220</v>
      </c>
      <c r="V84">
        <v>8.68</v>
      </c>
      <c r="W84">
        <v>0</v>
      </c>
      <c r="X84">
        <v>5.61</v>
      </c>
      <c r="Y84" s="3">
        <v>1909.6</v>
      </c>
      <c r="Z84">
        <v>41</v>
      </c>
      <c r="AA84" t="s">
        <v>59</v>
      </c>
      <c r="AB84">
        <v>0</v>
      </c>
      <c r="AC84">
        <v>0</v>
      </c>
      <c r="AD84" t="s">
        <v>58</v>
      </c>
      <c r="AH84" s="2">
        <v>44469.381944444445</v>
      </c>
      <c r="AI84">
        <v>0</v>
      </c>
      <c r="AJ84">
        <v>0</v>
      </c>
      <c r="AK84" s="30" t="str">
        <f ca="1">VLOOKUP(T84,'Auxiliar Vendas'!E:F,2,FALSE)</f>
        <v>Produto 12</v>
      </c>
      <c r="AL84" s="31">
        <f ca="1">U84*VLOOKUP(T84,'Auxiliar Vendas'!E:G,3,FALSE)</f>
        <v>308</v>
      </c>
    </row>
    <row r="85" spans="1:38">
      <c r="A85">
        <v>15272077365</v>
      </c>
      <c r="B85">
        <v>49</v>
      </c>
      <c r="D85" s="1">
        <v>44469</v>
      </c>
      <c r="E85">
        <v>15179581888</v>
      </c>
      <c r="F85" t="str">
        <f ca="1">VLOOKUP(RANDBETWEEN(1,20),'DBO Compras'!AA:AC,3,0)</f>
        <v>Comprador 12</v>
      </c>
      <c r="G85" t="s">
        <v>54</v>
      </c>
      <c r="H85" t="s">
        <v>55</v>
      </c>
      <c r="I85" t="s">
        <v>56</v>
      </c>
      <c r="J85" t="s">
        <v>39</v>
      </c>
      <c r="K85">
        <v>81350610</v>
      </c>
      <c r="L85" t="s">
        <v>40</v>
      </c>
      <c r="M85" t="s">
        <v>57</v>
      </c>
      <c r="N85">
        <v>41996849234</v>
      </c>
      <c r="O85">
        <v>0</v>
      </c>
      <c r="P85">
        <v>0</v>
      </c>
      <c r="R85" t="s">
        <v>42</v>
      </c>
      <c r="S85">
        <v>15015925662</v>
      </c>
      <c r="T85" t="str">
        <f ca="1">VLOOKUP(RANDBETWEEN(1,17),'Auxiliar Vendas'!D:G,2,0)</f>
        <v>Produto 04</v>
      </c>
      <c r="U85">
        <v>105</v>
      </c>
      <c r="V85">
        <v>4.99</v>
      </c>
      <c r="W85">
        <v>0</v>
      </c>
      <c r="X85">
        <v>3.74</v>
      </c>
      <c r="Y85">
        <v>523.95000000000005</v>
      </c>
      <c r="Z85">
        <v>41</v>
      </c>
      <c r="AA85" t="s">
        <v>82</v>
      </c>
      <c r="AB85">
        <v>0</v>
      </c>
      <c r="AC85">
        <v>0</v>
      </c>
      <c r="AD85" t="s">
        <v>58</v>
      </c>
      <c r="AH85" s="2">
        <v>44469.381944444445</v>
      </c>
      <c r="AI85">
        <v>0</v>
      </c>
      <c r="AJ85">
        <v>0</v>
      </c>
      <c r="AK85" s="30" t="str">
        <f ca="1">VLOOKUP(T85,'Auxiliar Vendas'!E:F,2,FALSE)</f>
        <v>Produto 04</v>
      </c>
      <c r="AL85" s="31">
        <f ca="1">U85*VLOOKUP(T85,'Auxiliar Vendas'!E:G,3,FALSE)</f>
        <v>63</v>
      </c>
    </row>
    <row r="86" spans="1:38">
      <c r="A86">
        <v>15272077365</v>
      </c>
      <c r="B86">
        <v>49</v>
      </c>
      <c r="D86" s="1">
        <v>44469</v>
      </c>
      <c r="E86">
        <v>15179581888</v>
      </c>
      <c r="F86" t="str">
        <f ca="1">VLOOKUP(RANDBETWEEN(1,20),'DBO Compras'!AA:AC,3,0)</f>
        <v>Comprador 02</v>
      </c>
      <c r="G86" t="s">
        <v>54</v>
      </c>
      <c r="H86" t="s">
        <v>55</v>
      </c>
      <c r="I86" t="s">
        <v>56</v>
      </c>
      <c r="J86" t="s">
        <v>39</v>
      </c>
      <c r="K86">
        <v>81350610</v>
      </c>
      <c r="L86" t="s">
        <v>40</v>
      </c>
      <c r="M86" t="s">
        <v>57</v>
      </c>
      <c r="N86">
        <v>41996849234</v>
      </c>
      <c r="O86">
        <v>0</v>
      </c>
      <c r="P86">
        <v>0</v>
      </c>
      <c r="R86" t="s">
        <v>42</v>
      </c>
      <c r="S86">
        <v>15016080333</v>
      </c>
      <c r="T86" t="str">
        <f ca="1">VLOOKUP(RANDBETWEEN(1,17),'Auxiliar Vendas'!D:G,2,0)</f>
        <v>Produto 07</v>
      </c>
      <c r="U86">
        <v>70</v>
      </c>
      <c r="V86">
        <v>12.8</v>
      </c>
      <c r="W86">
        <v>0</v>
      </c>
      <c r="X86">
        <v>10.747</v>
      </c>
      <c r="Y86">
        <v>896</v>
      </c>
      <c r="Z86">
        <v>41</v>
      </c>
      <c r="AA86" t="s">
        <v>80</v>
      </c>
      <c r="AB86">
        <v>0</v>
      </c>
      <c r="AC86">
        <v>0</v>
      </c>
      <c r="AD86" t="s">
        <v>58</v>
      </c>
      <c r="AH86" s="2">
        <v>44469.381944444445</v>
      </c>
      <c r="AI86">
        <v>0</v>
      </c>
      <c r="AJ86">
        <v>0</v>
      </c>
      <c r="AK86" s="30" t="str">
        <f ca="1">VLOOKUP(T86,'Auxiliar Vendas'!E:F,2,FALSE)</f>
        <v>Produto 07</v>
      </c>
      <c r="AL86" s="31">
        <f ca="1">U86*VLOOKUP(T86,'Auxiliar Vendas'!E:G,3,FALSE)</f>
        <v>77</v>
      </c>
    </row>
    <row r="87" spans="1:38">
      <c r="A87">
        <v>15272077365</v>
      </c>
      <c r="B87">
        <v>49</v>
      </c>
      <c r="D87" s="1">
        <v>44469</v>
      </c>
      <c r="E87">
        <v>15179581888</v>
      </c>
      <c r="F87" t="str">
        <f ca="1">VLOOKUP(RANDBETWEEN(1,20),'DBO Compras'!AA:AC,3,0)</f>
        <v>Comprador 20</v>
      </c>
      <c r="G87" t="s">
        <v>54</v>
      </c>
      <c r="H87" t="s">
        <v>55</v>
      </c>
      <c r="I87" t="s">
        <v>56</v>
      </c>
      <c r="J87" t="s">
        <v>39</v>
      </c>
      <c r="K87">
        <v>81350610</v>
      </c>
      <c r="L87" t="s">
        <v>40</v>
      </c>
      <c r="M87" t="s">
        <v>57</v>
      </c>
      <c r="N87">
        <v>41996849234</v>
      </c>
      <c r="O87">
        <v>0</v>
      </c>
      <c r="P87">
        <v>0</v>
      </c>
      <c r="R87" t="s">
        <v>42</v>
      </c>
      <c r="S87">
        <v>15015720950</v>
      </c>
      <c r="T87" t="str">
        <f ca="1">VLOOKUP(RANDBETWEEN(1,17),'Auxiliar Vendas'!D:G,2,0)</f>
        <v>Produto 02</v>
      </c>
      <c r="U87">
        <v>112</v>
      </c>
      <c r="V87">
        <v>15.2</v>
      </c>
      <c r="W87">
        <v>0</v>
      </c>
      <c r="X87">
        <v>10.23</v>
      </c>
      <c r="Y87" s="3">
        <v>1702.4</v>
      </c>
      <c r="Z87">
        <v>41</v>
      </c>
      <c r="AA87" t="s">
        <v>127</v>
      </c>
      <c r="AB87">
        <v>0</v>
      </c>
      <c r="AC87">
        <v>0</v>
      </c>
      <c r="AD87" t="s">
        <v>58</v>
      </c>
      <c r="AH87" s="2">
        <v>44469.381944444445</v>
      </c>
      <c r="AI87">
        <v>0</v>
      </c>
      <c r="AJ87">
        <v>0</v>
      </c>
      <c r="AK87" s="30" t="str">
        <f ca="1">VLOOKUP(T87,'Auxiliar Vendas'!E:F,2,FALSE)</f>
        <v>Produto 02</v>
      </c>
      <c r="AL87" s="31">
        <f ca="1">U87*VLOOKUP(T87,'Auxiliar Vendas'!E:G,3,FALSE)</f>
        <v>30.240000000000002</v>
      </c>
    </row>
    <row r="88" spans="1:38">
      <c r="A88">
        <v>15272077365</v>
      </c>
      <c r="B88">
        <v>49</v>
      </c>
      <c r="D88" s="1">
        <v>44469</v>
      </c>
      <c r="E88">
        <v>15179581888</v>
      </c>
      <c r="F88" t="str">
        <f ca="1">VLOOKUP(RANDBETWEEN(1,20),'DBO Compras'!AA:AC,3,0)</f>
        <v>Comprador 11</v>
      </c>
      <c r="G88" t="s">
        <v>54</v>
      </c>
      <c r="H88" t="s">
        <v>55</v>
      </c>
      <c r="I88" t="s">
        <v>56</v>
      </c>
      <c r="J88" t="s">
        <v>39</v>
      </c>
      <c r="K88">
        <v>81350610</v>
      </c>
      <c r="L88" t="s">
        <v>40</v>
      </c>
      <c r="M88" t="s">
        <v>57</v>
      </c>
      <c r="N88">
        <v>41996849234</v>
      </c>
      <c r="O88">
        <v>0</v>
      </c>
      <c r="P88">
        <v>0</v>
      </c>
      <c r="R88" t="s">
        <v>42</v>
      </c>
      <c r="S88">
        <v>15016080333</v>
      </c>
      <c r="T88" t="str">
        <f ca="1">VLOOKUP(RANDBETWEEN(1,17),'Auxiliar Vendas'!D:G,2,0)</f>
        <v>Produto 16</v>
      </c>
      <c r="U88">
        <v>200</v>
      </c>
      <c r="V88">
        <v>15.5</v>
      </c>
      <c r="W88">
        <v>0</v>
      </c>
      <c r="X88">
        <v>10.747</v>
      </c>
      <c r="Y88" s="3">
        <v>3100</v>
      </c>
      <c r="Z88">
        <v>41</v>
      </c>
      <c r="AA88" t="s">
        <v>80</v>
      </c>
      <c r="AB88">
        <v>0</v>
      </c>
      <c r="AC88">
        <v>0</v>
      </c>
      <c r="AD88" t="s">
        <v>58</v>
      </c>
      <c r="AH88" s="2">
        <v>44469.381944444445</v>
      </c>
      <c r="AI88">
        <v>0</v>
      </c>
      <c r="AJ88">
        <v>0</v>
      </c>
      <c r="AK88" s="30" t="str">
        <f ca="1">VLOOKUP(T88,'Auxiliar Vendas'!E:F,2,FALSE)</f>
        <v>Produto 16</v>
      </c>
      <c r="AL88" s="31">
        <f ca="1">U88*VLOOKUP(T88,'Auxiliar Vendas'!E:G,3,FALSE)</f>
        <v>254</v>
      </c>
    </row>
    <row r="89" spans="1:38">
      <c r="A89">
        <v>15272077365</v>
      </c>
      <c r="B89">
        <v>49</v>
      </c>
      <c r="D89" s="1">
        <v>44469</v>
      </c>
      <c r="E89">
        <v>15179581888</v>
      </c>
      <c r="F89" t="str">
        <f ca="1">VLOOKUP(RANDBETWEEN(1,20),'DBO Compras'!AA:AC,3,0)</f>
        <v>Comprador 06</v>
      </c>
      <c r="G89" t="s">
        <v>54</v>
      </c>
      <c r="H89" t="s">
        <v>55</v>
      </c>
      <c r="I89" t="s">
        <v>56</v>
      </c>
      <c r="J89" t="s">
        <v>39</v>
      </c>
      <c r="K89">
        <v>81350610</v>
      </c>
      <c r="L89" t="s">
        <v>40</v>
      </c>
      <c r="M89" t="s">
        <v>57</v>
      </c>
      <c r="N89">
        <v>41996849234</v>
      </c>
      <c r="O89">
        <v>0</v>
      </c>
      <c r="P89">
        <v>0</v>
      </c>
      <c r="R89" t="s">
        <v>42</v>
      </c>
      <c r="S89">
        <v>15016087271</v>
      </c>
      <c r="T89" t="str">
        <f ca="1">VLOOKUP(RANDBETWEEN(1,17),'Auxiliar Vendas'!D:G,2,0)</f>
        <v>Produto 06</v>
      </c>
      <c r="U89">
        <v>403</v>
      </c>
      <c r="V89">
        <v>18.2</v>
      </c>
      <c r="W89">
        <v>0</v>
      </c>
      <c r="X89">
        <v>14.4596</v>
      </c>
      <c r="Y89" s="3">
        <v>7334.6</v>
      </c>
      <c r="Z89">
        <v>41</v>
      </c>
      <c r="AA89" t="s">
        <v>64</v>
      </c>
      <c r="AB89">
        <v>0</v>
      </c>
      <c r="AC89">
        <v>0</v>
      </c>
      <c r="AD89" t="s">
        <v>58</v>
      </c>
      <c r="AH89" s="2">
        <v>44469.381944444445</v>
      </c>
      <c r="AI89">
        <v>0</v>
      </c>
      <c r="AJ89">
        <v>0</v>
      </c>
      <c r="AK89" s="30" t="str">
        <f ca="1">VLOOKUP(T89,'Auxiliar Vendas'!E:F,2,FALSE)</f>
        <v>Produto 06</v>
      </c>
      <c r="AL89" s="31">
        <f ca="1">U89*VLOOKUP(T89,'Auxiliar Vendas'!E:G,3,FALSE)</f>
        <v>201.5</v>
      </c>
    </row>
    <row r="90" spans="1:38">
      <c r="A90">
        <v>15272077365</v>
      </c>
      <c r="B90">
        <v>49</v>
      </c>
      <c r="D90" s="1">
        <v>44469</v>
      </c>
      <c r="E90">
        <v>15179581888</v>
      </c>
      <c r="F90" t="str">
        <f ca="1">VLOOKUP(RANDBETWEEN(1,20),'DBO Compras'!AA:AC,3,0)</f>
        <v>Comprador 05</v>
      </c>
      <c r="G90" t="s">
        <v>54</v>
      </c>
      <c r="H90" t="s">
        <v>55</v>
      </c>
      <c r="I90" t="s">
        <v>56</v>
      </c>
      <c r="J90" t="s">
        <v>39</v>
      </c>
      <c r="K90">
        <v>81350610</v>
      </c>
      <c r="L90" t="s">
        <v>40</v>
      </c>
      <c r="M90" t="s">
        <v>57</v>
      </c>
      <c r="N90">
        <v>41996849234</v>
      </c>
      <c r="O90">
        <v>0</v>
      </c>
      <c r="P90">
        <v>0</v>
      </c>
      <c r="R90" t="s">
        <v>42</v>
      </c>
      <c r="S90">
        <v>15015867005</v>
      </c>
      <c r="T90" t="str">
        <f ca="1">VLOOKUP(RANDBETWEEN(1,17),'Auxiliar Vendas'!D:G,2,0)</f>
        <v>Produto 16</v>
      </c>
      <c r="U90">
        <v>15</v>
      </c>
      <c r="V90">
        <v>16.2</v>
      </c>
      <c r="W90">
        <v>0</v>
      </c>
      <c r="X90">
        <v>13.763999999999999</v>
      </c>
      <c r="Y90">
        <v>243</v>
      </c>
      <c r="Z90">
        <v>41</v>
      </c>
      <c r="AA90" t="s">
        <v>87</v>
      </c>
      <c r="AB90">
        <v>0</v>
      </c>
      <c r="AC90">
        <v>0</v>
      </c>
      <c r="AD90" t="s">
        <v>58</v>
      </c>
      <c r="AH90" s="2">
        <v>44469.381944444445</v>
      </c>
      <c r="AI90">
        <v>0</v>
      </c>
      <c r="AJ90">
        <v>0</v>
      </c>
      <c r="AK90" s="30" t="str">
        <f ca="1">VLOOKUP(T90,'Auxiliar Vendas'!E:F,2,FALSE)</f>
        <v>Produto 16</v>
      </c>
      <c r="AL90" s="31">
        <f ca="1">U90*VLOOKUP(T90,'Auxiliar Vendas'!E:G,3,FALSE)</f>
        <v>19.05</v>
      </c>
    </row>
    <row r="91" spans="1:38">
      <c r="A91">
        <v>15272077365</v>
      </c>
      <c r="B91">
        <v>49</v>
      </c>
      <c r="D91" s="1">
        <v>44469</v>
      </c>
      <c r="E91">
        <v>15179581888</v>
      </c>
      <c r="F91" t="str">
        <f ca="1">VLOOKUP(RANDBETWEEN(1,20),'DBO Compras'!AA:AC,3,0)</f>
        <v>Comprador 08</v>
      </c>
      <c r="G91" t="s">
        <v>54</v>
      </c>
      <c r="H91" t="s">
        <v>55</v>
      </c>
      <c r="I91" t="s">
        <v>56</v>
      </c>
      <c r="J91" t="s">
        <v>39</v>
      </c>
      <c r="K91">
        <v>81350610</v>
      </c>
      <c r="L91" t="s">
        <v>40</v>
      </c>
      <c r="M91" t="s">
        <v>57</v>
      </c>
      <c r="N91">
        <v>41996849234</v>
      </c>
      <c r="O91">
        <v>0</v>
      </c>
      <c r="P91">
        <v>0</v>
      </c>
      <c r="R91" t="s">
        <v>42</v>
      </c>
      <c r="S91">
        <v>15015867005</v>
      </c>
      <c r="T91" t="str">
        <f ca="1">VLOOKUP(RANDBETWEEN(1,17),'Auxiliar Vendas'!D:G,2,0)</f>
        <v>Produto 13</v>
      </c>
      <c r="U91">
        <v>160</v>
      </c>
      <c r="V91">
        <v>17</v>
      </c>
      <c r="W91">
        <v>0</v>
      </c>
      <c r="X91">
        <v>13.763999999999999</v>
      </c>
      <c r="Y91" s="3">
        <v>2720</v>
      </c>
      <c r="Z91">
        <v>41</v>
      </c>
      <c r="AA91" t="s">
        <v>87</v>
      </c>
      <c r="AB91">
        <v>0</v>
      </c>
      <c r="AC91">
        <v>0</v>
      </c>
      <c r="AD91" t="s">
        <v>58</v>
      </c>
      <c r="AH91" s="2">
        <v>44469.381944444445</v>
      </c>
      <c r="AI91">
        <v>0</v>
      </c>
      <c r="AJ91">
        <v>0</v>
      </c>
      <c r="AK91" s="30" t="str">
        <f ca="1">VLOOKUP(T91,'Auxiliar Vendas'!E:F,2,FALSE)</f>
        <v>Produto 13</v>
      </c>
      <c r="AL91" s="31">
        <f ca="1">U91*VLOOKUP(T91,'Auxiliar Vendas'!E:G,3,FALSE)</f>
        <v>224</v>
      </c>
    </row>
    <row r="92" spans="1:38">
      <c r="A92">
        <v>15272077365</v>
      </c>
      <c r="B92">
        <v>49</v>
      </c>
      <c r="D92" s="1">
        <v>44469</v>
      </c>
      <c r="E92">
        <v>15179581888</v>
      </c>
      <c r="F92" t="str">
        <f ca="1">VLOOKUP(RANDBETWEEN(1,20),'DBO Compras'!AA:AC,3,0)</f>
        <v>Comprador 01</v>
      </c>
      <c r="G92" t="s">
        <v>54</v>
      </c>
      <c r="H92" t="s">
        <v>55</v>
      </c>
      <c r="I92" t="s">
        <v>56</v>
      </c>
      <c r="J92" t="s">
        <v>39</v>
      </c>
      <c r="K92">
        <v>81350610</v>
      </c>
      <c r="L92" t="s">
        <v>40</v>
      </c>
      <c r="M92" t="s">
        <v>57</v>
      </c>
      <c r="N92">
        <v>41996849234</v>
      </c>
      <c r="O92">
        <v>0</v>
      </c>
      <c r="P92">
        <v>0</v>
      </c>
      <c r="R92" t="s">
        <v>42</v>
      </c>
      <c r="S92">
        <v>15016093155</v>
      </c>
      <c r="T92" t="str">
        <f ca="1">VLOOKUP(RANDBETWEEN(1,17),'Auxiliar Vendas'!D:G,2,0)</f>
        <v>Produto 11</v>
      </c>
      <c r="U92">
        <v>444</v>
      </c>
      <c r="V92">
        <v>18.2</v>
      </c>
      <c r="W92">
        <v>0</v>
      </c>
      <c r="X92">
        <v>14.4596</v>
      </c>
      <c r="Y92" s="3">
        <v>8080.8</v>
      </c>
      <c r="Z92">
        <v>41</v>
      </c>
      <c r="AA92" t="s">
        <v>65</v>
      </c>
      <c r="AB92">
        <v>0</v>
      </c>
      <c r="AC92">
        <v>0</v>
      </c>
      <c r="AD92" t="s">
        <v>58</v>
      </c>
      <c r="AH92" s="2">
        <v>44469.381944444445</v>
      </c>
      <c r="AI92">
        <v>0</v>
      </c>
      <c r="AJ92">
        <v>0</v>
      </c>
      <c r="AK92" s="30" t="str">
        <f ca="1">VLOOKUP(T92,'Auxiliar Vendas'!E:F,2,FALSE)</f>
        <v>Produto 11</v>
      </c>
      <c r="AL92" s="31">
        <f ca="1">U92*VLOOKUP(T92,'Auxiliar Vendas'!E:G,3,FALSE)</f>
        <v>488.40000000000003</v>
      </c>
    </row>
    <row r="93" spans="1:38">
      <c r="A93">
        <v>15272077365</v>
      </c>
      <c r="B93">
        <v>49</v>
      </c>
      <c r="D93" s="1">
        <v>44469</v>
      </c>
      <c r="E93">
        <v>15179581888</v>
      </c>
      <c r="F93" t="str">
        <f ca="1">VLOOKUP(RANDBETWEEN(1,20),'DBO Compras'!AA:AC,3,0)</f>
        <v>Comprador 10</v>
      </c>
      <c r="G93" t="s">
        <v>54</v>
      </c>
      <c r="H93" t="s">
        <v>55</v>
      </c>
      <c r="I93" t="s">
        <v>56</v>
      </c>
      <c r="J93" t="s">
        <v>39</v>
      </c>
      <c r="K93">
        <v>81350610</v>
      </c>
      <c r="L93" t="s">
        <v>40</v>
      </c>
      <c r="M93" t="s">
        <v>57</v>
      </c>
      <c r="N93">
        <v>41996849234</v>
      </c>
      <c r="O93">
        <v>0</v>
      </c>
      <c r="P93">
        <v>0</v>
      </c>
      <c r="R93" t="s">
        <v>42</v>
      </c>
      <c r="S93">
        <v>15016093155</v>
      </c>
      <c r="T93" t="str">
        <f ca="1">VLOOKUP(RANDBETWEEN(1,17),'Auxiliar Vendas'!D:G,2,0)</f>
        <v>Produto 07</v>
      </c>
      <c r="U93">
        <v>500</v>
      </c>
      <c r="V93">
        <v>18.649999999999999</v>
      </c>
      <c r="W93">
        <v>0</v>
      </c>
      <c r="X93">
        <v>14.4596</v>
      </c>
      <c r="Y93" s="3">
        <v>9325</v>
      </c>
      <c r="Z93">
        <v>41</v>
      </c>
      <c r="AA93" t="s">
        <v>65</v>
      </c>
      <c r="AB93">
        <v>0</v>
      </c>
      <c r="AC93">
        <v>0</v>
      </c>
      <c r="AD93" t="s">
        <v>58</v>
      </c>
      <c r="AH93" s="2">
        <v>44469.381944444445</v>
      </c>
      <c r="AI93">
        <v>0</v>
      </c>
      <c r="AJ93">
        <v>0</v>
      </c>
      <c r="AK93" s="30" t="str">
        <f ca="1">VLOOKUP(T93,'Auxiliar Vendas'!E:F,2,FALSE)</f>
        <v>Produto 07</v>
      </c>
      <c r="AL93" s="31">
        <f ca="1">U93*VLOOKUP(T93,'Auxiliar Vendas'!E:G,3,FALSE)</f>
        <v>550</v>
      </c>
    </row>
    <row r="94" spans="1:38">
      <c r="A94">
        <v>15272077365</v>
      </c>
      <c r="B94">
        <v>49</v>
      </c>
      <c r="D94" s="1">
        <v>44469</v>
      </c>
      <c r="E94">
        <v>15179581888</v>
      </c>
      <c r="F94" t="str">
        <f ca="1">VLOOKUP(RANDBETWEEN(1,20),'DBO Compras'!AA:AC,3,0)</f>
        <v>Comprador 06</v>
      </c>
      <c r="G94" t="s">
        <v>54</v>
      </c>
      <c r="H94" t="s">
        <v>55</v>
      </c>
      <c r="I94" t="s">
        <v>56</v>
      </c>
      <c r="J94" t="s">
        <v>39</v>
      </c>
      <c r="K94">
        <v>81350610</v>
      </c>
      <c r="L94" t="s">
        <v>40</v>
      </c>
      <c r="M94" t="s">
        <v>57</v>
      </c>
      <c r="N94">
        <v>41996849234</v>
      </c>
      <c r="O94">
        <v>0</v>
      </c>
      <c r="P94">
        <v>0</v>
      </c>
      <c r="R94" t="s">
        <v>42</v>
      </c>
      <c r="S94">
        <v>15015886084</v>
      </c>
      <c r="T94" t="str">
        <f ca="1">VLOOKUP(RANDBETWEEN(1,17),'Auxiliar Vendas'!D:G,2,0)</f>
        <v>Produto 11</v>
      </c>
      <c r="U94">
        <v>100</v>
      </c>
      <c r="V94">
        <v>17.75</v>
      </c>
      <c r="W94">
        <v>0</v>
      </c>
      <c r="X94">
        <v>15.996</v>
      </c>
      <c r="Y94" s="3">
        <v>1775</v>
      </c>
      <c r="Z94">
        <v>41</v>
      </c>
      <c r="AA94" t="s">
        <v>66</v>
      </c>
      <c r="AB94">
        <v>0</v>
      </c>
      <c r="AC94">
        <v>0</v>
      </c>
      <c r="AD94" t="s">
        <v>58</v>
      </c>
      <c r="AH94" s="2">
        <v>44469.381944444445</v>
      </c>
      <c r="AI94">
        <v>0</v>
      </c>
      <c r="AJ94">
        <v>0</v>
      </c>
      <c r="AK94" s="30" t="str">
        <f ca="1">VLOOKUP(T94,'Auxiliar Vendas'!E:F,2,FALSE)</f>
        <v>Produto 11</v>
      </c>
      <c r="AL94" s="31">
        <f ca="1">U94*VLOOKUP(T94,'Auxiliar Vendas'!E:G,3,FALSE)</f>
        <v>110.00000000000001</v>
      </c>
    </row>
    <row r="95" spans="1:38">
      <c r="A95">
        <v>15272077365</v>
      </c>
      <c r="B95">
        <v>49</v>
      </c>
      <c r="D95" s="1">
        <v>44469</v>
      </c>
      <c r="E95">
        <v>15179581888</v>
      </c>
      <c r="F95" t="str">
        <f ca="1">VLOOKUP(RANDBETWEEN(1,20),'DBO Compras'!AA:AC,3,0)</f>
        <v>Comprador 12</v>
      </c>
      <c r="G95" t="s">
        <v>54</v>
      </c>
      <c r="H95" t="s">
        <v>55</v>
      </c>
      <c r="I95" t="s">
        <v>56</v>
      </c>
      <c r="J95" t="s">
        <v>39</v>
      </c>
      <c r="K95">
        <v>81350610</v>
      </c>
      <c r="L95" t="s">
        <v>40</v>
      </c>
      <c r="M95" t="s">
        <v>57</v>
      </c>
      <c r="N95">
        <v>41996849234</v>
      </c>
      <c r="O95">
        <v>0</v>
      </c>
      <c r="P95">
        <v>0</v>
      </c>
      <c r="R95" t="s">
        <v>42</v>
      </c>
      <c r="S95">
        <v>15015886084</v>
      </c>
      <c r="T95" t="str">
        <f ca="1">VLOOKUP(RANDBETWEEN(1,17),'Auxiliar Vendas'!D:G,2,0)</f>
        <v>Produto 09</v>
      </c>
      <c r="U95">
        <v>190</v>
      </c>
      <c r="V95">
        <v>19.8</v>
      </c>
      <c r="W95">
        <v>0</v>
      </c>
      <c r="X95">
        <v>15.996</v>
      </c>
      <c r="Y95" s="3">
        <v>3762</v>
      </c>
      <c r="Z95">
        <v>41</v>
      </c>
      <c r="AA95" t="s">
        <v>66</v>
      </c>
      <c r="AB95">
        <v>0</v>
      </c>
      <c r="AC95">
        <v>0</v>
      </c>
      <c r="AD95" t="s">
        <v>58</v>
      </c>
      <c r="AH95" s="2">
        <v>44469.381944444445</v>
      </c>
      <c r="AI95">
        <v>0</v>
      </c>
      <c r="AJ95">
        <v>0</v>
      </c>
      <c r="AK95" s="30" t="str">
        <f ca="1">VLOOKUP(T95,'Auxiliar Vendas'!E:F,2,FALSE)</f>
        <v>Produto 09</v>
      </c>
      <c r="AL95" s="31">
        <f ca="1">U95*VLOOKUP(T95,'Auxiliar Vendas'!E:G,3,FALSE)</f>
        <v>209.00000000000003</v>
      </c>
    </row>
    <row r="96" spans="1:38">
      <c r="A96">
        <v>15272077365</v>
      </c>
      <c r="B96">
        <v>49</v>
      </c>
      <c r="D96" s="1">
        <v>44469</v>
      </c>
      <c r="E96">
        <v>15179581888</v>
      </c>
      <c r="F96" t="str">
        <f ca="1">VLOOKUP(RANDBETWEEN(1,20),'DBO Compras'!AA:AC,3,0)</f>
        <v>Comprador 13</v>
      </c>
      <c r="G96" t="s">
        <v>54</v>
      </c>
      <c r="H96" t="s">
        <v>55</v>
      </c>
      <c r="I96" t="s">
        <v>56</v>
      </c>
      <c r="J96" t="s">
        <v>39</v>
      </c>
      <c r="K96">
        <v>81350610</v>
      </c>
      <c r="L96" t="s">
        <v>40</v>
      </c>
      <c r="M96" t="s">
        <v>57</v>
      </c>
      <c r="N96">
        <v>41996849234</v>
      </c>
      <c r="O96">
        <v>0</v>
      </c>
      <c r="P96">
        <v>0</v>
      </c>
      <c r="R96" t="s">
        <v>42</v>
      </c>
      <c r="S96">
        <v>15016099089</v>
      </c>
      <c r="T96" t="str">
        <f ca="1">VLOOKUP(RANDBETWEEN(1,17),'Auxiliar Vendas'!D:G,2,0)</f>
        <v>Produto 12</v>
      </c>
      <c r="U96" s="3">
        <v>1000</v>
      </c>
      <c r="V96">
        <v>21</v>
      </c>
      <c r="W96">
        <v>0</v>
      </c>
      <c r="X96">
        <v>16.804400000000001</v>
      </c>
      <c r="Y96" s="3">
        <v>21000</v>
      </c>
      <c r="Z96">
        <v>41</v>
      </c>
      <c r="AA96" t="s">
        <v>79</v>
      </c>
      <c r="AB96">
        <v>0</v>
      </c>
      <c r="AC96">
        <v>0</v>
      </c>
      <c r="AD96" t="s">
        <v>58</v>
      </c>
      <c r="AH96" s="2">
        <v>44469.381944444445</v>
      </c>
      <c r="AI96">
        <v>0</v>
      </c>
      <c r="AJ96">
        <v>0</v>
      </c>
      <c r="AK96" s="30" t="str">
        <f ca="1">VLOOKUP(T96,'Auxiliar Vendas'!E:F,2,FALSE)</f>
        <v>Produto 12</v>
      </c>
      <c r="AL96" s="31">
        <f ca="1">U96*VLOOKUP(T96,'Auxiliar Vendas'!E:G,3,FALSE)</f>
        <v>1400</v>
      </c>
    </row>
    <row r="97" spans="1:38">
      <c r="A97">
        <v>15272077365</v>
      </c>
      <c r="B97">
        <v>49</v>
      </c>
      <c r="D97" s="1">
        <v>44469</v>
      </c>
      <c r="E97">
        <v>15179581888</v>
      </c>
      <c r="F97" t="str">
        <f ca="1">VLOOKUP(RANDBETWEEN(1,20),'DBO Compras'!AA:AC,3,0)</f>
        <v>Comprador 06</v>
      </c>
      <c r="G97" t="s">
        <v>54</v>
      </c>
      <c r="H97" t="s">
        <v>55</v>
      </c>
      <c r="I97" t="s">
        <v>56</v>
      </c>
      <c r="J97" t="s">
        <v>39</v>
      </c>
      <c r="K97">
        <v>81350610</v>
      </c>
      <c r="L97" t="s">
        <v>40</v>
      </c>
      <c r="M97" t="s">
        <v>57</v>
      </c>
      <c r="N97">
        <v>41996849234</v>
      </c>
      <c r="O97">
        <v>0</v>
      </c>
      <c r="P97">
        <v>0</v>
      </c>
      <c r="R97" t="s">
        <v>42</v>
      </c>
      <c r="S97">
        <v>15016099089</v>
      </c>
      <c r="T97" t="str">
        <f ca="1">VLOOKUP(RANDBETWEEN(1,17),'Auxiliar Vendas'!D:G,2,0)</f>
        <v>Produto 12</v>
      </c>
      <c r="U97">
        <v>485</v>
      </c>
      <c r="V97">
        <v>21.3</v>
      </c>
      <c r="W97">
        <v>0</v>
      </c>
      <c r="X97">
        <v>16.804400000000001</v>
      </c>
      <c r="Y97" s="3">
        <v>10330.5</v>
      </c>
      <c r="Z97">
        <v>41</v>
      </c>
      <c r="AA97" t="s">
        <v>79</v>
      </c>
      <c r="AB97">
        <v>0</v>
      </c>
      <c r="AC97">
        <v>0</v>
      </c>
      <c r="AD97" t="s">
        <v>58</v>
      </c>
      <c r="AH97" s="2">
        <v>44469.381944444445</v>
      </c>
      <c r="AI97">
        <v>0</v>
      </c>
      <c r="AJ97">
        <v>0</v>
      </c>
      <c r="AK97" s="30" t="str">
        <f ca="1">VLOOKUP(T97,'Auxiliar Vendas'!E:F,2,FALSE)</f>
        <v>Produto 12</v>
      </c>
      <c r="AL97" s="31">
        <f ca="1">U97*VLOOKUP(T97,'Auxiliar Vendas'!E:G,3,FALSE)</f>
        <v>679</v>
      </c>
    </row>
    <row r="98" spans="1:38">
      <c r="A98">
        <v>15272077365</v>
      </c>
      <c r="B98">
        <v>49</v>
      </c>
      <c r="D98" s="1">
        <v>44469</v>
      </c>
      <c r="E98">
        <v>15179581888</v>
      </c>
      <c r="F98" t="str">
        <f ca="1">VLOOKUP(RANDBETWEEN(1,20),'DBO Compras'!AA:AC,3,0)</f>
        <v>Comprador 17</v>
      </c>
      <c r="G98" t="s">
        <v>54</v>
      </c>
      <c r="H98" t="s">
        <v>55</v>
      </c>
      <c r="I98" t="s">
        <v>56</v>
      </c>
      <c r="J98" t="s">
        <v>39</v>
      </c>
      <c r="K98">
        <v>81350610</v>
      </c>
      <c r="L98" t="s">
        <v>40</v>
      </c>
      <c r="M98" t="s">
        <v>57</v>
      </c>
      <c r="N98">
        <v>41996849234</v>
      </c>
      <c r="O98">
        <v>0</v>
      </c>
      <c r="P98">
        <v>0</v>
      </c>
      <c r="R98" t="s">
        <v>42</v>
      </c>
      <c r="S98">
        <v>15016087271</v>
      </c>
      <c r="T98" t="str">
        <f ca="1">VLOOKUP(RANDBETWEEN(1,17),'Auxiliar Vendas'!D:G,2,0)</f>
        <v>Produto 07</v>
      </c>
      <c r="U98">
        <v>60</v>
      </c>
      <c r="V98">
        <v>13.99</v>
      </c>
      <c r="W98">
        <v>0</v>
      </c>
      <c r="X98">
        <v>14.4596</v>
      </c>
      <c r="Y98">
        <v>839.4</v>
      </c>
      <c r="Z98">
        <v>41</v>
      </c>
      <c r="AA98" t="s">
        <v>64</v>
      </c>
      <c r="AB98">
        <v>0</v>
      </c>
      <c r="AC98">
        <v>0</v>
      </c>
      <c r="AD98" t="s">
        <v>58</v>
      </c>
      <c r="AH98" s="2">
        <v>44469.381944444445</v>
      </c>
      <c r="AI98">
        <v>0</v>
      </c>
      <c r="AJ98">
        <v>0</v>
      </c>
      <c r="AK98" s="30" t="str">
        <f ca="1">VLOOKUP(T98,'Auxiliar Vendas'!E:F,2,FALSE)</f>
        <v>Produto 07</v>
      </c>
      <c r="AL98" s="31">
        <f ca="1">U98*VLOOKUP(T98,'Auxiliar Vendas'!E:G,3,FALSE)</f>
        <v>66</v>
      </c>
    </row>
    <row r="99" spans="1:38">
      <c r="A99">
        <v>15272077365</v>
      </c>
      <c r="B99">
        <v>49</v>
      </c>
      <c r="D99" s="1">
        <v>44469</v>
      </c>
      <c r="E99">
        <v>15179581888</v>
      </c>
      <c r="F99" t="str">
        <f ca="1">VLOOKUP(RANDBETWEEN(1,20),'DBO Compras'!AA:AC,3,0)</f>
        <v>Comprador 04</v>
      </c>
      <c r="G99" t="s">
        <v>54</v>
      </c>
      <c r="H99" t="s">
        <v>55</v>
      </c>
      <c r="I99" t="s">
        <v>56</v>
      </c>
      <c r="J99" t="s">
        <v>39</v>
      </c>
      <c r="K99">
        <v>81350610</v>
      </c>
      <c r="L99" t="s">
        <v>40</v>
      </c>
      <c r="M99" t="s">
        <v>57</v>
      </c>
      <c r="N99">
        <v>41996849234</v>
      </c>
      <c r="O99">
        <v>0</v>
      </c>
      <c r="P99">
        <v>0</v>
      </c>
      <c r="R99" t="s">
        <v>42</v>
      </c>
      <c r="S99">
        <v>15016080333</v>
      </c>
      <c r="T99" t="str">
        <f ca="1">VLOOKUP(RANDBETWEEN(1,17),'Auxiliar Vendas'!D:G,2,0)</f>
        <v>Produto 02</v>
      </c>
      <c r="U99">
        <v>35</v>
      </c>
      <c r="V99">
        <v>16.2</v>
      </c>
      <c r="W99">
        <v>0</v>
      </c>
      <c r="X99">
        <v>10.747</v>
      </c>
      <c r="Y99">
        <v>567</v>
      </c>
      <c r="Z99">
        <v>41</v>
      </c>
      <c r="AA99" t="s">
        <v>80</v>
      </c>
      <c r="AB99">
        <v>0</v>
      </c>
      <c r="AC99">
        <v>0</v>
      </c>
      <c r="AD99" t="s">
        <v>58</v>
      </c>
      <c r="AH99" s="2">
        <v>44469.381944444445</v>
      </c>
      <c r="AI99">
        <v>0</v>
      </c>
      <c r="AJ99">
        <v>0</v>
      </c>
      <c r="AK99" s="30" t="str">
        <f ca="1">VLOOKUP(T99,'Auxiliar Vendas'!E:F,2,FALSE)</f>
        <v>Produto 02</v>
      </c>
      <c r="AL99" s="31">
        <f ca="1">U99*VLOOKUP(T99,'Auxiliar Vendas'!E:G,3,FALSE)</f>
        <v>9.4500000000000011</v>
      </c>
    </row>
    <row r="100" spans="1:38">
      <c r="A100">
        <v>15279752604</v>
      </c>
      <c r="B100">
        <v>61</v>
      </c>
      <c r="D100" s="1">
        <v>44469</v>
      </c>
      <c r="E100">
        <v>15279322250</v>
      </c>
      <c r="F100" t="str">
        <f ca="1">VLOOKUP(RANDBETWEEN(1,20),'DBO Compras'!AA:AC,3,0)</f>
        <v>Comprador 13</v>
      </c>
      <c r="G100" t="s">
        <v>83</v>
      </c>
      <c r="H100" t="s">
        <v>84</v>
      </c>
      <c r="I100" t="s">
        <v>85</v>
      </c>
      <c r="J100" t="s">
        <v>39</v>
      </c>
      <c r="K100">
        <v>80220100</v>
      </c>
      <c r="L100" t="s">
        <v>40</v>
      </c>
      <c r="M100" t="s">
        <v>86</v>
      </c>
      <c r="N100">
        <v>41993330017</v>
      </c>
      <c r="O100">
        <v>0</v>
      </c>
      <c r="P100">
        <v>0</v>
      </c>
      <c r="R100" t="s">
        <v>42</v>
      </c>
      <c r="S100">
        <v>15016043939</v>
      </c>
      <c r="T100" t="str">
        <f ca="1">VLOOKUP(RANDBETWEEN(1,17),'Auxiliar Vendas'!D:G,2,0)</f>
        <v>Produto 02</v>
      </c>
      <c r="U100" s="3">
        <v>1700</v>
      </c>
      <c r="V100">
        <v>13.9</v>
      </c>
      <c r="W100">
        <v>0</v>
      </c>
      <c r="X100">
        <v>10.747</v>
      </c>
      <c r="Y100" s="3">
        <v>23630</v>
      </c>
      <c r="Z100">
        <v>68</v>
      </c>
      <c r="AA100" t="s">
        <v>50</v>
      </c>
      <c r="AB100">
        <v>0</v>
      </c>
      <c r="AC100">
        <v>0</v>
      </c>
      <c r="AH100" s="2">
        <v>44469.469444444447</v>
      </c>
      <c r="AI100">
        <v>0</v>
      </c>
      <c r="AJ100">
        <v>0</v>
      </c>
      <c r="AK100" s="30" t="str">
        <f ca="1">VLOOKUP(T100,'Auxiliar Vendas'!E:F,2,FALSE)</f>
        <v>Produto 02</v>
      </c>
      <c r="AL100" s="31">
        <f ca="1">U100*VLOOKUP(T100,'Auxiliar Vendas'!E:G,3,FALSE)</f>
        <v>459.00000000000006</v>
      </c>
    </row>
    <row r="101" spans="1:38">
      <c r="A101">
        <v>15279752604</v>
      </c>
      <c r="B101">
        <v>61</v>
      </c>
      <c r="D101" s="1">
        <v>44469</v>
      </c>
      <c r="E101">
        <v>15279322250</v>
      </c>
      <c r="F101" t="str">
        <f ca="1">VLOOKUP(RANDBETWEEN(1,20),'DBO Compras'!AA:AC,3,0)</f>
        <v>Comprador 04</v>
      </c>
      <c r="G101" t="s">
        <v>83</v>
      </c>
      <c r="H101" t="s">
        <v>84</v>
      </c>
      <c r="I101" t="s">
        <v>85</v>
      </c>
      <c r="J101" t="s">
        <v>39</v>
      </c>
      <c r="K101">
        <v>80220100</v>
      </c>
      <c r="L101" t="s">
        <v>40</v>
      </c>
      <c r="M101" t="s">
        <v>86</v>
      </c>
      <c r="N101">
        <v>41993330017</v>
      </c>
      <c r="O101">
        <v>0</v>
      </c>
      <c r="P101">
        <v>0</v>
      </c>
      <c r="R101" t="s">
        <v>42</v>
      </c>
      <c r="S101">
        <v>15015353721</v>
      </c>
      <c r="T101" t="str">
        <f ca="1">VLOOKUP(RANDBETWEEN(1,17),'Auxiliar Vendas'!D:G,2,0)</f>
        <v>Produto 17</v>
      </c>
      <c r="U101">
        <v>900</v>
      </c>
      <c r="V101">
        <v>8.1999999999999993</v>
      </c>
      <c r="W101">
        <v>0</v>
      </c>
      <c r="X101">
        <v>5.58</v>
      </c>
      <c r="Y101" s="3">
        <v>7380</v>
      </c>
      <c r="Z101">
        <v>68</v>
      </c>
      <c r="AA101" t="s">
        <v>44</v>
      </c>
      <c r="AB101">
        <v>0</v>
      </c>
      <c r="AC101">
        <v>0</v>
      </c>
      <c r="AH101" s="2">
        <v>44469.469444444447</v>
      </c>
      <c r="AI101">
        <v>0</v>
      </c>
      <c r="AJ101">
        <v>0</v>
      </c>
      <c r="AK101" s="30" t="str">
        <f ca="1">VLOOKUP(T101,'Auxiliar Vendas'!E:F,2,FALSE)</f>
        <v>Produto 17</v>
      </c>
      <c r="AL101" s="31">
        <f ca="1">U101*VLOOKUP(T101,'Auxiliar Vendas'!E:G,3,FALSE)</f>
        <v>1278</v>
      </c>
    </row>
    <row r="102" spans="1:38">
      <c r="A102">
        <v>15279752604</v>
      </c>
      <c r="B102">
        <v>61</v>
      </c>
      <c r="D102" s="1">
        <v>44469</v>
      </c>
      <c r="E102">
        <v>15279322250</v>
      </c>
      <c r="F102" t="str">
        <f ca="1">VLOOKUP(RANDBETWEEN(1,20),'DBO Compras'!AA:AC,3,0)</f>
        <v>Comprador 13</v>
      </c>
      <c r="G102" t="s">
        <v>83</v>
      </c>
      <c r="H102" t="s">
        <v>84</v>
      </c>
      <c r="I102" t="s">
        <v>85</v>
      </c>
      <c r="J102" t="s">
        <v>39</v>
      </c>
      <c r="K102">
        <v>80220100</v>
      </c>
      <c r="L102" t="s">
        <v>40</v>
      </c>
      <c r="M102" t="s">
        <v>86</v>
      </c>
      <c r="N102">
        <v>41993330017</v>
      </c>
      <c r="O102">
        <v>0</v>
      </c>
      <c r="P102">
        <v>0</v>
      </c>
      <c r="R102" t="s">
        <v>42</v>
      </c>
      <c r="S102">
        <v>15016080333</v>
      </c>
      <c r="T102" t="str">
        <f ca="1">VLOOKUP(RANDBETWEEN(1,17),'Auxiliar Vendas'!D:G,2,0)</f>
        <v>Produto 14</v>
      </c>
      <c r="U102">
        <v>400</v>
      </c>
      <c r="V102">
        <v>15.2</v>
      </c>
      <c r="W102">
        <v>0</v>
      </c>
      <c r="X102">
        <v>10.747</v>
      </c>
      <c r="Y102" s="3">
        <v>6080</v>
      </c>
      <c r="Z102">
        <v>68</v>
      </c>
      <c r="AA102" t="s">
        <v>80</v>
      </c>
      <c r="AB102">
        <v>0</v>
      </c>
      <c r="AC102">
        <v>0</v>
      </c>
      <c r="AH102" s="2">
        <v>44469.469444444447</v>
      </c>
      <c r="AI102">
        <v>0</v>
      </c>
      <c r="AJ102">
        <v>0</v>
      </c>
      <c r="AK102" s="30" t="str">
        <f ca="1">VLOOKUP(T102,'Auxiliar Vendas'!E:F,2,FALSE)</f>
        <v>Produto 14</v>
      </c>
      <c r="AL102" s="31">
        <f ca="1">U102*VLOOKUP(T102,'Auxiliar Vendas'!E:G,3,FALSE)</f>
        <v>560</v>
      </c>
    </row>
    <row r="103" spans="1:38">
      <c r="A103">
        <v>15279752604</v>
      </c>
      <c r="B103">
        <v>61</v>
      </c>
      <c r="D103" s="1">
        <v>44469</v>
      </c>
      <c r="E103">
        <v>15279322250</v>
      </c>
      <c r="F103" t="str">
        <f ca="1">VLOOKUP(RANDBETWEEN(1,20),'DBO Compras'!AA:AC,3,0)</f>
        <v>Comprador 18</v>
      </c>
      <c r="G103" t="s">
        <v>83</v>
      </c>
      <c r="H103" t="s">
        <v>84</v>
      </c>
      <c r="I103" t="s">
        <v>85</v>
      </c>
      <c r="J103" t="s">
        <v>39</v>
      </c>
      <c r="K103">
        <v>80220100</v>
      </c>
      <c r="L103" t="s">
        <v>40</v>
      </c>
      <c r="M103" t="s">
        <v>86</v>
      </c>
      <c r="N103">
        <v>41993330017</v>
      </c>
      <c r="O103">
        <v>0</v>
      </c>
      <c r="P103">
        <v>0</v>
      </c>
      <c r="R103" t="s">
        <v>42</v>
      </c>
      <c r="S103">
        <v>15016093155</v>
      </c>
      <c r="T103" t="str">
        <f ca="1">VLOOKUP(RANDBETWEEN(1,17),'Auxiliar Vendas'!D:G,2,0)</f>
        <v>Produto 14</v>
      </c>
      <c r="U103">
        <v>500</v>
      </c>
      <c r="V103">
        <v>18.2</v>
      </c>
      <c r="W103">
        <v>0</v>
      </c>
      <c r="X103">
        <v>14.4596</v>
      </c>
      <c r="Y103" s="3">
        <v>9100</v>
      </c>
      <c r="Z103">
        <v>68</v>
      </c>
      <c r="AA103" t="s">
        <v>65</v>
      </c>
      <c r="AB103">
        <v>0</v>
      </c>
      <c r="AC103">
        <v>0</v>
      </c>
      <c r="AH103" s="2">
        <v>44469.469444444447</v>
      </c>
      <c r="AI103">
        <v>0</v>
      </c>
      <c r="AJ103">
        <v>0</v>
      </c>
      <c r="AK103" s="30" t="str">
        <f ca="1">VLOOKUP(T103,'Auxiliar Vendas'!E:F,2,FALSE)</f>
        <v>Produto 14</v>
      </c>
      <c r="AL103" s="31">
        <f ca="1">U103*VLOOKUP(T103,'Auxiliar Vendas'!E:G,3,FALSE)</f>
        <v>700</v>
      </c>
    </row>
    <row r="104" spans="1:38">
      <c r="A104">
        <v>15279752604</v>
      </c>
      <c r="B104">
        <v>61</v>
      </c>
      <c r="D104" s="1">
        <v>44469</v>
      </c>
      <c r="E104">
        <v>15279322250</v>
      </c>
      <c r="F104" t="str">
        <f ca="1">VLOOKUP(RANDBETWEEN(1,20),'DBO Compras'!AA:AC,3,0)</f>
        <v>Comprador 20</v>
      </c>
      <c r="G104" t="s">
        <v>83</v>
      </c>
      <c r="H104" t="s">
        <v>84</v>
      </c>
      <c r="I104" t="s">
        <v>85</v>
      </c>
      <c r="J104" t="s">
        <v>39</v>
      </c>
      <c r="K104">
        <v>80220100</v>
      </c>
      <c r="L104" t="s">
        <v>40</v>
      </c>
      <c r="M104" t="s">
        <v>86</v>
      </c>
      <c r="N104">
        <v>41993330017</v>
      </c>
      <c r="O104">
        <v>0</v>
      </c>
      <c r="P104">
        <v>0</v>
      </c>
      <c r="R104" t="s">
        <v>42</v>
      </c>
      <c r="S104">
        <v>15016099089</v>
      </c>
      <c r="T104" t="str">
        <f ca="1">VLOOKUP(RANDBETWEEN(1,17),'Auxiliar Vendas'!D:G,2,0)</f>
        <v>Produto 13</v>
      </c>
      <c r="U104">
        <v>200</v>
      </c>
      <c r="V104">
        <v>21.3</v>
      </c>
      <c r="W104">
        <v>0</v>
      </c>
      <c r="X104">
        <v>16.804400000000001</v>
      </c>
      <c r="Y104" s="3">
        <v>4260</v>
      </c>
      <c r="Z104">
        <v>68</v>
      </c>
      <c r="AA104" t="s">
        <v>79</v>
      </c>
      <c r="AB104">
        <v>0</v>
      </c>
      <c r="AC104">
        <v>0</v>
      </c>
      <c r="AH104" s="2">
        <v>44469.469444444447</v>
      </c>
      <c r="AI104">
        <v>0</v>
      </c>
      <c r="AJ104">
        <v>0</v>
      </c>
      <c r="AK104" s="30" t="str">
        <f ca="1">VLOOKUP(T104,'Auxiliar Vendas'!E:F,2,FALSE)</f>
        <v>Produto 13</v>
      </c>
      <c r="AL104" s="31">
        <f ca="1">U104*VLOOKUP(T104,'Auxiliar Vendas'!E:G,3,FALSE)</f>
        <v>280</v>
      </c>
    </row>
    <row r="105" spans="1:38">
      <c r="A105">
        <v>15284305943</v>
      </c>
      <c r="B105">
        <v>67</v>
      </c>
      <c r="D105" s="1">
        <v>44469</v>
      </c>
      <c r="E105">
        <v>15179629910</v>
      </c>
      <c r="F105" t="str">
        <f ca="1">VLOOKUP(RANDBETWEEN(1,20),'DBO Compras'!AA:AC,3,0)</f>
        <v>Comprador 19</v>
      </c>
      <c r="G105" t="s">
        <v>128</v>
      </c>
      <c r="H105" t="s">
        <v>129</v>
      </c>
      <c r="I105" t="s">
        <v>130</v>
      </c>
      <c r="J105" t="s">
        <v>131</v>
      </c>
      <c r="K105">
        <v>86702008</v>
      </c>
      <c r="L105" t="s">
        <v>40</v>
      </c>
      <c r="O105">
        <v>0</v>
      </c>
      <c r="P105">
        <v>0</v>
      </c>
      <c r="R105" t="s">
        <v>42</v>
      </c>
      <c r="S105">
        <v>15015353721</v>
      </c>
      <c r="T105" t="str">
        <f ca="1">VLOOKUP(RANDBETWEEN(1,17),'Auxiliar Vendas'!D:G,2,0)</f>
        <v>Produto 03</v>
      </c>
      <c r="U105">
        <v>100</v>
      </c>
      <c r="V105">
        <v>8.68</v>
      </c>
      <c r="W105">
        <v>0</v>
      </c>
      <c r="X105">
        <v>5.58</v>
      </c>
      <c r="Y105">
        <v>868</v>
      </c>
      <c r="Z105">
        <v>43</v>
      </c>
      <c r="AA105" t="s">
        <v>44</v>
      </c>
      <c r="AB105">
        <v>0</v>
      </c>
      <c r="AC105">
        <v>0</v>
      </c>
      <c r="AH105" s="2">
        <v>44469.381944444445</v>
      </c>
      <c r="AI105">
        <v>0</v>
      </c>
      <c r="AJ105">
        <v>0</v>
      </c>
      <c r="AK105" s="30" t="str">
        <f ca="1">VLOOKUP(T105,'Auxiliar Vendas'!E:F,2,FALSE)</f>
        <v>Produto 03</v>
      </c>
      <c r="AL105" s="31">
        <f ca="1">U105*VLOOKUP(T105,'Auxiliar Vendas'!E:G,3,FALSE)</f>
        <v>60</v>
      </c>
    </row>
    <row r="106" spans="1:38">
      <c r="A106">
        <v>15284371661</v>
      </c>
      <c r="B106">
        <v>68</v>
      </c>
      <c r="D106" s="1">
        <v>44469</v>
      </c>
      <c r="E106">
        <v>15179646317</v>
      </c>
      <c r="F106" t="str">
        <f ca="1">VLOOKUP(RANDBETWEEN(1,20),'DBO Compras'!AA:AC,3,0)</f>
        <v>Comprador 11</v>
      </c>
      <c r="G106" t="s">
        <v>132</v>
      </c>
      <c r="H106" t="s">
        <v>133</v>
      </c>
      <c r="I106" t="s">
        <v>134</v>
      </c>
      <c r="J106" t="s">
        <v>135</v>
      </c>
      <c r="K106">
        <v>87015440</v>
      </c>
      <c r="L106" t="s">
        <v>40</v>
      </c>
      <c r="O106">
        <v>0</v>
      </c>
      <c r="P106">
        <v>0</v>
      </c>
      <c r="R106" t="s">
        <v>42</v>
      </c>
      <c r="S106">
        <v>15015886084</v>
      </c>
      <c r="T106" t="str">
        <f ca="1">VLOOKUP(RANDBETWEEN(1,17),'Auxiliar Vendas'!D:G,2,0)</f>
        <v>Produto 09</v>
      </c>
      <c r="U106">
        <v>50</v>
      </c>
      <c r="V106">
        <v>21.9</v>
      </c>
      <c r="W106">
        <v>0</v>
      </c>
      <c r="X106">
        <v>15.996</v>
      </c>
      <c r="Y106" s="3">
        <v>1095</v>
      </c>
      <c r="Z106">
        <v>44</v>
      </c>
      <c r="AA106" t="s">
        <v>66</v>
      </c>
      <c r="AB106">
        <v>0</v>
      </c>
      <c r="AC106">
        <v>0</v>
      </c>
      <c r="AH106" s="2">
        <v>44469.381249999999</v>
      </c>
      <c r="AI106">
        <v>0</v>
      </c>
      <c r="AJ106">
        <v>0</v>
      </c>
      <c r="AK106" s="30" t="str">
        <f ca="1">VLOOKUP(T106,'Auxiliar Vendas'!E:F,2,FALSE)</f>
        <v>Produto 09</v>
      </c>
      <c r="AL106" s="31">
        <f ca="1">U106*VLOOKUP(T106,'Auxiliar Vendas'!E:G,3,FALSE)</f>
        <v>55.000000000000007</v>
      </c>
    </row>
    <row r="107" spans="1:38">
      <c r="A107">
        <v>15288941476</v>
      </c>
      <c r="B107">
        <v>71</v>
      </c>
      <c r="D107" s="1">
        <v>44469</v>
      </c>
      <c r="E107">
        <v>15295545217</v>
      </c>
      <c r="F107" t="str">
        <f ca="1">VLOOKUP(RANDBETWEEN(1,20),'DBO Compras'!AA:AC,3,0)</f>
        <v>Comprador 07</v>
      </c>
      <c r="G107" t="s">
        <v>136</v>
      </c>
      <c r="H107" t="s">
        <v>137</v>
      </c>
      <c r="I107" t="s">
        <v>138</v>
      </c>
      <c r="J107" t="s">
        <v>39</v>
      </c>
      <c r="K107">
        <v>81910000</v>
      </c>
      <c r="L107" t="s">
        <v>40</v>
      </c>
      <c r="M107" t="s">
        <v>139</v>
      </c>
      <c r="N107">
        <v>41998481264</v>
      </c>
      <c r="O107">
        <v>0</v>
      </c>
      <c r="P107">
        <v>0</v>
      </c>
      <c r="R107" t="s">
        <v>42</v>
      </c>
      <c r="S107">
        <v>15016043939</v>
      </c>
      <c r="T107" t="str">
        <f ca="1">VLOOKUP(RANDBETWEEN(1,17),'Auxiliar Vendas'!D:G,2,0)</f>
        <v>Produto 02</v>
      </c>
      <c r="U107" s="3">
        <v>1000</v>
      </c>
      <c r="V107">
        <v>13.9</v>
      </c>
      <c r="W107">
        <v>0</v>
      </c>
      <c r="X107">
        <v>10.747</v>
      </c>
      <c r="Y107" s="3">
        <v>13900</v>
      </c>
      <c r="Z107">
        <v>78</v>
      </c>
      <c r="AA107" t="s">
        <v>50</v>
      </c>
      <c r="AB107">
        <v>0</v>
      </c>
      <c r="AC107">
        <v>0</v>
      </c>
      <c r="AH107" s="2">
        <v>44469.381249999999</v>
      </c>
      <c r="AI107">
        <v>0</v>
      </c>
      <c r="AJ107">
        <v>0</v>
      </c>
      <c r="AK107" s="30" t="str">
        <f ca="1">VLOOKUP(T107,'Auxiliar Vendas'!E:F,2,FALSE)</f>
        <v>Produto 02</v>
      </c>
      <c r="AL107" s="31">
        <f ca="1">U107*VLOOKUP(T107,'Auxiliar Vendas'!E:G,3,FALSE)</f>
        <v>270</v>
      </c>
    </row>
    <row r="108" spans="1:38">
      <c r="A108">
        <v>15288941476</v>
      </c>
      <c r="B108">
        <v>71</v>
      </c>
      <c r="D108" s="1">
        <v>44469</v>
      </c>
      <c r="E108">
        <v>15295545217</v>
      </c>
      <c r="F108" t="str">
        <f ca="1">VLOOKUP(RANDBETWEEN(1,20),'DBO Compras'!AA:AC,3,0)</f>
        <v>Comprador 06</v>
      </c>
      <c r="G108" t="s">
        <v>136</v>
      </c>
      <c r="H108" t="s">
        <v>137</v>
      </c>
      <c r="I108" t="s">
        <v>138</v>
      </c>
      <c r="J108" t="s">
        <v>39</v>
      </c>
      <c r="K108">
        <v>81910000</v>
      </c>
      <c r="L108" t="s">
        <v>40</v>
      </c>
      <c r="M108" t="s">
        <v>139</v>
      </c>
      <c r="N108">
        <v>41998481264</v>
      </c>
      <c r="O108">
        <v>0</v>
      </c>
      <c r="P108">
        <v>0</v>
      </c>
      <c r="R108" t="s">
        <v>42</v>
      </c>
      <c r="S108">
        <v>15015918644</v>
      </c>
      <c r="T108" t="str">
        <f ca="1">VLOOKUP(RANDBETWEEN(1,17),'Auxiliar Vendas'!D:G,2,0)</f>
        <v>Produto 09</v>
      </c>
      <c r="U108" s="3">
        <v>1000</v>
      </c>
      <c r="V108">
        <v>8.3800000000000008</v>
      </c>
      <c r="W108">
        <v>0</v>
      </c>
      <c r="X108">
        <v>5.61</v>
      </c>
      <c r="Y108" s="3">
        <v>8380</v>
      </c>
      <c r="Z108">
        <v>78</v>
      </c>
      <c r="AA108" t="s">
        <v>59</v>
      </c>
      <c r="AB108">
        <v>0</v>
      </c>
      <c r="AC108">
        <v>0</v>
      </c>
      <c r="AH108" s="2">
        <v>44469.381249999999</v>
      </c>
      <c r="AI108">
        <v>0</v>
      </c>
      <c r="AJ108">
        <v>0</v>
      </c>
      <c r="AK108" s="30" t="str">
        <f ca="1">VLOOKUP(T108,'Auxiliar Vendas'!E:F,2,FALSE)</f>
        <v>Produto 09</v>
      </c>
      <c r="AL108" s="31">
        <f ca="1">U108*VLOOKUP(T108,'Auxiliar Vendas'!E:G,3,FALSE)</f>
        <v>1100</v>
      </c>
    </row>
    <row r="109" spans="1:38">
      <c r="A109">
        <v>15289377505</v>
      </c>
      <c r="B109">
        <v>73</v>
      </c>
      <c r="D109" s="1">
        <v>44469</v>
      </c>
      <c r="E109">
        <v>15179701182</v>
      </c>
      <c r="F109" t="str">
        <f ca="1">VLOOKUP(RANDBETWEEN(1,20),'DBO Compras'!AA:AC,3,0)</f>
        <v>Comprador 01</v>
      </c>
      <c r="G109" t="s">
        <v>140</v>
      </c>
      <c r="H109" t="s">
        <v>141</v>
      </c>
      <c r="I109" t="s">
        <v>142</v>
      </c>
      <c r="J109" t="s">
        <v>143</v>
      </c>
      <c r="K109">
        <v>84050290</v>
      </c>
      <c r="L109" t="s">
        <v>40</v>
      </c>
      <c r="M109" t="s">
        <v>144</v>
      </c>
      <c r="N109">
        <v>42999659968</v>
      </c>
      <c r="O109">
        <v>0</v>
      </c>
      <c r="P109">
        <v>0</v>
      </c>
      <c r="R109" t="s">
        <v>42</v>
      </c>
      <c r="S109">
        <v>15015911944</v>
      </c>
      <c r="T109" t="str">
        <f ca="1">VLOOKUP(RANDBETWEEN(1,17),'Auxiliar Vendas'!D:G,2,0)</f>
        <v>Produto 06</v>
      </c>
      <c r="U109">
        <v>450</v>
      </c>
      <c r="V109">
        <v>14.25</v>
      </c>
      <c r="W109">
        <v>0</v>
      </c>
      <c r="X109">
        <v>10.285</v>
      </c>
      <c r="Y109" s="3">
        <v>6412.5</v>
      </c>
      <c r="Z109">
        <v>46</v>
      </c>
      <c r="AA109" t="s">
        <v>78</v>
      </c>
      <c r="AB109">
        <v>0</v>
      </c>
      <c r="AC109">
        <v>0</v>
      </c>
      <c r="AH109" s="2">
        <v>44519.381249999999</v>
      </c>
      <c r="AI109">
        <v>0</v>
      </c>
      <c r="AJ109">
        <v>0</v>
      </c>
      <c r="AK109" s="30" t="str">
        <f ca="1">VLOOKUP(T109,'Auxiliar Vendas'!E:F,2,FALSE)</f>
        <v>Produto 06</v>
      </c>
      <c r="AL109" s="31">
        <f ca="1">U109*VLOOKUP(T109,'Auxiliar Vendas'!E:G,3,FALSE)</f>
        <v>225</v>
      </c>
    </row>
    <row r="110" spans="1:38">
      <c r="A110">
        <v>15289377505</v>
      </c>
      <c r="B110">
        <v>73</v>
      </c>
      <c r="D110" s="1">
        <v>44469</v>
      </c>
      <c r="E110">
        <v>15179701182</v>
      </c>
      <c r="F110" t="str">
        <f ca="1">VLOOKUP(RANDBETWEEN(1,20),'DBO Compras'!AA:AC,3,0)</f>
        <v>Comprador 10</v>
      </c>
      <c r="G110" t="s">
        <v>140</v>
      </c>
      <c r="H110" t="s">
        <v>141</v>
      </c>
      <c r="I110" t="s">
        <v>142</v>
      </c>
      <c r="J110" t="s">
        <v>143</v>
      </c>
      <c r="K110">
        <v>84050290</v>
      </c>
      <c r="L110" t="s">
        <v>40</v>
      </c>
      <c r="M110" t="s">
        <v>144</v>
      </c>
      <c r="N110">
        <v>42999659968</v>
      </c>
      <c r="O110">
        <v>0</v>
      </c>
      <c r="P110">
        <v>0</v>
      </c>
      <c r="R110" t="s">
        <v>42</v>
      </c>
      <c r="S110">
        <v>15015918644</v>
      </c>
      <c r="T110" t="str">
        <f ca="1">VLOOKUP(RANDBETWEEN(1,17),'Auxiliar Vendas'!D:G,2,0)</f>
        <v>Produto 06</v>
      </c>
      <c r="U110">
        <v>90</v>
      </c>
      <c r="V110">
        <v>8.3800000000000008</v>
      </c>
      <c r="W110">
        <v>0</v>
      </c>
      <c r="X110">
        <v>5.61</v>
      </c>
      <c r="Y110">
        <v>754.2</v>
      </c>
      <c r="Z110">
        <v>46</v>
      </c>
      <c r="AA110" t="s">
        <v>59</v>
      </c>
      <c r="AB110">
        <v>0</v>
      </c>
      <c r="AC110">
        <v>0</v>
      </c>
      <c r="AH110" s="2">
        <v>44519.381249999999</v>
      </c>
      <c r="AI110">
        <v>0</v>
      </c>
      <c r="AJ110">
        <v>0</v>
      </c>
      <c r="AK110" s="30" t="str">
        <f ca="1">VLOOKUP(T110,'Auxiliar Vendas'!E:F,2,FALSE)</f>
        <v>Produto 06</v>
      </c>
      <c r="AL110" s="31">
        <f ca="1">U110*VLOOKUP(T110,'Auxiliar Vendas'!E:G,3,FALSE)</f>
        <v>45</v>
      </c>
    </row>
    <row r="111" spans="1:38">
      <c r="A111">
        <v>15289377505</v>
      </c>
      <c r="B111">
        <v>73</v>
      </c>
      <c r="D111" s="1">
        <v>44469</v>
      </c>
      <c r="E111">
        <v>15179701182</v>
      </c>
      <c r="F111" t="str">
        <f ca="1">VLOOKUP(RANDBETWEEN(1,20),'DBO Compras'!AA:AC,3,0)</f>
        <v>Comprador 07</v>
      </c>
      <c r="G111" t="s">
        <v>140</v>
      </c>
      <c r="H111" t="s">
        <v>141</v>
      </c>
      <c r="I111" t="s">
        <v>142</v>
      </c>
      <c r="J111" t="s">
        <v>143</v>
      </c>
      <c r="K111">
        <v>84050290</v>
      </c>
      <c r="L111" t="s">
        <v>40</v>
      </c>
      <c r="M111" t="s">
        <v>144</v>
      </c>
      <c r="N111">
        <v>42999659968</v>
      </c>
      <c r="O111">
        <v>0</v>
      </c>
      <c r="P111">
        <v>0</v>
      </c>
      <c r="R111" t="s">
        <v>42</v>
      </c>
      <c r="S111">
        <v>15016080333</v>
      </c>
      <c r="T111" t="str">
        <f ca="1">VLOOKUP(RANDBETWEEN(1,17),'Auxiliar Vendas'!D:G,2,0)</f>
        <v>Produto 09</v>
      </c>
      <c r="U111">
        <v>143</v>
      </c>
      <c r="V111">
        <v>15.5</v>
      </c>
      <c r="W111">
        <v>0</v>
      </c>
      <c r="X111">
        <v>10.747</v>
      </c>
      <c r="Y111" s="3">
        <v>2216.5</v>
      </c>
      <c r="Z111">
        <v>46</v>
      </c>
      <c r="AA111" t="s">
        <v>80</v>
      </c>
      <c r="AB111">
        <v>0</v>
      </c>
      <c r="AC111">
        <v>0</v>
      </c>
      <c r="AH111" s="2">
        <v>44519.381249999999</v>
      </c>
      <c r="AI111">
        <v>0</v>
      </c>
      <c r="AJ111">
        <v>0</v>
      </c>
      <c r="AK111" s="30" t="str">
        <f ca="1">VLOOKUP(T111,'Auxiliar Vendas'!E:F,2,FALSE)</f>
        <v>Produto 09</v>
      </c>
      <c r="AL111" s="31">
        <f ca="1">U111*VLOOKUP(T111,'Auxiliar Vendas'!E:G,3,FALSE)</f>
        <v>157.30000000000001</v>
      </c>
    </row>
    <row r="112" spans="1:38">
      <c r="A112">
        <v>15289377505</v>
      </c>
      <c r="B112">
        <v>73</v>
      </c>
      <c r="D112" s="1">
        <v>44469</v>
      </c>
      <c r="E112">
        <v>15179701182</v>
      </c>
      <c r="F112" t="str">
        <f ca="1">VLOOKUP(RANDBETWEEN(1,20),'DBO Compras'!AA:AC,3,0)</f>
        <v>Comprador 20</v>
      </c>
      <c r="G112" t="s">
        <v>140</v>
      </c>
      <c r="H112" t="s">
        <v>141</v>
      </c>
      <c r="I112" t="s">
        <v>142</v>
      </c>
      <c r="J112" t="s">
        <v>143</v>
      </c>
      <c r="K112">
        <v>84050290</v>
      </c>
      <c r="L112" t="s">
        <v>40</v>
      </c>
      <c r="M112" t="s">
        <v>144</v>
      </c>
      <c r="N112">
        <v>42999659968</v>
      </c>
      <c r="O112">
        <v>0</v>
      </c>
      <c r="P112">
        <v>0</v>
      </c>
      <c r="R112" t="s">
        <v>42</v>
      </c>
      <c r="S112">
        <v>15015746121</v>
      </c>
      <c r="T112" t="str">
        <f ca="1">VLOOKUP(RANDBETWEEN(1,17),'Auxiliar Vendas'!D:G,2,0)</f>
        <v>Produto 17</v>
      </c>
      <c r="U112">
        <v>90</v>
      </c>
      <c r="V112">
        <v>18.649999999999999</v>
      </c>
      <c r="W112">
        <v>0</v>
      </c>
      <c r="X112">
        <v>13.763999999999999</v>
      </c>
      <c r="Y112" s="3">
        <v>1678.5</v>
      </c>
      <c r="Z112">
        <v>46</v>
      </c>
      <c r="AA112" t="s">
        <v>81</v>
      </c>
      <c r="AB112">
        <v>0</v>
      </c>
      <c r="AC112">
        <v>0</v>
      </c>
      <c r="AH112" s="2">
        <v>44519.381249999999</v>
      </c>
      <c r="AI112">
        <v>0</v>
      </c>
      <c r="AJ112">
        <v>0</v>
      </c>
      <c r="AK112" s="30" t="str">
        <f ca="1">VLOOKUP(T112,'Auxiliar Vendas'!E:F,2,FALSE)</f>
        <v>Produto 17</v>
      </c>
      <c r="AL112" s="31">
        <f ca="1">U112*VLOOKUP(T112,'Auxiliar Vendas'!E:G,3,FALSE)</f>
        <v>127.8</v>
      </c>
    </row>
    <row r="113" spans="1:38">
      <c r="A113">
        <v>15289377505</v>
      </c>
      <c r="B113">
        <v>73</v>
      </c>
      <c r="D113" s="1">
        <v>44469</v>
      </c>
      <c r="E113">
        <v>15179701182</v>
      </c>
      <c r="F113" t="str">
        <f ca="1">VLOOKUP(RANDBETWEEN(1,20),'DBO Compras'!AA:AC,3,0)</f>
        <v>Comprador 01</v>
      </c>
      <c r="G113" t="s">
        <v>140</v>
      </c>
      <c r="H113" t="s">
        <v>141</v>
      </c>
      <c r="I113" t="s">
        <v>142</v>
      </c>
      <c r="J113" t="s">
        <v>143</v>
      </c>
      <c r="K113">
        <v>84050290</v>
      </c>
      <c r="L113" t="s">
        <v>40</v>
      </c>
      <c r="M113" t="s">
        <v>144</v>
      </c>
      <c r="N113">
        <v>42999659968</v>
      </c>
      <c r="O113">
        <v>0</v>
      </c>
      <c r="P113">
        <v>0</v>
      </c>
      <c r="R113" t="s">
        <v>42</v>
      </c>
      <c r="S113">
        <v>15139667431</v>
      </c>
      <c r="T113" t="str">
        <f ca="1">VLOOKUP(RANDBETWEEN(1,17),'Auxiliar Vendas'!D:G,2,0)</f>
        <v>Produto 16</v>
      </c>
      <c r="U113">
        <v>10</v>
      </c>
      <c r="V113">
        <v>21.8</v>
      </c>
      <c r="W113">
        <v>0</v>
      </c>
      <c r="X113">
        <v>0</v>
      </c>
      <c r="Y113">
        <v>218</v>
      </c>
      <c r="Z113">
        <v>46</v>
      </c>
      <c r="AA113" t="s">
        <v>145</v>
      </c>
      <c r="AB113">
        <v>0</v>
      </c>
      <c r="AC113">
        <v>0</v>
      </c>
      <c r="AH113" s="2">
        <v>44519.381249999999</v>
      </c>
      <c r="AI113">
        <v>0</v>
      </c>
      <c r="AJ113">
        <v>0</v>
      </c>
      <c r="AK113" s="30" t="str">
        <f ca="1">VLOOKUP(T113,'Auxiliar Vendas'!E:F,2,FALSE)</f>
        <v>Produto 16</v>
      </c>
      <c r="AL113" s="31">
        <f ca="1">U113*VLOOKUP(T113,'Auxiliar Vendas'!E:G,3,FALSE)</f>
        <v>12.7</v>
      </c>
    </row>
    <row r="114" spans="1:38">
      <c r="A114">
        <v>15289377505</v>
      </c>
      <c r="B114">
        <v>73</v>
      </c>
      <c r="D114" s="1">
        <v>44469</v>
      </c>
      <c r="E114">
        <v>15179701182</v>
      </c>
      <c r="F114" t="str">
        <f ca="1">VLOOKUP(RANDBETWEEN(1,20),'DBO Compras'!AA:AC,3,0)</f>
        <v>Comprador 13</v>
      </c>
      <c r="G114" t="s">
        <v>140</v>
      </c>
      <c r="H114" t="s">
        <v>141</v>
      </c>
      <c r="I114" t="s">
        <v>142</v>
      </c>
      <c r="J114" t="s">
        <v>143</v>
      </c>
      <c r="K114">
        <v>84050290</v>
      </c>
      <c r="L114" t="s">
        <v>40</v>
      </c>
      <c r="M114" t="s">
        <v>144</v>
      </c>
      <c r="N114">
        <v>42999659968</v>
      </c>
      <c r="O114">
        <v>0</v>
      </c>
      <c r="P114">
        <v>0</v>
      </c>
      <c r="R114" t="s">
        <v>42</v>
      </c>
      <c r="S114">
        <v>15139667431</v>
      </c>
      <c r="T114" t="str">
        <f ca="1">VLOOKUP(RANDBETWEEN(1,17),'Auxiliar Vendas'!D:G,2,0)</f>
        <v>Produto 13</v>
      </c>
      <c r="U114">
        <v>10</v>
      </c>
      <c r="V114">
        <v>22.1</v>
      </c>
      <c r="W114">
        <v>0</v>
      </c>
      <c r="X114">
        <v>0</v>
      </c>
      <c r="Y114">
        <v>221</v>
      </c>
      <c r="Z114">
        <v>46</v>
      </c>
      <c r="AA114" t="s">
        <v>145</v>
      </c>
      <c r="AB114">
        <v>0</v>
      </c>
      <c r="AC114">
        <v>0</v>
      </c>
      <c r="AH114" s="2">
        <v>44519.381249999999</v>
      </c>
      <c r="AI114">
        <v>0</v>
      </c>
      <c r="AJ114">
        <v>0</v>
      </c>
      <c r="AK114" s="30" t="str">
        <f ca="1">VLOOKUP(T114,'Auxiliar Vendas'!E:F,2,FALSE)</f>
        <v>Produto 13</v>
      </c>
      <c r="AL114" s="31">
        <f ca="1">U114*VLOOKUP(T114,'Auxiliar Vendas'!E:G,3,FALSE)</f>
        <v>14</v>
      </c>
    </row>
    <row r="115" spans="1:38">
      <c r="A115">
        <v>15289377505</v>
      </c>
      <c r="B115">
        <v>73</v>
      </c>
      <c r="D115" s="1">
        <v>44469</v>
      </c>
      <c r="E115">
        <v>15179701182</v>
      </c>
      <c r="F115" t="str">
        <f ca="1">VLOOKUP(RANDBETWEEN(1,20),'DBO Compras'!AA:AC,3,0)</f>
        <v>Comprador 13</v>
      </c>
      <c r="G115" t="s">
        <v>140</v>
      </c>
      <c r="H115" t="s">
        <v>141</v>
      </c>
      <c r="I115" t="s">
        <v>142</v>
      </c>
      <c r="J115" t="s">
        <v>143</v>
      </c>
      <c r="K115">
        <v>84050290</v>
      </c>
      <c r="L115" t="s">
        <v>40</v>
      </c>
      <c r="M115" t="s">
        <v>144</v>
      </c>
      <c r="N115">
        <v>42999659968</v>
      </c>
      <c r="O115">
        <v>0</v>
      </c>
      <c r="P115">
        <v>0</v>
      </c>
      <c r="R115" t="s">
        <v>42</v>
      </c>
      <c r="S115">
        <v>15016093155</v>
      </c>
      <c r="T115" t="str">
        <f ca="1">VLOOKUP(RANDBETWEEN(1,17),'Auxiliar Vendas'!D:G,2,0)</f>
        <v>Produto 07</v>
      </c>
      <c r="U115">
        <v>200</v>
      </c>
      <c r="V115">
        <v>18.649999999999999</v>
      </c>
      <c r="W115">
        <v>0</v>
      </c>
      <c r="X115">
        <v>14.4596</v>
      </c>
      <c r="Y115" s="3">
        <v>3730</v>
      </c>
      <c r="Z115">
        <v>46</v>
      </c>
      <c r="AA115" t="s">
        <v>65</v>
      </c>
      <c r="AB115">
        <v>0</v>
      </c>
      <c r="AC115">
        <v>0</v>
      </c>
      <c r="AH115" s="2">
        <v>44519.381249999999</v>
      </c>
      <c r="AI115">
        <v>0</v>
      </c>
      <c r="AJ115">
        <v>0</v>
      </c>
      <c r="AK115" s="30" t="str">
        <f ca="1">VLOOKUP(T115,'Auxiliar Vendas'!E:F,2,FALSE)</f>
        <v>Produto 07</v>
      </c>
      <c r="AL115" s="31">
        <f ca="1">U115*VLOOKUP(T115,'Auxiliar Vendas'!E:G,3,FALSE)</f>
        <v>220.00000000000003</v>
      </c>
    </row>
    <row r="116" spans="1:38">
      <c r="A116">
        <v>15289377505</v>
      </c>
      <c r="B116">
        <v>73</v>
      </c>
      <c r="D116" s="1">
        <v>44469</v>
      </c>
      <c r="E116">
        <v>15179701182</v>
      </c>
      <c r="F116" t="str">
        <f ca="1">VLOOKUP(RANDBETWEEN(1,20),'DBO Compras'!AA:AC,3,0)</f>
        <v>Comprador 14</v>
      </c>
      <c r="G116" t="s">
        <v>140</v>
      </c>
      <c r="H116" t="s">
        <v>141</v>
      </c>
      <c r="I116" t="s">
        <v>142</v>
      </c>
      <c r="J116" t="s">
        <v>143</v>
      </c>
      <c r="K116">
        <v>84050290</v>
      </c>
      <c r="L116" t="s">
        <v>40</v>
      </c>
      <c r="M116" t="s">
        <v>144</v>
      </c>
      <c r="N116">
        <v>42999659968</v>
      </c>
      <c r="O116">
        <v>0</v>
      </c>
      <c r="P116">
        <v>0</v>
      </c>
      <c r="R116" t="s">
        <v>42</v>
      </c>
      <c r="S116">
        <v>15016099089</v>
      </c>
      <c r="T116" t="str">
        <f ca="1">VLOOKUP(RANDBETWEEN(1,17),'Auxiliar Vendas'!D:G,2,0)</f>
        <v>Produto 03</v>
      </c>
      <c r="U116">
        <v>182</v>
      </c>
      <c r="V116">
        <v>21.75</v>
      </c>
      <c r="W116">
        <v>0</v>
      </c>
      <c r="X116">
        <v>16.804400000000001</v>
      </c>
      <c r="Y116" s="3">
        <v>3958.5</v>
      </c>
      <c r="Z116">
        <v>46</v>
      </c>
      <c r="AA116" t="s">
        <v>79</v>
      </c>
      <c r="AB116">
        <v>0</v>
      </c>
      <c r="AC116">
        <v>0</v>
      </c>
      <c r="AH116" s="2">
        <v>44519.381249999999</v>
      </c>
      <c r="AI116">
        <v>0</v>
      </c>
      <c r="AJ116">
        <v>0</v>
      </c>
      <c r="AK116" s="30" t="str">
        <f ca="1">VLOOKUP(T116,'Auxiliar Vendas'!E:F,2,FALSE)</f>
        <v>Produto 03</v>
      </c>
      <c r="AL116" s="31">
        <f ca="1">U116*VLOOKUP(T116,'Auxiliar Vendas'!E:G,3,FALSE)</f>
        <v>109.2</v>
      </c>
    </row>
    <row r="117" spans="1:38">
      <c r="A117">
        <v>15289377505</v>
      </c>
      <c r="B117">
        <v>73</v>
      </c>
      <c r="D117" s="1">
        <v>44469</v>
      </c>
      <c r="E117">
        <v>15179701182</v>
      </c>
      <c r="F117" t="str">
        <f ca="1">VLOOKUP(RANDBETWEEN(1,20),'DBO Compras'!AA:AC,3,0)</f>
        <v>Comprador 02</v>
      </c>
      <c r="G117" t="s">
        <v>140</v>
      </c>
      <c r="H117" t="s">
        <v>141</v>
      </c>
      <c r="I117" t="s">
        <v>142</v>
      </c>
      <c r="J117" t="s">
        <v>143</v>
      </c>
      <c r="K117">
        <v>84050290</v>
      </c>
      <c r="L117" t="s">
        <v>40</v>
      </c>
      <c r="M117" t="s">
        <v>144</v>
      </c>
      <c r="N117">
        <v>42999659968</v>
      </c>
      <c r="O117">
        <v>0</v>
      </c>
      <c r="P117">
        <v>0</v>
      </c>
      <c r="R117" t="s">
        <v>42</v>
      </c>
      <c r="S117">
        <v>15139727614</v>
      </c>
      <c r="T117" t="str">
        <f ca="1">VLOOKUP(RANDBETWEEN(1,17),'Auxiliar Vendas'!D:G,2,0)</f>
        <v>Produto 09</v>
      </c>
      <c r="U117">
        <v>10</v>
      </c>
      <c r="V117">
        <v>25.5</v>
      </c>
      <c r="W117">
        <v>0</v>
      </c>
      <c r="X117">
        <v>0</v>
      </c>
      <c r="Y117">
        <v>255</v>
      </c>
      <c r="Z117">
        <v>46</v>
      </c>
      <c r="AA117" t="s">
        <v>146</v>
      </c>
      <c r="AB117">
        <v>0</v>
      </c>
      <c r="AC117">
        <v>0</v>
      </c>
      <c r="AH117" s="2">
        <v>44519.381249999999</v>
      </c>
      <c r="AI117">
        <v>0</v>
      </c>
      <c r="AJ117">
        <v>0</v>
      </c>
      <c r="AK117" s="30" t="str">
        <f ca="1">VLOOKUP(T117,'Auxiliar Vendas'!E:F,2,FALSE)</f>
        <v>Produto 09</v>
      </c>
      <c r="AL117" s="31">
        <f ca="1">U117*VLOOKUP(T117,'Auxiliar Vendas'!E:G,3,FALSE)</f>
        <v>11</v>
      </c>
    </row>
    <row r="118" spans="1:38">
      <c r="A118">
        <v>15289865360</v>
      </c>
      <c r="B118">
        <v>74</v>
      </c>
      <c r="D118" s="1">
        <v>44469</v>
      </c>
      <c r="E118">
        <v>15179724225</v>
      </c>
      <c r="F118" t="str">
        <f ca="1">VLOOKUP(RANDBETWEEN(1,20),'DBO Compras'!AA:AC,3,0)</f>
        <v>Comprador 03</v>
      </c>
      <c r="G118" t="s">
        <v>147</v>
      </c>
      <c r="H118" t="s">
        <v>148</v>
      </c>
      <c r="I118" t="s">
        <v>149</v>
      </c>
      <c r="J118" t="s">
        <v>143</v>
      </c>
      <c r="K118">
        <v>84060872</v>
      </c>
      <c r="L118" t="s">
        <v>40</v>
      </c>
      <c r="M118" t="s">
        <v>150</v>
      </c>
      <c r="N118">
        <v>4299550985</v>
      </c>
      <c r="O118">
        <v>0</v>
      </c>
      <c r="P118">
        <v>0</v>
      </c>
      <c r="R118" t="s">
        <v>42</v>
      </c>
      <c r="S118">
        <v>15015085610</v>
      </c>
      <c r="T118" t="str">
        <f ca="1">VLOOKUP(RANDBETWEEN(1,17),'Auxiliar Vendas'!D:G,2,0)</f>
        <v>Produto 13</v>
      </c>
      <c r="U118">
        <v>120</v>
      </c>
      <c r="V118">
        <v>14.25</v>
      </c>
      <c r="W118">
        <v>0</v>
      </c>
      <c r="X118">
        <v>10.23</v>
      </c>
      <c r="Y118" s="3">
        <v>1710</v>
      </c>
      <c r="Z118">
        <v>47</v>
      </c>
      <c r="AA118" t="s">
        <v>43</v>
      </c>
      <c r="AB118">
        <v>0</v>
      </c>
      <c r="AC118">
        <v>0</v>
      </c>
      <c r="AH118" s="2">
        <v>44469.411111111112</v>
      </c>
      <c r="AI118">
        <v>0</v>
      </c>
      <c r="AJ118">
        <v>0</v>
      </c>
      <c r="AK118" s="30" t="str">
        <f ca="1">VLOOKUP(T118,'Auxiliar Vendas'!E:F,2,FALSE)</f>
        <v>Produto 13</v>
      </c>
      <c r="AL118" s="31">
        <f ca="1">U118*VLOOKUP(T118,'Auxiliar Vendas'!E:G,3,FALSE)</f>
        <v>168</v>
      </c>
    </row>
    <row r="119" spans="1:38">
      <c r="A119">
        <v>15289865360</v>
      </c>
      <c r="B119">
        <v>74</v>
      </c>
      <c r="D119" s="1">
        <v>44469</v>
      </c>
      <c r="E119">
        <v>15179724225</v>
      </c>
      <c r="F119" t="str">
        <f ca="1">VLOOKUP(RANDBETWEEN(1,20),'DBO Compras'!AA:AC,3,0)</f>
        <v>Comprador 12</v>
      </c>
      <c r="G119" t="s">
        <v>147</v>
      </c>
      <c r="H119" t="s">
        <v>148</v>
      </c>
      <c r="I119" t="s">
        <v>149</v>
      </c>
      <c r="J119" t="s">
        <v>143</v>
      </c>
      <c r="K119">
        <v>84060872</v>
      </c>
      <c r="L119" t="s">
        <v>40</v>
      </c>
      <c r="M119" t="s">
        <v>150</v>
      </c>
      <c r="N119">
        <v>4299550985</v>
      </c>
      <c r="O119">
        <v>0</v>
      </c>
      <c r="P119">
        <v>0</v>
      </c>
      <c r="R119" t="s">
        <v>42</v>
      </c>
      <c r="S119">
        <v>15015353721</v>
      </c>
      <c r="T119" t="str">
        <f ca="1">VLOOKUP(RANDBETWEEN(1,17),'Auxiliar Vendas'!D:G,2,0)</f>
        <v>Produto 07</v>
      </c>
      <c r="U119">
        <v>50</v>
      </c>
      <c r="V119">
        <v>8.3800000000000008</v>
      </c>
      <c r="W119">
        <v>0</v>
      </c>
      <c r="X119">
        <v>5.58</v>
      </c>
      <c r="Y119">
        <v>419</v>
      </c>
      <c r="Z119">
        <v>47</v>
      </c>
      <c r="AA119" t="s">
        <v>44</v>
      </c>
      <c r="AB119">
        <v>0</v>
      </c>
      <c r="AC119">
        <v>0</v>
      </c>
      <c r="AH119" s="2">
        <v>44469.411111111112</v>
      </c>
      <c r="AI119">
        <v>0</v>
      </c>
      <c r="AJ119">
        <v>0</v>
      </c>
      <c r="AK119" s="30" t="str">
        <f ca="1">VLOOKUP(T119,'Auxiliar Vendas'!E:F,2,FALSE)</f>
        <v>Produto 07</v>
      </c>
      <c r="AL119" s="31">
        <f ca="1">U119*VLOOKUP(T119,'Auxiliar Vendas'!E:G,3,FALSE)</f>
        <v>55.000000000000007</v>
      </c>
    </row>
    <row r="120" spans="1:38">
      <c r="A120">
        <v>15289865360</v>
      </c>
      <c r="B120">
        <v>74</v>
      </c>
      <c r="D120" s="1">
        <v>44469</v>
      </c>
      <c r="E120">
        <v>15179724225</v>
      </c>
      <c r="F120" t="str">
        <f ca="1">VLOOKUP(RANDBETWEEN(1,20),'DBO Compras'!AA:AC,3,0)</f>
        <v>Comprador 09</v>
      </c>
      <c r="G120" t="s">
        <v>147</v>
      </c>
      <c r="H120" t="s">
        <v>148</v>
      </c>
      <c r="I120" t="s">
        <v>149</v>
      </c>
      <c r="J120" t="s">
        <v>143</v>
      </c>
      <c r="K120">
        <v>84060872</v>
      </c>
      <c r="L120" t="s">
        <v>40</v>
      </c>
      <c r="M120" t="s">
        <v>150</v>
      </c>
      <c r="N120">
        <v>4299550985</v>
      </c>
      <c r="O120">
        <v>0</v>
      </c>
      <c r="P120">
        <v>0</v>
      </c>
      <c r="R120" t="s">
        <v>42</v>
      </c>
      <c r="S120">
        <v>15015511068</v>
      </c>
      <c r="T120" t="str">
        <f ca="1">VLOOKUP(RANDBETWEEN(1,17),'Auxiliar Vendas'!D:G,2,0)</f>
        <v>Produto 06</v>
      </c>
      <c r="U120">
        <v>50</v>
      </c>
      <c r="V120">
        <v>16.7</v>
      </c>
      <c r="W120">
        <v>0</v>
      </c>
      <c r="X120">
        <v>10.23</v>
      </c>
      <c r="Y120">
        <v>835</v>
      </c>
      <c r="Z120">
        <v>47</v>
      </c>
      <c r="AA120" t="s">
        <v>53</v>
      </c>
      <c r="AB120">
        <v>0</v>
      </c>
      <c r="AC120">
        <v>0</v>
      </c>
      <c r="AH120" s="2">
        <v>44469.411111111112</v>
      </c>
      <c r="AI120">
        <v>0</v>
      </c>
      <c r="AJ120">
        <v>0</v>
      </c>
      <c r="AK120" s="30" t="str">
        <f ca="1">VLOOKUP(T120,'Auxiliar Vendas'!E:F,2,FALSE)</f>
        <v>Produto 06</v>
      </c>
      <c r="AL120" s="31">
        <f ca="1">U120*VLOOKUP(T120,'Auxiliar Vendas'!E:G,3,FALSE)</f>
        <v>25</v>
      </c>
    </row>
    <row r="121" spans="1:38">
      <c r="A121">
        <v>15291322589</v>
      </c>
      <c r="B121">
        <v>88</v>
      </c>
      <c r="D121" s="1">
        <v>44469</v>
      </c>
      <c r="E121">
        <v>15179746175</v>
      </c>
      <c r="F121" t="str">
        <f ca="1">VLOOKUP(RANDBETWEEN(1,20),'DBO Compras'!AA:AC,3,0)</f>
        <v>Comprador 19</v>
      </c>
      <c r="G121" t="s">
        <v>151</v>
      </c>
      <c r="H121" t="s">
        <v>152</v>
      </c>
      <c r="I121" t="s">
        <v>153</v>
      </c>
      <c r="J121" t="s">
        <v>154</v>
      </c>
      <c r="K121">
        <v>84266280</v>
      </c>
      <c r="L121" t="s">
        <v>40</v>
      </c>
      <c r="O121">
        <v>0</v>
      </c>
      <c r="P121">
        <v>0</v>
      </c>
      <c r="R121" t="s">
        <v>42</v>
      </c>
      <c r="S121">
        <v>15015511068</v>
      </c>
      <c r="T121" t="str">
        <f ca="1">VLOOKUP(RANDBETWEEN(1,17),'Auxiliar Vendas'!D:G,2,0)</f>
        <v>Produto 10</v>
      </c>
      <c r="U121">
        <v>170</v>
      </c>
      <c r="V121">
        <v>16.7</v>
      </c>
      <c r="W121">
        <v>0</v>
      </c>
      <c r="X121">
        <v>10.23</v>
      </c>
      <c r="Y121" s="3">
        <v>2839</v>
      </c>
      <c r="Z121">
        <v>48</v>
      </c>
      <c r="AA121" t="s">
        <v>53</v>
      </c>
      <c r="AB121">
        <v>0</v>
      </c>
      <c r="AC121">
        <v>0</v>
      </c>
      <c r="AH121" s="2">
        <v>44469.363194444442</v>
      </c>
      <c r="AI121">
        <v>0</v>
      </c>
      <c r="AJ121">
        <v>0</v>
      </c>
      <c r="AK121" s="30" t="str">
        <f ca="1">VLOOKUP(T121,'Auxiliar Vendas'!E:F,2,FALSE)</f>
        <v>Produto 10</v>
      </c>
      <c r="AL121" s="31">
        <f ca="1">U121*VLOOKUP(T121,'Auxiliar Vendas'!E:G,3,FALSE)</f>
        <v>187.00000000000003</v>
      </c>
    </row>
    <row r="122" spans="1:38">
      <c r="A122">
        <v>15291322589</v>
      </c>
      <c r="B122">
        <v>88</v>
      </c>
      <c r="D122" s="1">
        <v>44469</v>
      </c>
      <c r="E122">
        <v>15179746175</v>
      </c>
      <c r="F122" t="str">
        <f ca="1">VLOOKUP(RANDBETWEEN(1,20),'DBO Compras'!AA:AC,3,0)</f>
        <v>Comprador 15</v>
      </c>
      <c r="G122" t="s">
        <v>151</v>
      </c>
      <c r="H122" t="s">
        <v>152</v>
      </c>
      <c r="I122" t="s">
        <v>153</v>
      </c>
      <c r="J122" t="s">
        <v>154</v>
      </c>
      <c r="K122">
        <v>84266280</v>
      </c>
      <c r="L122" t="s">
        <v>40</v>
      </c>
      <c r="O122">
        <v>0</v>
      </c>
      <c r="P122">
        <v>0</v>
      </c>
      <c r="R122" t="s">
        <v>42</v>
      </c>
      <c r="S122">
        <v>15016093155</v>
      </c>
      <c r="T122" t="str">
        <f ca="1">VLOOKUP(RANDBETWEEN(1,17),'Auxiliar Vendas'!D:G,2,0)</f>
        <v>Produto 10</v>
      </c>
      <c r="U122">
        <v>70</v>
      </c>
      <c r="V122">
        <v>16.79</v>
      </c>
      <c r="W122">
        <v>0</v>
      </c>
      <c r="X122">
        <v>14.4596</v>
      </c>
      <c r="Y122" s="3">
        <v>1175.3</v>
      </c>
      <c r="Z122">
        <v>48</v>
      </c>
      <c r="AA122" t="s">
        <v>65</v>
      </c>
      <c r="AB122">
        <v>0</v>
      </c>
      <c r="AC122">
        <v>0</v>
      </c>
      <c r="AH122" s="2">
        <v>44469.363194444442</v>
      </c>
      <c r="AI122">
        <v>0</v>
      </c>
      <c r="AJ122">
        <v>0</v>
      </c>
      <c r="AK122" s="30" t="str">
        <f ca="1">VLOOKUP(T122,'Auxiliar Vendas'!E:F,2,FALSE)</f>
        <v>Produto 10</v>
      </c>
      <c r="AL122" s="31">
        <f ca="1">U122*VLOOKUP(T122,'Auxiliar Vendas'!E:G,3,FALSE)</f>
        <v>77</v>
      </c>
    </row>
    <row r="123" spans="1:38">
      <c r="A123">
        <v>15291322589</v>
      </c>
      <c r="B123">
        <v>88</v>
      </c>
      <c r="D123" s="1">
        <v>44469</v>
      </c>
      <c r="E123">
        <v>15179746175</v>
      </c>
      <c r="F123" t="str">
        <f ca="1">VLOOKUP(RANDBETWEEN(1,20),'DBO Compras'!AA:AC,3,0)</f>
        <v>Comprador 06</v>
      </c>
      <c r="G123" t="s">
        <v>151</v>
      </c>
      <c r="H123" t="s">
        <v>152</v>
      </c>
      <c r="I123" t="s">
        <v>153</v>
      </c>
      <c r="J123" t="s">
        <v>154</v>
      </c>
      <c r="K123">
        <v>84266280</v>
      </c>
      <c r="L123" t="s">
        <v>40</v>
      </c>
      <c r="O123">
        <v>0</v>
      </c>
      <c r="P123">
        <v>0</v>
      </c>
      <c r="R123" t="s">
        <v>42</v>
      </c>
      <c r="S123">
        <v>15016080333</v>
      </c>
      <c r="T123" t="str">
        <f ca="1">VLOOKUP(RANDBETWEEN(1,17),'Auxiliar Vendas'!D:G,2,0)</f>
        <v>Produto 02</v>
      </c>
      <c r="U123">
        <v>30</v>
      </c>
      <c r="V123">
        <v>15.5</v>
      </c>
      <c r="W123">
        <v>0</v>
      </c>
      <c r="X123">
        <v>10.747</v>
      </c>
      <c r="Y123">
        <v>465</v>
      </c>
      <c r="Z123">
        <v>48</v>
      </c>
      <c r="AA123" t="s">
        <v>80</v>
      </c>
      <c r="AB123">
        <v>0</v>
      </c>
      <c r="AC123">
        <v>0</v>
      </c>
      <c r="AH123" s="2">
        <v>44469.363194444442</v>
      </c>
      <c r="AI123">
        <v>0</v>
      </c>
      <c r="AJ123">
        <v>0</v>
      </c>
      <c r="AK123" s="30" t="str">
        <f ca="1">VLOOKUP(T123,'Auxiliar Vendas'!E:F,2,FALSE)</f>
        <v>Produto 02</v>
      </c>
      <c r="AL123" s="31">
        <f ca="1">U123*VLOOKUP(T123,'Auxiliar Vendas'!E:G,3,FALSE)</f>
        <v>8.1000000000000014</v>
      </c>
    </row>
    <row r="124" spans="1:38">
      <c r="A124">
        <v>15291322589</v>
      </c>
      <c r="B124">
        <v>88</v>
      </c>
      <c r="D124" s="1">
        <v>44469</v>
      </c>
      <c r="E124">
        <v>15179746175</v>
      </c>
      <c r="F124" t="str">
        <f ca="1">VLOOKUP(RANDBETWEEN(1,20),'DBO Compras'!AA:AC,3,0)</f>
        <v>Comprador 06</v>
      </c>
      <c r="G124" t="s">
        <v>151</v>
      </c>
      <c r="H124" t="s">
        <v>152</v>
      </c>
      <c r="I124" t="s">
        <v>153</v>
      </c>
      <c r="J124" t="s">
        <v>154</v>
      </c>
      <c r="K124">
        <v>84266280</v>
      </c>
      <c r="L124" t="s">
        <v>40</v>
      </c>
      <c r="O124">
        <v>0</v>
      </c>
      <c r="P124">
        <v>0</v>
      </c>
      <c r="R124" t="s">
        <v>42</v>
      </c>
      <c r="S124">
        <v>15016043939</v>
      </c>
      <c r="T124" t="str">
        <f ca="1">VLOOKUP(RANDBETWEEN(1,17),'Auxiliar Vendas'!D:G,2,0)</f>
        <v>Produto 08</v>
      </c>
      <c r="U124">
        <v>200</v>
      </c>
      <c r="V124">
        <v>14.25</v>
      </c>
      <c r="W124">
        <v>0</v>
      </c>
      <c r="X124">
        <v>10.747</v>
      </c>
      <c r="Y124" s="3">
        <v>2850</v>
      </c>
      <c r="Z124">
        <v>48</v>
      </c>
      <c r="AA124" t="s">
        <v>50</v>
      </c>
      <c r="AB124">
        <v>0</v>
      </c>
      <c r="AC124">
        <v>0</v>
      </c>
      <c r="AH124" s="2">
        <v>44469.363194444442</v>
      </c>
      <c r="AI124">
        <v>0</v>
      </c>
      <c r="AJ124">
        <v>0</v>
      </c>
      <c r="AK124" s="30" t="str">
        <f ca="1">VLOOKUP(T124,'Auxiliar Vendas'!E:F,2,FALSE)</f>
        <v>Produto 08</v>
      </c>
      <c r="AL124" s="31">
        <f ca="1">U124*VLOOKUP(T124,'Auxiliar Vendas'!E:G,3,FALSE)</f>
        <v>220.00000000000003</v>
      </c>
    </row>
    <row r="125" spans="1:38">
      <c r="A125">
        <v>15291322589</v>
      </c>
      <c r="B125">
        <v>88</v>
      </c>
      <c r="D125" s="1">
        <v>44469</v>
      </c>
      <c r="E125">
        <v>15179746175</v>
      </c>
      <c r="F125" t="str">
        <f ca="1">VLOOKUP(RANDBETWEEN(1,20),'DBO Compras'!AA:AC,3,0)</f>
        <v>Comprador 03</v>
      </c>
      <c r="G125" t="s">
        <v>151</v>
      </c>
      <c r="H125" t="s">
        <v>152</v>
      </c>
      <c r="I125" t="s">
        <v>153</v>
      </c>
      <c r="J125" t="s">
        <v>154</v>
      </c>
      <c r="K125">
        <v>84266280</v>
      </c>
      <c r="L125" t="s">
        <v>40</v>
      </c>
      <c r="O125">
        <v>0</v>
      </c>
      <c r="P125">
        <v>0</v>
      </c>
      <c r="R125" t="s">
        <v>42</v>
      </c>
      <c r="S125">
        <v>15015911944</v>
      </c>
      <c r="T125" t="str">
        <f ca="1">VLOOKUP(RANDBETWEEN(1,17),'Auxiliar Vendas'!D:G,2,0)</f>
        <v>Produto 01</v>
      </c>
      <c r="U125">
        <v>400</v>
      </c>
      <c r="V125">
        <v>13.99</v>
      </c>
      <c r="W125">
        <v>0</v>
      </c>
      <c r="X125">
        <v>10.285</v>
      </c>
      <c r="Y125" s="3">
        <v>5596</v>
      </c>
      <c r="Z125">
        <v>48</v>
      </c>
      <c r="AA125" t="s">
        <v>78</v>
      </c>
      <c r="AB125">
        <v>0</v>
      </c>
      <c r="AC125">
        <v>0</v>
      </c>
      <c r="AH125" s="2">
        <v>44469.363194444442</v>
      </c>
      <c r="AI125">
        <v>0</v>
      </c>
      <c r="AJ125">
        <v>0</v>
      </c>
      <c r="AK125" s="30" t="str">
        <f ca="1">VLOOKUP(T125,'Auxiliar Vendas'!E:F,2,FALSE)</f>
        <v>Produto 01</v>
      </c>
      <c r="AL125" s="31">
        <f ca="1">U125*VLOOKUP(T125,'Auxiliar Vendas'!E:G,3,FALSE)</f>
        <v>160</v>
      </c>
    </row>
    <row r="126" spans="1:38">
      <c r="A126">
        <v>15291322589</v>
      </c>
      <c r="B126">
        <v>88</v>
      </c>
      <c r="D126" s="1">
        <v>44469</v>
      </c>
      <c r="E126">
        <v>15179746175</v>
      </c>
      <c r="F126" t="str">
        <f ca="1">VLOOKUP(RANDBETWEEN(1,20),'DBO Compras'!AA:AC,3,0)</f>
        <v>Comprador 16</v>
      </c>
      <c r="G126" t="s">
        <v>151</v>
      </c>
      <c r="H126" t="s">
        <v>152</v>
      </c>
      <c r="I126" t="s">
        <v>153</v>
      </c>
      <c r="J126" t="s">
        <v>154</v>
      </c>
      <c r="K126">
        <v>84266280</v>
      </c>
      <c r="L126" t="s">
        <v>40</v>
      </c>
      <c r="O126">
        <v>0</v>
      </c>
      <c r="P126">
        <v>0</v>
      </c>
      <c r="R126" t="s">
        <v>42</v>
      </c>
      <c r="S126">
        <v>15015918644</v>
      </c>
      <c r="T126" t="str">
        <f ca="1">VLOOKUP(RANDBETWEEN(1,17),'Auxiliar Vendas'!D:G,2,0)</f>
        <v>Produto 08</v>
      </c>
      <c r="U126">
        <v>70</v>
      </c>
      <c r="V126">
        <v>8.3800000000000008</v>
      </c>
      <c r="W126">
        <v>0</v>
      </c>
      <c r="X126">
        <v>5.61</v>
      </c>
      <c r="Y126">
        <v>586.6</v>
      </c>
      <c r="Z126">
        <v>48</v>
      </c>
      <c r="AA126" t="s">
        <v>59</v>
      </c>
      <c r="AB126">
        <v>0</v>
      </c>
      <c r="AC126">
        <v>0</v>
      </c>
      <c r="AH126" s="2">
        <v>44469.363194444442</v>
      </c>
      <c r="AI126">
        <v>0</v>
      </c>
      <c r="AJ126">
        <v>0</v>
      </c>
      <c r="AK126" s="30" t="str">
        <f ca="1">VLOOKUP(T126,'Auxiliar Vendas'!E:F,2,FALSE)</f>
        <v>Produto 08</v>
      </c>
      <c r="AL126" s="31">
        <f ca="1">U126*VLOOKUP(T126,'Auxiliar Vendas'!E:G,3,FALSE)</f>
        <v>77</v>
      </c>
    </row>
    <row r="127" spans="1:38">
      <c r="A127">
        <v>15294974480</v>
      </c>
      <c r="B127">
        <v>103</v>
      </c>
      <c r="D127" s="1">
        <v>44469</v>
      </c>
      <c r="E127">
        <v>15179803016</v>
      </c>
      <c r="F127" t="str">
        <f ca="1">VLOOKUP(RANDBETWEEN(1,20),'DBO Compras'!AA:AC,3,0)</f>
        <v>Comprador 09</v>
      </c>
      <c r="G127" t="s">
        <v>155</v>
      </c>
      <c r="H127" t="s">
        <v>156</v>
      </c>
      <c r="I127" t="s">
        <v>157</v>
      </c>
      <c r="J127" t="s">
        <v>158</v>
      </c>
      <c r="K127">
        <v>84500000</v>
      </c>
      <c r="L127" t="s">
        <v>40</v>
      </c>
      <c r="M127" t="s">
        <v>159</v>
      </c>
      <c r="N127">
        <v>42999250064</v>
      </c>
      <c r="O127">
        <v>0</v>
      </c>
      <c r="P127">
        <v>0</v>
      </c>
      <c r="R127" t="s">
        <v>42</v>
      </c>
      <c r="S127">
        <v>15016043939</v>
      </c>
      <c r="T127" t="str">
        <f ca="1">VLOOKUP(RANDBETWEEN(1,17),'Auxiliar Vendas'!D:G,2,0)</f>
        <v>Produto 04</v>
      </c>
      <c r="U127">
        <v>400</v>
      </c>
      <c r="V127">
        <v>14.25</v>
      </c>
      <c r="W127">
        <v>0</v>
      </c>
      <c r="X127">
        <v>10.747</v>
      </c>
      <c r="Y127" s="3">
        <v>5700</v>
      </c>
      <c r="Z127">
        <v>50</v>
      </c>
      <c r="AA127" t="s">
        <v>50</v>
      </c>
      <c r="AB127">
        <v>0</v>
      </c>
      <c r="AC127">
        <v>0</v>
      </c>
      <c r="AH127" s="2">
        <v>44469.363194444442</v>
      </c>
      <c r="AI127">
        <v>0</v>
      </c>
      <c r="AJ127">
        <v>0</v>
      </c>
      <c r="AK127" s="30" t="str">
        <f ca="1">VLOOKUP(T127,'Auxiliar Vendas'!E:F,2,FALSE)</f>
        <v>Produto 04</v>
      </c>
      <c r="AL127" s="31">
        <f ca="1">U127*VLOOKUP(T127,'Auxiliar Vendas'!E:G,3,FALSE)</f>
        <v>240</v>
      </c>
    </row>
    <row r="128" spans="1:38">
      <c r="A128">
        <v>15294974480</v>
      </c>
      <c r="B128">
        <v>103</v>
      </c>
      <c r="D128" s="1">
        <v>44469</v>
      </c>
      <c r="E128">
        <v>15179803016</v>
      </c>
      <c r="F128" t="str">
        <f ca="1">VLOOKUP(RANDBETWEEN(1,20),'DBO Compras'!AA:AC,3,0)</f>
        <v>Comprador 12</v>
      </c>
      <c r="G128" t="s">
        <v>155</v>
      </c>
      <c r="H128" t="s">
        <v>156</v>
      </c>
      <c r="I128" t="s">
        <v>157</v>
      </c>
      <c r="J128" t="s">
        <v>158</v>
      </c>
      <c r="K128">
        <v>84500000</v>
      </c>
      <c r="L128" t="s">
        <v>40</v>
      </c>
      <c r="M128" t="s">
        <v>159</v>
      </c>
      <c r="N128">
        <v>42999250064</v>
      </c>
      <c r="O128">
        <v>0</v>
      </c>
      <c r="P128">
        <v>0</v>
      </c>
      <c r="R128" t="s">
        <v>42</v>
      </c>
      <c r="S128">
        <v>15016073255</v>
      </c>
      <c r="T128" t="str">
        <f ca="1">VLOOKUP(RANDBETWEEN(1,17),'Auxiliar Vendas'!D:G,2,0)</f>
        <v>Produto 01</v>
      </c>
      <c r="U128">
        <v>160</v>
      </c>
      <c r="V128">
        <v>16.899999999999999</v>
      </c>
      <c r="W128">
        <v>0</v>
      </c>
      <c r="X128">
        <v>10.747</v>
      </c>
      <c r="Y128" s="3">
        <v>2704</v>
      </c>
      <c r="Z128">
        <v>50</v>
      </c>
      <c r="AA128" t="s">
        <v>160</v>
      </c>
      <c r="AB128">
        <v>0</v>
      </c>
      <c r="AC128">
        <v>0</v>
      </c>
      <c r="AH128" s="2">
        <v>44469.363194444442</v>
      </c>
      <c r="AI128">
        <v>0</v>
      </c>
      <c r="AJ128">
        <v>0</v>
      </c>
      <c r="AK128" s="30" t="str">
        <f ca="1">VLOOKUP(T128,'Auxiliar Vendas'!E:F,2,FALSE)</f>
        <v>Produto 01</v>
      </c>
      <c r="AL128" s="31">
        <f ca="1">U128*VLOOKUP(T128,'Auxiliar Vendas'!E:G,3,FALSE)</f>
        <v>64</v>
      </c>
    </row>
    <row r="129" spans="1:38">
      <c r="A129">
        <v>15294974480</v>
      </c>
      <c r="B129">
        <v>103</v>
      </c>
      <c r="D129" s="1">
        <v>44469</v>
      </c>
      <c r="E129">
        <v>15179803016</v>
      </c>
      <c r="F129" t="str">
        <f ca="1">VLOOKUP(RANDBETWEEN(1,20),'DBO Compras'!AA:AC,3,0)</f>
        <v>Comprador 09</v>
      </c>
      <c r="G129" t="s">
        <v>155</v>
      </c>
      <c r="H129" t="s">
        <v>156</v>
      </c>
      <c r="I129" t="s">
        <v>157</v>
      </c>
      <c r="J129" t="s">
        <v>158</v>
      </c>
      <c r="K129">
        <v>84500000</v>
      </c>
      <c r="L129" t="s">
        <v>40</v>
      </c>
      <c r="M129" t="s">
        <v>159</v>
      </c>
      <c r="N129">
        <v>42999250064</v>
      </c>
      <c r="O129">
        <v>0</v>
      </c>
      <c r="P129">
        <v>0</v>
      </c>
      <c r="R129" t="s">
        <v>42</v>
      </c>
      <c r="S129">
        <v>15016080333</v>
      </c>
      <c r="T129" t="str">
        <f ca="1">VLOOKUP(RANDBETWEEN(1,17),'Auxiliar Vendas'!D:G,2,0)</f>
        <v>Produto 13</v>
      </c>
      <c r="U129">
        <v>60</v>
      </c>
      <c r="V129">
        <v>15.5</v>
      </c>
      <c r="W129">
        <v>0</v>
      </c>
      <c r="X129">
        <v>10.747</v>
      </c>
      <c r="Y129">
        <v>930</v>
      </c>
      <c r="Z129">
        <v>50</v>
      </c>
      <c r="AA129" t="s">
        <v>80</v>
      </c>
      <c r="AB129">
        <v>0</v>
      </c>
      <c r="AC129">
        <v>0</v>
      </c>
      <c r="AH129" s="2">
        <v>44469.363194444442</v>
      </c>
      <c r="AI129">
        <v>0</v>
      </c>
      <c r="AJ129">
        <v>0</v>
      </c>
      <c r="AK129" s="30" t="str">
        <f ca="1">VLOOKUP(T129,'Auxiliar Vendas'!E:F,2,FALSE)</f>
        <v>Produto 13</v>
      </c>
      <c r="AL129" s="31">
        <f ca="1">U129*VLOOKUP(T129,'Auxiliar Vendas'!E:G,3,FALSE)</f>
        <v>84</v>
      </c>
    </row>
    <row r="130" spans="1:38">
      <c r="A130">
        <v>15294974480</v>
      </c>
      <c r="B130">
        <v>103</v>
      </c>
      <c r="D130" s="1">
        <v>44469</v>
      </c>
      <c r="E130">
        <v>15179803016</v>
      </c>
      <c r="F130" t="str">
        <f ca="1">VLOOKUP(RANDBETWEEN(1,20),'DBO Compras'!AA:AC,3,0)</f>
        <v>Comprador 01</v>
      </c>
      <c r="G130" t="s">
        <v>155</v>
      </c>
      <c r="H130" t="s">
        <v>156</v>
      </c>
      <c r="I130" t="s">
        <v>157</v>
      </c>
      <c r="J130" t="s">
        <v>158</v>
      </c>
      <c r="K130">
        <v>84500000</v>
      </c>
      <c r="L130" t="s">
        <v>40</v>
      </c>
      <c r="M130" t="s">
        <v>159</v>
      </c>
      <c r="N130">
        <v>42999250064</v>
      </c>
      <c r="O130">
        <v>0</v>
      </c>
      <c r="P130">
        <v>0</v>
      </c>
      <c r="R130" t="s">
        <v>42</v>
      </c>
      <c r="S130">
        <v>15016093155</v>
      </c>
      <c r="T130" t="str">
        <f ca="1">VLOOKUP(RANDBETWEEN(1,17),'Auxiliar Vendas'!D:G,2,0)</f>
        <v>Produto 04</v>
      </c>
      <c r="U130">
        <v>100</v>
      </c>
      <c r="V130">
        <v>18.2</v>
      </c>
      <c r="W130">
        <v>0</v>
      </c>
      <c r="X130">
        <v>14.4596</v>
      </c>
      <c r="Y130" s="3">
        <v>1820</v>
      </c>
      <c r="Z130">
        <v>50</v>
      </c>
      <c r="AA130" t="s">
        <v>65</v>
      </c>
      <c r="AB130">
        <v>0</v>
      </c>
      <c r="AC130">
        <v>0</v>
      </c>
      <c r="AH130" s="2">
        <v>44469.363194444442</v>
      </c>
      <c r="AI130">
        <v>0</v>
      </c>
      <c r="AJ130">
        <v>0</v>
      </c>
      <c r="AK130" s="30" t="str">
        <f ca="1">VLOOKUP(T130,'Auxiliar Vendas'!E:F,2,FALSE)</f>
        <v>Produto 04</v>
      </c>
      <c r="AL130" s="31">
        <f ca="1">U130*VLOOKUP(T130,'Auxiliar Vendas'!E:G,3,FALSE)</f>
        <v>60</v>
      </c>
    </row>
    <row r="131" spans="1:38">
      <c r="A131">
        <v>15294974480</v>
      </c>
      <c r="B131">
        <v>103</v>
      </c>
      <c r="D131" s="1">
        <v>44469</v>
      </c>
      <c r="E131">
        <v>15179803016</v>
      </c>
      <c r="F131" t="str">
        <f ca="1">VLOOKUP(RANDBETWEEN(1,20),'DBO Compras'!AA:AC,3,0)</f>
        <v>Comprador 16</v>
      </c>
      <c r="G131" t="s">
        <v>155</v>
      </c>
      <c r="H131" t="s">
        <v>156</v>
      </c>
      <c r="I131" t="s">
        <v>157</v>
      </c>
      <c r="J131" t="s">
        <v>158</v>
      </c>
      <c r="K131">
        <v>84500000</v>
      </c>
      <c r="L131" t="s">
        <v>40</v>
      </c>
      <c r="M131" t="s">
        <v>159</v>
      </c>
      <c r="N131">
        <v>42999250064</v>
      </c>
      <c r="O131">
        <v>0</v>
      </c>
      <c r="P131">
        <v>0</v>
      </c>
      <c r="R131" t="s">
        <v>42</v>
      </c>
      <c r="S131">
        <v>15015925662</v>
      </c>
      <c r="T131" t="str">
        <f ca="1">VLOOKUP(RANDBETWEEN(1,17),'Auxiliar Vendas'!D:G,2,0)</f>
        <v>Produto 13</v>
      </c>
      <c r="U131">
        <v>240</v>
      </c>
      <c r="V131">
        <v>8.3800000000000008</v>
      </c>
      <c r="W131">
        <v>0</v>
      </c>
      <c r="X131">
        <v>3.74</v>
      </c>
      <c r="Y131" s="3">
        <v>2011.2</v>
      </c>
      <c r="Z131">
        <v>50</v>
      </c>
      <c r="AA131" t="s">
        <v>82</v>
      </c>
      <c r="AB131">
        <v>0</v>
      </c>
      <c r="AC131">
        <v>0</v>
      </c>
      <c r="AH131" s="2">
        <v>44469.363194444442</v>
      </c>
      <c r="AI131">
        <v>0</v>
      </c>
      <c r="AJ131">
        <v>0</v>
      </c>
      <c r="AK131" s="30" t="str">
        <f ca="1">VLOOKUP(T131,'Auxiliar Vendas'!E:F,2,FALSE)</f>
        <v>Produto 13</v>
      </c>
      <c r="AL131" s="31">
        <f ca="1">U131*VLOOKUP(T131,'Auxiliar Vendas'!E:G,3,FALSE)</f>
        <v>336</v>
      </c>
    </row>
    <row r="132" spans="1:38">
      <c r="A132">
        <v>15331916125</v>
      </c>
      <c r="B132">
        <v>117</v>
      </c>
      <c r="D132" s="1">
        <v>44469</v>
      </c>
      <c r="E132">
        <v>15058719469</v>
      </c>
      <c r="F132" t="str">
        <f ca="1">VLOOKUP(RANDBETWEEN(1,20),'DBO Compras'!AA:AC,3,0)</f>
        <v>Comprador 09</v>
      </c>
      <c r="G132" t="s">
        <v>72</v>
      </c>
      <c r="H132" t="s">
        <v>73</v>
      </c>
      <c r="I132" t="s">
        <v>74</v>
      </c>
      <c r="J132" t="s">
        <v>48</v>
      </c>
      <c r="K132">
        <v>82930548</v>
      </c>
      <c r="L132" t="s">
        <v>40</v>
      </c>
      <c r="O132">
        <v>0</v>
      </c>
      <c r="P132">
        <v>0</v>
      </c>
      <c r="R132" t="s">
        <v>42</v>
      </c>
      <c r="S132">
        <v>15016043939</v>
      </c>
      <c r="T132" t="str">
        <f ca="1">VLOOKUP(RANDBETWEEN(1,17),'Auxiliar Vendas'!D:G,2,0)</f>
        <v>Produto 07</v>
      </c>
      <c r="U132">
        <v>200</v>
      </c>
      <c r="V132">
        <v>14.25</v>
      </c>
      <c r="W132">
        <v>0</v>
      </c>
      <c r="X132">
        <v>10.747</v>
      </c>
      <c r="Y132" s="3">
        <v>2850</v>
      </c>
      <c r="Z132">
        <v>19</v>
      </c>
      <c r="AA132" t="s">
        <v>50</v>
      </c>
      <c r="AB132">
        <v>0</v>
      </c>
      <c r="AC132">
        <v>0</v>
      </c>
      <c r="AH132" s="2">
        <v>44469.710416666669</v>
      </c>
      <c r="AI132">
        <v>0</v>
      </c>
      <c r="AJ132">
        <v>0</v>
      </c>
      <c r="AK132" s="30" t="str">
        <f ca="1">VLOOKUP(T132,'Auxiliar Vendas'!E:F,2,FALSE)</f>
        <v>Produto 07</v>
      </c>
      <c r="AL132" s="31">
        <f ca="1">U132*VLOOKUP(T132,'Auxiliar Vendas'!E:G,3,FALSE)</f>
        <v>220.00000000000003</v>
      </c>
    </row>
    <row r="133" spans="1:38">
      <c r="A133">
        <v>15331916125</v>
      </c>
      <c r="B133">
        <v>117</v>
      </c>
      <c r="D133" s="1">
        <v>44469</v>
      </c>
      <c r="E133">
        <v>15058719469</v>
      </c>
      <c r="F133" t="str">
        <f ca="1">VLOOKUP(RANDBETWEEN(1,20),'DBO Compras'!AA:AC,3,0)</f>
        <v>Comprador 10</v>
      </c>
      <c r="G133" t="s">
        <v>72</v>
      </c>
      <c r="H133" t="s">
        <v>73</v>
      </c>
      <c r="I133" t="s">
        <v>74</v>
      </c>
      <c r="J133" t="s">
        <v>48</v>
      </c>
      <c r="K133">
        <v>82930548</v>
      </c>
      <c r="L133" t="s">
        <v>40</v>
      </c>
      <c r="O133">
        <v>0</v>
      </c>
      <c r="P133">
        <v>0</v>
      </c>
      <c r="R133" t="s">
        <v>42</v>
      </c>
      <c r="S133">
        <v>15015511068</v>
      </c>
      <c r="T133" t="str">
        <f ca="1">VLOOKUP(RANDBETWEEN(1,17),'Auxiliar Vendas'!D:G,2,0)</f>
        <v>Produto 04</v>
      </c>
      <c r="U133">
        <v>50</v>
      </c>
      <c r="V133">
        <v>16.7</v>
      </c>
      <c r="W133">
        <v>0</v>
      </c>
      <c r="X133">
        <v>10.23</v>
      </c>
      <c r="Y133">
        <v>835</v>
      </c>
      <c r="Z133">
        <v>19</v>
      </c>
      <c r="AA133" t="s">
        <v>53</v>
      </c>
      <c r="AB133">
        <v>0</v>
      </c>
      <c r="AC133">
        <v>0</v>
      </c>
      <c r="AH133" s="2">
        <v>44469.710416666669</v>
      </c>
      <c r="AI133">
        <v>0</v>
      </c>
      <c r="AJ133">
        <v>0</v>
      </c>
      <c r="AK133" s="30" t="str">
        <f ca="1">VLOOKUP(T133,'Auxiliar Vendas'!E:F,2,FALSE)</f>
        <v>Produto 04</v>
      </c>
      <c r="AL133" s="31">
        <f ca="1">U133*VLOOKUP(T133,'Auxiliar Vendas'!E:G,3,FALSE)</f>
        <v>30</v>
      </c>
    </row>
    <row r="134" spans="1:38">
      <c r="A134">
        <v>15331916125</v>
      </c>
      <c r="B134">
        <v>117</v>
      </c>
      <c r="D134" s="1">
        <v>44469</v>
      </c>
      <c r="E134">
        <v>15058719469</v>
      </c>
      <c r="F134" t="str">
        <f ca="1">VLOOKUP(RANDBETWEEN(1,20),'DBO Compras'!AA:AC,3,0)</f>
        <v>Comprador 01</v>
      </c>
      <c r="G134" t="s">
        <v>72</v>
      </c>
      <c r="H134" t="s">
        <v>73</v>
      </c>
      <c r="I134" t="s">
        <v>74</v>
      </c>
      <c r="J134" t="s">
        <v>48</v>
      </c>
      <c r="K134">
        <v>82930548</v>
      </c>
      <c r="L134" t="s">
        <v>40</v>
      </c>
      <c r="O134">
        <v>0</v>
      </c>
      <c r="P134">
        <v>0</v>
      </c>
      <c r="R134" t="s">
        <v>42</v>
      </c>
      <c r="S134">
        <v>15016093155</v>
      </c>
      <c r="T134" t="str">
        <f ca="1">VLOOKUP(RANDBETWEEN(1,17),'Auxiliar Vendas'!D:G,2,0)</f>
        <v>Produto 02</v>
      </c>
      <c r="U134">
        <v>40</v>
      </c>
      <c r="V134">
        <v>18.7</v>
      </c>
      <c r="W134">
        <v>0</v>
      </c>
      <c r="X134">
        <v>14.4596</v>
      </c>
      <c r="Y134">
        <v>748</v>
      </c>
      <c r="Z134">
        <v>19</v>
      </c>
      <c r="AA134" t="s">
        <v>65</v>
      </c>
      <c r="AB134">
        <v>0</v>
      </c>
      <c r="AC134">
        <v>0</v>
      </c>
      <c r="AH134" s="2">
        <v>44469.710416666669</v>
      </c>
      <c r="AI134">
        <v>0</v>
      </c>
      <c r="AJ134">
        <v>0</v>
      </c>
      <c r="AK134" s="30" t="str">
        <f ca="1">VLOOKUP(T134,'Auxiliar Vendas'!E:F,2,FALSE)</f>
        <v>Produto 02</v>
      </c>
      <c r="AL134" s="31">
        <f ca="1">U134*VLOOKUP(T134,'Auxiliar Vendas'!E:G,3,FALSE)</f>
        <v>10.8</v>
      </c>
    </row>
    <row r="135" spans="1:38">
      <c r="A135">
        <v>15331916125</v>
      </c>
      <c r="B135">
        <v>117</v>
      </c>
      <c r="D135" s="1">
        <v>44469</v>
      </c>
      <c r="E135">
        <v>15058719469</v>
      </c>
      <c r="F135" t="str">
        <f ca="1">VLOOKUP(RANDBETWEEN(1,20),'DBO Compras'!AA:AC,3,0)</f>
        <v>Comprador 04</v>
      </c>
      <c r="G135" t="s">
        <v>72</v>
      </c>
      <c r="H135" t="s">
        <v>73</v>
      </c>
      <c r="I135" t="s">
        <v>74</v>
      </c>
      <c r="J135" t="s">
        <v>48</v>
      </c>
      <c r="K135">
        <v>82930548</v>
      </c>
      <c r="L135" t="s">
        <v>40</v>
      </c>
      <c r="O135">
        <v>0</v>
      </c>
      <c r="P135">
        <v>0</v>
      </c>
      <c r="R135" t="s">
        <v>42</v>
      </c>
      <c r="S135">
        <v>15016080333</v>
      </c>
      <c r="T135" t="str">
        <f ca="1">VLOOKUP(RANDBETWEEN(1,17),'Auxiliar Vendas'!D:G,2,0)</f>
        <v>Produto 10</v>
      </c>
      <c r="U135">
        <v>20</v>
      </c>
      <c r="V135">
        <v>15.5</v>
      </c>
      <c r="W135">
        <v>0</v>
      </c>
      <c r="X135">
        <v>10.747</v>
      </c>
      <c r="Y135">
        <v>310</v>
      </c>
      <c r="Z135">
        <v>19</v>
      </c>
      <c r="AA135" t="s">
        <v>80</v>
      </c>
      <c r="AB135">
        <v>0</v>
      </c>
      <c r="AC135">
        <v>0</v>
      </c>
      <c r="AH135" s="2">
        <v>44469.710416666669</v>
      </c>
      <c r="AI135">
        <v>0</v>
      </c>
      <c r="AJ135">
        <v>0</v>
      </c>
      <c r="AK135" s="30" t="str">
        <f ca="1">VLOOKUP(T135,'Auxiliar Vendas'!E:F,2,FALSE)</f>
        <v>Produto 10</v>
      </c>
      <c r="AL135" s="31">
        <f ca="1">U135*VLOOKUP(T135,'Auxiliar Vendas'!E:G,3,FALSE)</f>
        <v>22</v>
      </c>
    </row>
    <row r="136" spans="1:38">
      <c r="A136">
        <v>15331916125</v>
      </c>
      <c r="B136">
        <v>117</v>
      </c>
      <c r="D136" s="1">
        <v>44469</v>
      </c>
      <c r="E136">
        <v>15058719469</v>
      </c>
      <c r="F136" t="str">
        <f ca="1">VLOOKUP(RANDBETWEEN(1,20),'DBO Compras'!AA:AC,3,0)</f>
        <v>Comprador 09</v>
      </c>
      <c r="G136" t="s">
        <v>72</v>
      </c>
      <c r="H136" t="s">
        <v>73</v>
      </c>
      <c r="I136" t="s">
        <v>74</v>
      </c>
      <c r="J136" t="s">
        <v>48</v>
      </c>
      <c r="K136">
        <v>82930548</v>
      </c>
      <c r="L136" t="s">
        <v>40</v>
      </c>
      <c r="O136">
        <v>0</v>
      </c>
      <c r="P136">
        <v>0</v>
      </c>
      <c r="R136" t="s">
        <v>42</v>
      </c>
      <c r="S136">
        <v>15015918644</v>
      </c>
      <c r="T136" t="str">
        <f ca="1">VLOOKUP(RANDBETWEEN(1,17),'Auxiliar Vendas'!D:G,2,0)</f>
        <v>Produto 06</v>
      </c>
      <c r="U136">
        <v>40</v>
      </c>
      <c r="V136">
        <v>8.3800000000000008</v>
      </c>
      <c r="W136">
        <v>0</v>
      </c>
      <c r="X136">
        <v>5.61</v>
      </c>
      <c r="Y136">
        <v>335.2</v>
      </c>
      <c r="Z136">
        <v>19</v>
      </c>
      <c r="AA136" t="s">
        <v>59</v>
      </c>
      <c r="AB136">
        <v>0</v>
      </c>
      <c r="AC136">
        <v>0</v>
      </c>
      <c r="AH136" s="2">
        <v>44469.710416666669</v>
      </c>
      <c r="AI136">
        <v>0</v>
      </c>
      <c r="AJ136">
        <v>0</v>
      </c>
      <c r="AK136" s="30" t="str">
        <f ca="1">VLOOKUP(T136,'Auxiliar Vendas'!E:F,2,FALSE)</f>
        <v>Produto 06</v>
      </c>
      <c r="AL136" s="31">
        <f ca="1">U136*VLOOKUP(T136,'Auxiliar Vendas'!E:G,3,FALSE)</f>
        <v>20</v>
      </c>
    </row>
    <row r="137" spans="1:38">
      <c r="A137">
        <v>15332094570</v>
      </c>
      <c r="B137">
        <v>118</v>
      </c>
      <c r="D137" s="1">
        <v>44469</v>
      </c>
      <c r="E137">
        <v>15332058913</v>
      </c>
      <c r="F137" t="str">
        <f ca="1">VLOOKUP(RANDBETWEEN(1,20),'DBO Compras'!AA:AC,3,0)</f>
        <v>Comprador 13</v>
      </c>
      <c r="G137" t="s">
        <v>161</v>
      </c>
      <c r="H137" t="s">
        <v>162</v>
      </c>
      <c r="I137" t="s">
        <v>163</v>
      </c>
      <c r="J137" t="s">
        <v>164</v>
      </c>
      <c r="K137">
        <v>83045510</v>
      </c>
      <c r="L137" t="s">
        <v>40</v>
      </c>
      <c r="O137">
        <v>0</v>
      </c>
      <c r="P137">
        <v>0</v>
      </c>
      <c r="R137" t="s">
        <v>42</v>
      </c>
      <c r="S137">
        <v>15016093155</v>
      </c>
      <c r="T137" t="str">
        <f ca="1">VLOOKUP(RANDBETWEEN(1,17),'Auxiliar Vendas'!D:G,2,0)</f>
        <v>Produto 02</v>
      </c>
      <c r="U137">
        <v>30</v>
      </c>
      <c r="V137">
        <v>19</v>
      </c>
      <c r="W137">
        <v>0</v>
      </c>
      <c r="X137">
        <v>14.4596</v>
      </c>
      <c r="Y137">
        <v>570</v>
      </c>
      <c r="Z137">
        <v>81</v>
      </c>
      <c r="AA137" t="s">
        <v>65</v>
      </c>
      <c r="AB137">
        <v>0</v>
      </c>
      <c r="AC137">
        <v>0</v>
      </c>
      <c r="AH137" s="2">
        <v>44469.362500000003</v>
      </c>
      <c r="AI137">
        <v>0</v>
      </c>
      <c r="AJ137">
        <v>0</v>
      </c>
      <c r="AK137" s="30" t="str">
        <f ca="1">VLOOKUP(T137,'Auxiliar Vendas'!E:F,2,FALSE)</f>
        <v>Produto 02</v>
      </c>
      <c r="AL137" s="31">
        <f ca="1">U137*VLOOKUP(T137,'Auxiliar Vendas'!E:G,3,FALSE)</f>
        <v>8.1000000000000014</v>
      </c>
    </row>
    <row r="138" spans="1:38">
      <c r="A138">
        <v>15332094570</v>
      </c>
      <c r="B138">
        <v>118</v>
      </c>
      <c r="D138" s="1">
        <v>44469</v>
      </c>
      <c r="E138">
        <v>15332058913</v>
      </c>
      <c r="F138" t="str">
        <f ca="1">VLOOKUP(RANDBETWEEN(1,20),'DBO Compras'!AA:AC,3,0)</f>
        <v>Comprador 01</v>
      </c>
      <c r="G138" t="s">
        <v>161</v>
      </c>
      <c r="H138" t="s">
        <v>162</v>
      </c>
      <c r="I138" t="s">
        <v>163</v>
      </c>
      <c r="J138" t="s">
        <v>164</v>
      </c>
      <c r="K138">
        <v>83045510</v>
      </c>
      <c r="L138" t="s">
        <v>40</v>
      </c>
      <c r="O138">
        <v>0</v>
      </c>
      <c r="P138">
        <v>0</v>
      </c>
      <c r="R138" t="s">
        <v>42</v>
      </c>
      <c r="S138">
        <v>15016080333</v>
      </c>
      <c r="T138" t="str">
        <f ca="1">VLOOKUP(RANDBETWEEN(1,17),'Auxiliar Vendas'!D:G,2,0)</f>
        <v>Produto 01</v>
      </c>
      <c r="U138">
        <v>10</v>
      </c>
      <c r="V138">
        <v>16.2</v>
      </c>
      <c r="W138">
        <v>0</v>
      </c>
      <c r="X138">
        <v>10.747</v>
      </c>
      <c r="Y138">
        <v>162</v>
      </c>
      <c r="Z138">
        <v>81</v>
      </c>
      <c r="AA138" t="s">
        <v>80</v>
      </c>
      <c r="AB138">
        <v>0</v>
      </c>
      <c r="AC138">
        <v>0</v>
      </c>
      <c r="AH138" s="2">
        <v>44469.362500000003</v>
      </c>
      <c r="AI138">
        <v>0</v>
      </c>
      <c r="AJ138">
        <v>0</v>
      </c>
      <c r="AK138" s="30" t="str">
        <f ca="1">VLOOKUP(T138,'Auxiliar Vendas'!E:F,2,FALSE)</f>
        <v>Produto 01</v>
      </c>
      <c r="AL138" s="31">
        <f ca="1">U138*VLOOKUP(T138,'Auxiliar Vendas'!E:G,3,FALSE)</f>
        <v>4</v>
      </c>
    </row>
    <row r="139" spans="1:38">
      <c r="A139">
        <v>15332094570</v>
      </c>
      <c r="B139">
        <v>118</v>
      </c>
      <c r="D139" s="1">
        <v>44469</v>
      </c>
      <c r="E139">
        <v>15332058913</v>
      </c>
      <c r="F139" t="str">
        <f ca="1">VLOOKUP(RANDBETWEEN(1,20),'DBO Compras'!AA:AC,3,0)</f>
        <v>Comprador 01</v>
      </c>
      <c r="G139" t="s">
        <v>161</v>
      </c>
      <c r="H139" t="s">
        <v>162</v>
      </c>
      <c r="I139" t="s">
        <v>163</v>
      </c>
      <c r="J139" t="s">
        <v>164</v>
      </c>
      <c r="K139">
        <v>83045510</v>
      </c>
      <c r="L139" t="s">
        <v>40</v>
      </c>
      <c r="O139">
        <v>0</v>
      </c>
      <c r="P139">
        <v>0</v>
      </c>
      <c r="R139" t="s">
        <v>42</v>
      </c>
      <c r="S139">
        <v>15016043939</v>
      </c>
      <c r="T139" t="str">
        <f ca="1">VLOOKUP(RANDBETWEEN(1,17),'Auxiliar Vendas'!D:G,2,0)</f>
        <v>Produto 15</v>
      </c>
      <c r="U139">
        <v>20</v>
      </c>
      <c r="V139">
        <v>14.9</v>
      </c>
      <c r="W139">
        <v>0</v>
      </c>
      <c r="X139">
        <v>10.747</v>
      </c>
      <c r="Y139">
        <v>298</v>
      </c>
      <c r="Z139">
        <v>81</v>
      </c>
      <c r="AA139" t="s">
        <v>50</v>
      </c>
      <c r="AB139">
        <v>0</v>
      </c>
      <c r="AC139">
        <v>0</v>
      </c>
      <c r="AH139" s="2">
        <v>44469.362500000003</v>
      </c>
      <c r="AI139">
        <v>0</v>
      </c>
      <c r="AJ139">
        <v>0</v>
      </c>
      <c r="AK139" s="30" t="str">
        <f ca="1">VLOOKUP(T139,'Auxiliar Vendas'!E:F,2,FALSE)</f>
        <v>Produto 15</v>
      </c>
      <c r="AL139" s="31">
        <f ca="1">U139*VLOOKUP(T139,'Auxiliar Vendas'!E:G,3,FALSE)</f>
        <v>28.4</v>
      </c>
    </row>
    <row r="140" spans="1:38">
      <c r="A140">
        <v>15332094570</v>
      </c>
      <c r="B140">
        <v>118</v>
      </c>
      <c r="D140" s="1">
        <v>44469</v>
      </c>
      <c r="E140">
        <v>15332058913</v>
      </c>
      <c r="F140" t="str">
        <f ca="1">VLOOKUP(RANDBETWEEN(1,20),'DBO Compras'!AA:AC,3,0)</f>
        <v>Comprador 12</v>
      </c>
      <c r="G140" t="s">
        <v>161</v>
      </c>
      <c r="H140" t="s">
        <v>162</v>
      </c>
      <c r="I140" t="s">
        <v>163</v>
      </c>
      <c r="J140" t="s">
        <v>164</v>
      </c>
      <c r="K140">
        <v>83045510</v>
      </c>
      <c r="L140" t="s">
        <v>40</v>
      </c>
      <c r="O140">
        <v>0</v>
      </c>
      <c r="P140">
        <v>0</v>
      </c>
      <c r="R140" t="s">
        <v>42</v>
      </c>
      <c r="S140">
        <v>15015918644</v>
      </c>
      <c r="T140" t="str">
        <f ca="1">VLOOKUP(RANDBETWEEN(1,17),'Auxiliar Vendas'!D:G,2,0)</f>
        <v>Produto 12</v>
      </c>
      <c r="U140">
        <v>10</v>
      </c>
      <c r="V140">
        <v>8.68</v>
      </c>
      <c r="W140">
        <v>0</v>
      </c>
      <c r="X140">
        <v>5.61</v>
      </c>
      <c r="Y140">
        <v>86.8</v>
      </c>
      <c r="Z140">
        <v>81</v>
      </c>
      <c r="AA140" t="s">
        <v>59</v>
      </c>
      <c r="AB140">
        <v>0</v>
      </c>
      <c r="AC140">
        <v>0</v>
      </c>
      <c r="AH140" s="2">
        <v>44469.362500000003</v>
      </c>
      <c r="AI140">
        <v>0</v>
      </c>
      <c r="AJ140">
        <v>0</v>
      </c>
      <c r="AK140" s="30" t="str">
        <f ca="1">VLOOKUP(T140,'Auxiliar Vendas'!E:F,2,FALSE)</f>
        <v>Produto 12</v>
      </c>
      <c r="AL140" s="31">
        <f ca="1">U140*VLOOKUP(T140,'Auxiliar Vendas'!E:G,3,FALSE)</f>
        <v>14</v>
      </c>
    </row>
    <row r="141" spans="1:38">
      <c r="A141">
        <v>15363505218</v>
      </c>
      <c r="B141">
        <v>153</v>
      </c>
      <c r="D141" s="1">
        <v>44469</v>
      </c>
      <c r="E141">
        <v>15058876151</v>
      </c>
      <c r="F141" t="str">
        <f ca="1">VLOOKUP(RANDBETWEEN(1,20),'DBO Compras'!AA:AC,3,0)</f>
        <v>Comprador 06</v>
      </c>
      <c r="G141" t="s">
        <v>114</v>
      </c>
      <c r="H141" t="s">
        <v>115</v>
      </c>
      <c r="I141" t="s">
        <v>116</v>
      </c>
      <c r="J141" t="s">
        <v>117</v>
      </c>
      <c r="K141">
        <v>86027620</v>
      </c>
      <c r="L141" t="s">
        <v>40</v>
      </c>
      <c r="M141" t="s">
        <v>118</v>
      </c>
      <c r="N141">
        <v>43996560102</v>
      </c>
      <c r="O141">
        <v>0</v>
      </c>
      <c r="P141">
        <v>0</v>
      </c>
      <c r="R141" t="s">
        <v>42</v>
      </c>
      <c r="S141">
        <v>15016073255</v>
      </c>
      <c r="T141" t="str">
        <f ca="1">VLOOKUP(RANDBETWEEN(1,17),'Auxiliar Vendas'!D:G,2,0)</f>
        <v>Produto 12</v>
      </c>
      <c r="U141">
        <v>300</v>
      </c>
      <c r="V141">
        <v>16.7</v>
      </c>
      <c r="W141">
        <v>0</v>
      </c>
      <c r="X141">
        <v>10.747</v>
      </c>
      <c r="Y141" s="3">
        <v>5010</v>
      </c>
      <c r="Z141">
        <v>24</v>
      </c>
      <c r="AA141" t="s">
        <v>160</v>
      </c>
      <c r="AB141">
        <v>0</v>
      </c>
      <c r="AC141">
        <v>0</v>
      </c>
      <c r="AD141" t="s">
        <v>58</v>
      </c>
      <c r="AH141" s="2">
        <v>44469.398611111108</v>
      </c>
      <c r="AI141">
        <v>0</v>
      </c>
      <c r="AJ141">
        <v>0</v>
      </c>
      <c r="AK141" s="30" t="str">
        <f ca="1">VLOOKUP(T141,'Auxiliar Vendas'!E:F,2,FALSE)</f>
        <v>Produto 12</v>
      </c>
      <c r="AL141" s="31">
        <f ca="1">U141*VLOOKUP(T141,'Auxiliar Vendas'!E:G,3,FALSE)</f>
        <v>420</v>
      </c>
    </row>
    <row r="142" spans="1:38">
      <c r="A142">
        <v>15363505218</v>
      </c>
      <c r="B142">
        <v>153</v>
      </c>
      <c r="D142" s="1">
        <v>44469</v>
      </c>
      <c r="E142">
        <v>15058876151</v>
      </c>
      <c r="F142" t="str">
        <f ca="1">VLOOKUP(RANDBETWEEN(1,20),'DBO Compras'!AA:AC,3,0)</f>
        <v>Comprador 04</v>
      </c>
      <c r="G142" t="s">
        <v>114</v>
      </c>
      <c r="H142" t="s">
        <v>115</v>
      </c>
      <c r="I142" t="s">
        <v>116</v>
      </c>
      <c r="J142" t="s">
        <v>117</v>
      </c>
      <c r="K142">
        <v>86027620</v>
      </c>
      <c r="L142" t="s">
        <v>40</v>
      </c>
      <c r="M142" t="s">
        <v>118</v>
      </c>
      <c r="N142">
        <v>43996560102</v>
      </c>
      <c r="O142">
        <v>0</v>
      </c>
      <c r="P142">
        <v>0</v>
      </c>
      <c r="R142" t="s">
        <v>42</v>
      </c>
      <c r="S142">
        <v>15015918644</v>
      </c>
      <c r="T142" t="str">
        <f ca="1">VLOOKUP(RANDBETWEEN(1,17),'Auxiliar Vendas'!D:G,2,0)</f>
        <v>Produto 02</v>
      </c>
      <c r="U142">
        <v>100</v>
      </c>
      <c r="V142">
        <v>8.3800000000000008</v>
      </c>
      <c r="W142">
        <v>0</v>
      </c>
      <c r="X142">
        <v>5.61</v>
      </c>
      <c r="Y142">
        <v>838</v>
      </c>
      <c r="Z142">
        <v>24</v>
      </c>
      <c r="AA142" t="s">
        <v>59</v>
      </c>
      <c r="AB142">
        <v>0</v>
      </c>
      <c r="AC142">
        <v>0</v>
      </c>
      <c r="AD142" t="s">
        <v>58</v>
      </c>
      <c r="AH142" s="2">
        <v>44469.398611111108</v>
      </c>
      <c r="AI142">
        <v>0</v>
      </c>
      <c r="AJ142">
        <v>0</v>
      </c>
      <c r="AK142" s="30" t="str">
        <f ca="1">VLOOKUP(T142,'Auxiliar Vendas'!E:F,2,FALSE)</f>
        <v>Produto 02</v>
      </c>
      <c r="AL142" s="31">
        <f ca="1">U142*VLOOKUP(T142,'Auxiliar Vendas'!E:G,3,FALSE)</f>
        <v>27</v>
      </c>
    </row>
    <row r="143" spans="1:38">
      <c r="A143">
        <v>15284501959</v>
      </c>
      <c r="B143">
        <v>70</v>
      </c>
      <c r="D143" s="1">
        <v>44498</v>
      </c>
      <c r="E143">
        <v>15179661508</v>
      </c>
      <c r="F143" t="str">
        <f ca="1">VLOOKUP(RANDBETWEEN(1,20),'DBO Compras'!AA:AC,3,0)</f>
        <v>Comprador 17</v>
      </c>
      <c r="G143" t="s">
        <v>165</v>
      </c>
      <c r="H143" t="s">
        <v>166</v>
      </c>
      <c r="I143" t="s">
        <v>167</v>
      </c>
      <c r="J143" t="s">
        <v>168</v>
      </c>
      <c r="K143">
        <v>83410260</v>
      </c>
      <c r="L143" t="s">
        <v>40</v>
      </c>
      <c r="O143">
        <v>0</v>
      </c>
      <c r="P143">
        <v>0</v>
      </c>
      <c r="R143" t="s">
        <v>42</v>
      </c>
      <c r="S143">
        <v>15016043939</v>
      </c>
      <c r="T143" t="str">
        <f ca="1">VLOOKUP(RANDBETWEEN(1,17),'Auxiliar Vendas'!D:G,2,0)</f>
        <v>Produto 15</v>
      </c>
      <c r="U143" s="3">
        <v>9000</v>
      </c>
      <c r="V143">
        <v>12.65</v>
      </c>
      <c r="W143">
        <v>0</v>
      </c>
      <c r="X143">
        <v>10.747</v>
      </c>
      <c r="Y143" s="3">
        <v>113850</v>
      </c>
      <c r="Z143">
        <v>45</v>
      </c>
      <c r="AA143" t="s">
        <v>50</v>
      </c>
      <c r="AB143">
        <v>0</v>
      </c>
      <c r="AC143">
        <v>0</v>
      </c>
      <c r="AH143" s="2">
        <v>44498.722222222219</v>
      </c>
      <c r="AI143">
        <v>0</v>
      </c>
      <c r="AJ143">
        <v>0</v>
      </c>
      <c r="AK143" s="30" t="str">
        <f ca="1">VLOOKUP(T143,'Auxiliar Vendas'!E:F,2,FALSE)</f>
        <v>Produto 15</v>
      </c>
      <c r="AL143" s="31">
        <f ca="1">U143*VLOOKUP(T143,'Auxiliar Vendas'!E:G,3,FALSE)</f>
        <v>12780</v>
      </c>
    </row>
    <row r="144" spans="1:38">
      <c r="A144">
        <v>15284501959</v>
      </c>
      <c r="B144">
        <v>70</v>
      </c>
      <c r="D144" s="1">
        <v>44498</v>
      </c>
      <c r="E144">
        <v>15179661508</v>
      </c>
      <c r="F144" t="str">
        <f ca="1">VLOOKUP(RANDBETWEEN(1,20),'DBO Compras'!AA:AC,3,0)</f>
        <v>Comprador 07</v>
      </c>
      <c r="G144" t="s">
        <v>165</v>
      </c>
      <c r="H144" t="s">
        <v>166</v>
      </c>
      <c r="I144" t="s">
        <v>167</v>
      </c>
      <c r="J144" t="s">
        <v>168</v>
      </c>
      <c r="K144">
        <v>83410260</v>
      </c>
      <c r="L144" t="s">
        <v>40</v>
      </c>
      <c r="O144">
        <v>0</v>
      </c>
      <c r="P144">
        <v>0</v>
      </c>
      <c r="R144" t="s">
        <v>42</v>
      </c>
      <c r="S144">
        <v>15015918644</v>
      </c>
      <c r="T144" t="str">
        <f ca="1">VLOOKUP(RANDBETWEEN(1,17),'Auxiliar Vendas'!D:G,2,0)</f>
        <v>Produto 10</v>
      </c>
      <c r="U144" s="3">
        <v>3840</v>
      </c>
      <c r="V144">
        <v>7.4</v>
      </c>
      <c r="W144">
        <v>0</v>
      </c>
      <c r="X144">
        <v>5.61</v>
      </c>
      <c r="Y144" s="3">
        <v>28416</v>
      </c>
      <c r="Z144">
        <v>45</v>
      </c>
      <c r="AA144" t="s">
        <v>59</v>
      </c>
      <c r="AB144">
        <v>0</v>
      </c>
      <c r="AC144">
        <v>0</v>
      </c>
      <c r="AH144" s="2">
        <v>44498.722222222219</v>
      </c>
      <c r="AI144">
        <v>0</v>
      </c>
      <c r="AJ144">
        <v>0</v>
      </c>
      <c r="AK144" s="30" t="str">
        <f ca="1">VLOOKUP(T144,'Auxiliar Vendas'!E:F,2,FALSE)</f>
        <v>Produto 10</v>
      </c>
      <c r="AL144" s="31">
        <f ca="1">U144*VLOOKUP(T144,'Auxiliar Vendas'!E:G,3,FALSE)</f>
        <v>4224</v>
      </c>
    </row>
    <row r="145" spans="1:38">
      <c r="A145">
        <v>15284501959</v>
      </c>
      <c r="B145">
        <v>70</v>
      </c>
      <c r="D145" s="1">
        <v>44498</v>
      </c>
      <c r="E145">
        <v>15179661508</v>
      </c>
      <c r="F145" t="str">
        <f ca="1">VLOOKUP(RANDBETWEEN(1,20),'DBO Compras'!AA:AC,3,0)</f>
        <v>Comprador 20</v>
      </c>
      <c r="G145" t="s">
        <v>165</v>
      </c>
      <c r="H145" t="s">
        <v>166</v>
      </c>
      <c r="I145" t="s">
        <v>167</v>
      </c>
      <c r="J145" t="s">
        <v>168</v>
      </c>
      <c r="K145">
        <v>83410260</v>
      </c>
      <c r="L145" t="s">
        <v>40</v>
      </c>
      <c r="O145">
        <v>0</v>
      </c>
      <c r="P145">
        <v>0</v>
      </c>
      <c r="R145" t="s">
        <v>42</v>
      </c>
      <c r="S145">
        <v>15015918644</v>
      </c>
      <c r="T145" t="str">
        <f ca="1">VLOOKUP(RANDBETWEEN(1,17),'Auxiliar Vendas'!D:G,2,0)</f>
        <v>Produto 03</v>
      </c>
      <c r="U145" s="3">
        <v>4000</v>
      </c>
      <c r="V145">
        <v>7.3</v>
      </c>
      <c r="W145">
        <v>0</v>
      </c>
      <c r="X145">
        <v>5.61</v>
      </c>
      <c r="Y145" s="3">
        <v>29200</v>
      </c>
      <c r="Z145">
        <v>45</v>
      </c>
      <c r="AA145" t="s">
        <v>59</v>
      </c>
      <c r="AB145">
        <v>0</v>
      </c>
      <c r="AC145">
        <v>0</v>
      </c>
      <c r="AH145" s="2">
        <v>44498.722222222219</v>
      </c>
      <c r="AI145">
        <v>0</v>
      </c>
      <c r="AJ145">
        <v>0</v>
      </c>
      <c r="AK145" s="30" t="str">
        <f ca="1">VLOOKUP(T145,'Auxiliar Vendas'!E:F,2,FALSE)</f>
        <v>Produto 03</v>
      </c>
      <c r="AL145" s="31">
        <f ca="1">U145*VLOOKUP(T145,'Auxiliar Vendas'!E:G,3,FALSE)</f>
        <v>2400</v>
      </c>
    </row>
    <row r="146" spans="1:38">
      <c r="A146">
        <v>15272428809</v>
      </c>
      <c r="B146">
        <v>54</v>
      </c>
      <c r="D146" s="1">
        <v>44499</v>
      </c>
      <c r="E146">
        <v>15179581888</v>
      </c>
      <c r="F146" t="str">
        <f ca="1">VLOOKUP(RANDBETWEEN(1,20),'DBO Compras'!AA:AC,3,0)</f>
        <v>Comprador 03</v>
      </c>
      <c r="G146" t="s">
        <v>54</v>
      </c>
      <c r="H146" t="s">
        <v>55</v>
      </c>
      <c r="I146" t="s">
        <v>56</v>
      </c>
      <c r="J146" t="s">
        <v>39</v>
      </c>
      <c r="K146">
        <v>81350610</v>
      </c>
      <c r="L146" t="s">
        <v>40</v>
      </c>
      <c r="M146" t="s">
        <v>57</v>
      </c>
      <c r="N146">
        <v>41996849234</v>
      </c>
      <c r="O146">
        <v>0</v>
      </c>
      <c r="P146">
        <v>0</v>
      </c>
      <c r="R146" t="s">
        <v>42</v>
      </c>
      <c r="S146">
        <v>15015911944</v>
      </c>
      <c r="T146" t="str">
        <f ca="1">VLOOKUP(RANDBETWEEN(1,17),'Auxiliar Vendas'!D:G,2,0)</f>
        <v>Produto 17</v>
      </c>
      <c r="U146">
        <v>3</v>
      </c>
      <c r="V146">
        <v>7</v>
      </c>
      <c r="W146">
        <v>0</v>
      </c>
      <c r="X146">
        <v>10.285</v>
      </c>
      <c r="Y146">
        <v>21</v>
      </c>
      <c r="Z146">
        <v>41</v>
      </c>
      <c r="AA146" t="s">
        <v>78</v>
      </c>
      <c r="AB146">
        <v>0</v>
      </c>
      <c r="AC146">
        <v>0</v>
      </c>
      <c r="AD146" t="s">
        <v>58</v>
      </c>
      <c r="AH146" s="2">
        <v>44499.696527777778</v>
      </c>
      <c r="AI146">
        <v>0</v>
      </c>
      <c r="AJ146">
        <v>0</v>
      </c>
      <c r="AK146" s="30" t="str">
        <f ca="1">VLOOKUP(T146,'Auxiliar Vendas'!E:F,2,FALSE)</f>
        <v>Produto 17</v>
      </c>
      <c r="AL146" s="31">
        <f ca="1">U146*VLOOKUP(T146,'Auxiliar Vendas'!E:G,3,FALSE)</f>
        <v>4.26</v>
      </c>
    </row>
    <row r="147" spans="1:38">
      <c r="A147">
        <v>15272428809</v>
      </c>
      <c r="B147">
        <v>54</v>
      </c>
      <c r="D147" s="1">
        <v>44499</v>
      </c>
      <c r="E147">
        <v>15179581888</v>
      </c>
      <c r="F147" t="str">
        <f ca="1">VLOOKUP(RANDBETWEEN(1,20),'DBO Compras'!AA:AC,3,0)</f>
        <v>Comprador 09</v>
      </c>
      <c r="G147" t="s">
        <v>54</v>
      </c>
      <c r="H147" t="s">
        <v>55</v>
      </c>
      <c r="I147" t="s">
        <v>56</v>
      </c>
      <c r="J147" t="s">
        <v>39</v>
      </c>
      <c r="K147">
        <v>81350610</v>
      </c>
      <c r="L147" t="s">
        <v>40</v>
      </c>
      <c r="M147" t="s">
        <v>57</v>
      </c>
      <c r="N147">
        <v>41996849234</v>
      </c>
      <c r="O147">
        <v>0</v>
      </c>
      <c r="P147">
        <v>0</v>
      </c>
      <c r="R147" t="s">
        <v>42</v>
      </c>
      <c r="S147">
        <v>15015085610</v>
      </c>
      <c r="T147" t="str">
        <f ca="1">VLOOKUP(RANDBETWEEN(1,17),'Auxiliar Vendas'!D:G,2,0)</f>
        <v>Produto 12</v>
      </c>
      <c r="U147" s="3">
        <v>3394</v>
      </c>
      <c r="V147">
        <v>12.9</v>
      </c>
      <c r="W147">
        <v>0</v>
      </c>
      <c r="X147">
        <v>10.23</v>
      </c>
      <c r="Y147" s="3">
        <v>43782.6</v>
      </c>
      <c r="Z147">
        <v>41</v>
      </c>
      <c r="AA147" t="s">
        <v>43</v>
      </c>
      <c r="AB147">
        <v>0</v>
      </c>
      <c r="AC147">
        <v>0</v>
      </c>
      <c r="AD147" t="s">
        <v>58</v>
      </c>
      <c r="AH147" s="2">
        <v>44499.696527777778</v>
      </c>
      <c r="AI147">
        <v>0</v>
      </c>
      <c r="AJ147">
        <v>0</v>
      </c>
      <c r="AK147" s="30" t="str">
        <f ca="1">VLOOKUP(T147,'Auxiliar Vendas'!E:F,2,FALSE)</f>
        <v>Produto 12</v>
      </c>
      <c r="AL147" s="31">
        <f ca="1">U147*VLOOKUP(T147,'Auxiliar Vendas'!E:G,3,FALSE)</f>
        <v>4751.5999999999995</v>
      </c>
    </row>
    <row r="148" spans="1:38">
      <c r="A148">
        <v>15272428809</v>
      </c>
      <c r="B148">
        <v>54</v>
      </c>
      <c r="D148" s="1">
        <v>44499</v>
      </c>
      <c r="E148">
        <v>15179581888</v>
      </c>
      <c r="F148" t="str">
        <f ca="1">VLOOKUP(RANDBETWEEN(1,20),'DBO Compras'!AA:AC,3,0)</f>
        <v>Comprador 06</v>
      </c>
      <c r="G148" t="s">
        <v>54</v>
      </c>
      <c r="H148" t="s">
        <v>55</v>
      </c>
      <c r="I148" t="s">
        <v>56</v>
      </c>
      <c r="J148" t="s">
        <v>39</v>
      </c>
      <c r="K148">
        <v>81350610</v>
      </c>
      <c r="L148" t="s">
        <v>40</v>
      </c>
      <c r="M148" t="s">
        <v>57</v>
      </c>
      <c r="N148">
        <v>41996849234</v>
      </c>
      <c r="O148">
        <v>0</v>
      </c>
      <c r="P148">
        <v>0</v>
      </c>
      <c r="R148" t="s">
        <v>42</v>
      </c>
      <c r="S148">
        <v>15016043939</v>
      </c>
      <c r="T148" t="str">
        <f ca="1">VLOOKUP(RANDBETWEEN(1,17),'Auxiliar Vendas'!D:G,2,0)</f>
        <v>Produto 01</v>
      </c>
      <c r="U148" s="3">
        <v>1389</v>
      </c>
      <c r="V148">
        <v>13.9</v>
      </c>
      <c r="W148">
        <v>0</v>
      </c>
      <c r="X148">
        <v>10.747</v>
      </c>
      <c r="Y148" s="3">
        <v>19307.099999999999</v>
      </c>
      <c r="Z148">
        <v>41</v>
      </c>
      <c r="AA148" t="s">
        <v>50</v>
      </c>
      <c r="AB148">
        <v>0</v>
      </c>
      <c r="AC148">
        <v>0</v>
      </c>
      <c r="AD148" t="s">
        <v>58</v>
      </c>
      <c r="AH148" s="2">
        <v>44499.696527777778</v>
      </c>
      <c r="AI148">
        <v>0</v>
      </c>
      <c r="AJ148">
        <v>0</v>
      </c>
      <c r="AK148" s="30" t="str">
        <f ca="1">VLOOKUP(T148,'Auxiliar Vendas'!E:F,2,FALSE)</f>
        <v>Produto 01</v>
      </c>
      <c r="AL148" s="31">
        <f ca="1">U148*VLOOKUP(T148,'Auxiliar Vendas'!E:G,3,FALSE)</f>
        <v>555.6</v>
      </c>
    </row>
    <row r="149" spans="1:38">
      <c r="A149">
        <v>15272428809</v>
      </c>
      <c r="B149">
        <v>54</v>
      </c>
      <c r="D149" s="1">
        <v>44499</v>
      </c>
      <c r="E149">
        <v>15179581888</v>
      </c>
      <c r="F149" t="str">
        <f ca="1">VLOOKUP(RANDBETWEEN(1,20),'DBO Compras'!AA:AC,3,0)</f>
        <v>Comprador 11</v>
      </c>
      <c r="G149" t="s">
        <v>54</v>
      </c>
      <c r="H149" t="s">
        <v>55</v>
      </c>
      <c r="I149" t="s">
        <v>56</v>
      </c>
      <c r="J149" t="s">
        <v>39</v>
      </c>
      <c r="K149">
        <v>81350610</v>
      </c>
      <c r="L149" t="s">
        <v>40</v>
      </c>
      <c r="M149" t="s">
        <v>57</v>
      </c>
      <c r="N149">
        <v>41996849234</v>
      </c>
      <c r="O149">
        <v>0</v>
      </c>
      <c r="P149">
        <v>0</v>
      </c>
      <c r="R149" t="s">
        <v>42</v>
      </c>
      <c r="S149">
        <v>15015423083</v>
      </c>
      <c r="T149" t="str">
        <f ca="1">VLOOKUP(RANDBETWEEN(1,17),'Auxiliar Vendas'!D:G,2,0)</f>
        <v>Produto 07</v>
      </c>
      <c r="U149">
        <v>140</v>
      </c>
      <c r="V149">
        <v>8</v>
      </c>
      <c r="W149">
        <v>0</v>
      </c>
      <c r="X149">
        <v>10.23</v>
      </c>
      <c r="Y149" s="3">
        <v>1120</v>
      </c>
      <c r="Z149">
        <v>41</v>
      </c>
      <c r="AA149" t="s">
        <v>125</v>
      </c>
      <c r="AB149">
        <v>0</v>
      </c>
      <c r="AC149">
        <v>0</v>
      </c>
      <c r="AD149" t="s">
        <v>58</v>
      </c>
      <c r="AH149" s="2">
        <v>44499.696527777778</v>
      </c>
      <c r="AI149">
        <v>0</v>
      </c>
      <c r="AJ149">
        <v>0</v>
      </c>
      <c r="AK149" s="30" t="str">
        <f ca="1">VLOOKUP(T149,'Auxiliar Vendas'!E:F,2,FALSE)</f>
        <v>Produto 07</v>
      </c>
      <c r="AL149" s="31">
        <f ca="1">U149*VLOOKUP(T149,'Auxiliar Vendas'!E:G,3,FALSE)</f>
        <v>154</v>
      </c>
    </row>
    <row r="150" spans="1:38">
      <c r="A150">
        <v>15272428809</v>
      </c>
      <c r="B150">
        <v>54</v>
      </c>
      <c r="D150" s="1">
        <v>44499</v>
      </c>
      <c r="E150">
        <v>15179581888</v>
      </c>
      <c r="F150" t="str">
        <f ca="1">VLOOKUP(RANDBETWEEN(1,20),'DBO Compras'!AA:AC,3,0)</f>
        <v>Comprador 19</v>
      </c>
      <c r="G150" t="s">
        <v>54</v>
      </c>
      <c r="H150" t="s">
        <v>55</v>
      </c>
      <c r="I150" t="s">
        <v>56</v>
      </c>
      <c r="J150" t="s">
        <v>39</v>
      </c>
      <c r="K150">
        <v>81350610</v>
      </c>
      <c r="L150" t="s">
        <v>40</v>
      </c>
      <c r="M150" t="s">
        <v>57</v>
      </c>
      <c r="N150">
        <v>41996849234</v>
      </c>
      <c r="O150">
        <v>0</v>
      </c>
      <c r="P150">
        <v>0</v>
      </c>
      <c r="R150" t="s">
        <v>42</v>
      </c>
      <c r="S150">
        <v>15015423083</v>
      </c>
      <c r="T150" t="str">
        <f ca="1">VLOOKUP(RANDBETWEEN(1,17),'Auxiliar Vendas'!D:G,2,0)</f>
        <v>Produto 14</v>
      </c>
      <c r="U150">
        <v>5</v>
      </c>
      <c r="V150">
        <v>9</v>
      </c>
      <c r="W150">
        <v>0</v>
      </c>
      <c r="X150">
        <v>10.23</v>
      </c>
      <c r="Y150">
        <v>45</v>
      </c>
      <c r="Z150">
        <v>41</v>
      </c>
      <c r="AA150" t="s">
        <v>125</v>
      </c>
      <c r="AB150">
        <v>0</v>
      </c>
      <c r="AC150">
        <v>0</v>
      </c>
      <c r="AD150" t="s">
        <v>58</v>
      </c>
      <c r="AH150" s="2">
        <v>44499.696527777778</v>
      </c>
      <c r="AI150">
        <v>0</v>
      </c>
      <c r="AJ150">
        <v>0</v>
      </c>
      <c r="AK150" s="30" t="str">
        <f ca="1">VLOOKUP(T150,'Auxiliar Vendas'!E:F,2,FALSE)</f>
        <v>Produto 14</v>
      </c>
      <c r="AL150" s="31">
        <f ca="1">U150*VLOOKUP(T150,'Auxiliar Vendas'!E:G,3,FALSE)</f>
        <v>7</v>
      </c>
    </row>
    <row r="151" spans="1:38">
      <c r="A151">
        <v>15272428809</v>
      </c>
      <c r="B151">
        <v>54</v>
      </c>
      <c r="D151" s="1">
        <v>44499</v>
      </c>
      <c r="E151">
        <v>15179581888</v>
      </c>
      <c r="F151" t="str">
        <f ca="1">VLOOKUP(RANDBETWEEN(1,20),'DBO Compras'!AA:AC,3,0)</f>
        <v>Comprador 14</v>
      </c>
      <c r="G151" t="s">
        <v>54</v>
      </c>
      <c r="H151" t="s">
        <v>55</v>
      </c>
      <c r="I151" t="s">
        <v>56</v>
      </c>
      <c r="J151" t="s">
        <v>39</v>
      </c>
      <c r="K151">
        <v>81350610</v>
      </c>
      <c r="L151" t="s">
        <v>40</v>
      </c>
      <c r="M151" t="s">
        <v>57</v>
      </c>
      <c r="N151">
        <v>41996849234</v>
      </c>
      <c r="O151">
        <v>0</v>
      </c>
      <c r="P151">
        <v>0</v>
      </c>
      <c r="R151" t="s">
        <v>42</v>
      </c>
      <c r="S151">
        <v>15015423083</v>
      </c>
      <c r="T151" t="str">
        <f ca="1">VLOOKUP(RANDBETWEEN(1,17),'Auxiliar Vendas'!D:G,2,0)</f>
        <v>Produto 01</v>
      </c>
      <c r="U151">
        <v>17</v>
      </c>
      <c r="V151">
        <v>15</v>
      </c>
      <c r="W151">
        <v>0</v>
      </c>
      <c r="X151">
        <v>10.23</v>
      </c>
      <c r="Y151">
        <v>255</v>
      </c>
      <c r="Z151">
        <v>41</v>
      </c>
      <c r="AA151" t="s">
        <v>125</v>
      </c>
      <c r="AB151">
        <v>0</v>
      </c>
      <c r="AC151">
        <v>0</v>
      </c>
      <c r="AD151" t="s">
        <v>58</v>
      </c>
      <c r="AH151" s="2">
        <v>44499.696527777778</v>
      </c>
      <c r="AI151">
        <v>0</v>
      </c>
      <c r="AJ151">
        <v>0</v>
      </c>
      <c r="AK151" s="30" t="str">
        <f ca="1">VLOOKUP(T151,'Auxiliar Vendas'!E:F,2,FALSE)</f>
        <v>Produto 01</v>
      </c>
      <c r="AL151" s="31">
        <f ca="1">U151*VLOOKUP(T151,'Auxiliar Vendas'!E:G,3,FALSE)</f>
        <v>6.8000000000000007</v>
      </c>
    </row>
    <row r="152" spans="1:38">
      <c r="A152">
        <v>15272428809</v>
      </c>
      <c r="B152">
        <v>54</v>
      </c>
      <c r="D152" s="1">
        <v>44499</v>
      </c>
      <c r="E152">
        <v>15179581888</v>
      </c>
      <c r="F152" t="str">
        <f ca="1">VLOOKUP(RANDBETWEEN(1,20),'DBO Compras'!AA:AC,3,0)</f>
        <v>Comprador 17</v>
      </c>
      <c r="G152" t="s">
        <v>54</v>
      </c>
      <c r="H152" t="s">
        <v>55</v>
      </c>
      <c r="I152" t="s">
        <v>56</v>
      </c>
      <c r="J152" t="s">
        <v>39</v>
      </c>
      <c r="K152">
        <v>81350610</v>
      </c>
      <c r="L152" t="s">
        <v>40</v>
      </c>
      <c r="M152" t="s">
        <v>57</v>
      </c>
      <c r="N152">
        <v>41996849234</v>
      </c>
      <c r="O152">
        <v>0</v>
      </c>
      <c r="P152">
        <v>0</v>
      </c>
      <c r="R152" t="s">
        <v>42</v>
      </c>
      <c r="S152">
        <v>15015511068</v>
      </c>
      <c r="T152" t="str">
        <f ca="1">VLOOKUP(RANDBETWEEN(1,17),'Auxiliar Vendas'!D:G,2,0)</f>
        <v>Produto 05</v>
      </c>
      <c r="U152" s="3">
        <v>1209</v>
      </c>
      <c r="V152">
        <v>16</v>
      </c>
      <c r="W152">
        <v>0</v>
      </c>
      <c r="X152">
        <v>10.23</v>
      </c>
      <c r="Y152" s="3">
        <v>19344</v>
      </c>
      <c r="Z152">
        <v>41</v>
      </c>
      <c r="AA152" t="s">
        <v>53</v>
      </c>
      <c r="AB152">
        <v>0</v>
      </c>
      <c r="AC152">
        <v>0</v>
      </c>
      <c r="AD152" t="s">
        <v>58</v>
      </c>
      <c r="AH152" s="2">
        <v>44499.696527777778</v>
      </c>
      <c r="AI152">
        <v>0</v>
      </c>
      <c r="AJ152">
        <v>0</v>
      </c>
      <c r="AK152" s="30" t="str">
        <f ca="1">VLOOKUP(T152,'Auxiliar Vendas'!E:F,2,FALSE)</f>
        <v>Produto 05</v>
      </c>
      <c r="AL152" s="31">
        <f ca="1">U152*VLOOKUP(T152,'Auxiliar Vendas'!E:G,3,FALSE)</f>
        <v>725.4</v>
      </c>
    </row>
    <row r="153" spans="1:38">
      <c r="A153">
        <v>15272428809</v>
      </c>
      <c r="B153">
        <v>54</v>
      </c>
      <c r="D153" s="1">
        <v>44499</v>
      </c>
      <c r="E153">
        <v>15179581888</v>
      </c>
      <c r="F153" t="str">
        <f ca="1">VLOOKUP(RANDBETWEEN(1,20),'DBO Compras'!AA:AC,3,0)</f>
        <v>Comprador 02</v>
      </c>
      <c r="G153" t="s">
        <v>54</v>
      </c>
      <c r="H153" t="s">
        <v>55</v>
      </c>
      <c r="I153" t="s">
        <v>56</v>
      </c>
      <c r="J153" t="s">
        <v>39</v>
      </c>
      <c r="K153">
        <v>81350610</v>
      </c>
      <c r="L153" t="s">
        <v>40</v>
      </c>
      <c r="M153" t="s">
        <v>57</v>
      </c>
      <c r="N153">
        <v>41996849234</v>
      </c>
      <c r="O153">
        <v>0</v>
      </c>
      <c r="P153">
        <v>0</v>
      </c>
      <c r="R153" t="s">
        <v>42</v>
      </c>
      <c r="S153">
        <v>15015511068</v>
      </c>
      <c r="T153" t="str">
        <f ca="1">VLOOKUP(RANDBETWEEN(1,17),'Auxiliar Vendas'!D:G,2,0)</f>
        <v>Produto 14</v>
      </c>
      <c r="U153">
        <v>325</v>
      </c>
      <c r="V153">
        <v>16.2</v>
      </c>
      <c r="W153">
        <v>0</v>
      </c>
      <c r="X153">
        <v>10.23</v>
      </c>
      <c r="Y153" s="3">
        <v>5265</v>
      </c>
      <c r="Z153">
        <v>41</v>
      </c>
      <c r="AA153" t="s">
        <v>53</v>
      </c>
      <c r="AB153">
        <v>0</v>
      </c>
      <c r="AC153">
        <v>0</v>
      </c>
      <c r="AD153" t="s">
        <v>58</v>
      </c>
      <c r="AH153" s="2">
        <v>44499.696527777778</v>
      </c>
      <c r="AI153">
        <v>0</v>
      </c>
      <c r="AJ153">
        <v>0</v>
      </c>
      <c r="AK153" s="30" t="str">
        <f ca="1">VLOOKUP(T153,'Auxiliar Vendas'!E:F,2,FALSE)</f>
        <v>Produto 14</v>
      </c>
      <c r="AL153" s="31">
        <f ca="1">U153*VLOOKUP(T153,'Auxiliar Vendas'!E:G,3,FALSE)</f>
        <v>454.99999999999994</v>
      </c>
    </row>
    <row r="154" spans="1:38">
      <c r="A154">
        <v>15272428809</v>
      </c>
      <c r="B154">
        <v>54</v>
      </c>
      <c r="D154" s="1">
        <v>44499</v>
      </c>
      <c r="E154">
        <v>15179581888</v>
      </c>
      <c r="F154" t="str">
        <f ca="1">VLOOKUP(RANDBETWEEN(1,20),'DBO Compras'!AA:AC,3,0)</f>
        <v>Comprador 08</v>
      </c>
      <c r="G154" t="s">
        <v>54</v>
      </c>
      <c r="H154" t="s">
        <v>55</v>
      </c>
      <c r="I154" t="s">
        <v>56</v>
      </c>
      <c r="J154" t="s">
        <v>39</v>
      </c>
      <c r="K154">
        <v>81350610</v>
      </c>
      <c r="L154" t="s">
        <v>40</v>
      </c>
      <c r="M154" t="s">
        <v>57</v>
      </c>
      <c r="N154">
        <v>41996849234</v>
      </c>
      <c r="O154">
        <v>0</v>
      </c>
      <c r="P154">
        <v>0</v>
      </c>
      <c r="R154" t="s">
        <v>42</v>
      </c>
      <c r="S154">
        <v>15015353721</v>
      </c>
      <c r="T154" t="str">
        <f ca="1">VLOOKUP(RANDBETWEEN(1,17),'Auxiliar Vendas'!D:G,2,0)</f>
        <v>Produto 07</v>
      </c>
      <c r="U154">
        <v>48</v>
      </c>
      <c r="V154">
        <v>5</v>
      </c>
      <c r="W154">
        <v>0</v>
      </c>
      <c r="X154">
        <v>5.58</v>
      </c>
      <c r="Y154">
        <v>240</v>
      </c>
      <c r="Z154">
        <v>41</v>
      </c>
      <c r="AA154" t="s">
        <v>44</v>
      </c>
      <c r="AB154">
        <v>0</v>
      </c>
      <c r="AC154">
        <v>0</v>
      </c>
      <c r="AD154" t="s">
        <v>58</v>
      </c>
      <c r="AH154" s="2">
        <v>44499.696527777778</v>
      </c>
      <c r="AI154">
        <v>0</v>
      </c>
      <c r="AJ154">
        <v>0</v>
      </c>
      <c r="AK154" s="30" t="str">
        <f ca="1">VLOOKUP(T154,'Auxiliar Vendas'!E:F,2,FALSE)</f>
        <v>Produto 07</v>
      </c>
      <c r="AL154" s="31">
        <f ca="1">U154*VLOOKUP(T154,'Auxiliar Vendas'!E:G,3,FALSE)</f>
        <v>52.800000000000004</v>
      </c>
    </row>
    <row r="155" spans="1:38">
      <c r="A155">
        <v>15272428809</v>
      </c>
      <c r="B155">
        <v>54</v>
      </c>
      <c r="D155" s="1">
        <v>44499</v>
      </c>
      <c r="E155">
        <v>15179581888</v>
      </c>
      <c r="F155" t="str">
        <f ca="1">VLOOKUP(RANDBETWEEN(1,20),'DBO Compras'!AA:AC,3,0)</f>
        <v>Comprador 01</v>
      </c>
      <c r="G155" t="s">
        <v>54</v>
      </c>
      <c r="H155" t="s">
        <v>55</v>
      </c>
      <c r="I155" t="s">
        <v>56</v>
      </c>
      <c r="J155" t="s">
        <v>39</v>
      </c>
      <c r="K155">
        <v>81350610</v>
      </c>
      <c r="L155" t="s">
        <v>40</v>
      </c>
      <c r="M155" t="s">
        <v>57</v>
      </c>
      <c r="N155">
        <v>41996849234</v>
      </c>
      <c r="O155">
        <v>0</v>
      </c>
      <c r="P155">
        <v>0</v>
      </c>
      <c r="R155" t="s">
        <v>42</v>
      </c>
      <c r="S155">
        <v>15015918644</v>
      </c>
      <c r="T155" t="str">
        <f ca="1">VLOOKUP(RANDBETWEEN(1,17),'Auxiliar Vendas'!D:G,2,0)</f>
        <v>Produto 09</v>
      </c>
      <c r="U155" s="3">
        <v>1291</v>
      </c>
      <c r="V155">
        <v>7.35</v>
      </c>
      <c r="W155">
        <v>0</v>
      </c>
      <c r="X155">
        <v>5.61</v>
      </c>
      <c r="Y155" s="3">
        <v>9488.85</v>
      </c>
      <c r="Z155">
        <v>41</v>
      </c>
      <c r="AA155" t="s">
        <v>59</v>
      </c>
      <c r="AB155">
        <v>0</v>
      </c>
      <c r="AC155">
        <v>0</v>
      </c>
      <c r="AD155" t="s">
        <v>58</v>
      </c>
      <c r="AH155" s="2">
        <v>44499.696527777778</v>
      </c>
      <c r="AI155">
        <v>0</v>
      </c>
      <c r="AJ155">
        <v>0</v>
      </c>
      <c r="AK155" s="30" t="str">
        <f ca="1">VLOOKUP(T155,'Auxiliar Vendas'!E:F,2,FALSE)</f>
        <v>Produto 09</v>
      </c>
      <c r="AL155" s="31">
        <f ca="1">U155*VLOOKUP(T155,'Auxiliar Vendas'!E:G,3,FALSE)</f>
        <v>1420.1000000000001</v>
      </c>
    </row>
    <row r="156" spans="1:38">
      <c r="A156">
        <v>15272428809</v>
      </c>
      <c r="B156">
        <v>54</v>
      </c>
      <c r="D156" s="1">
        <v>44499</v>
      </c>
      <c r="E156">
        <v>15179581888</v>
      </c>
      <c r="F156" t="str">
        <f ca="1">VLOOKUP(RANDBETWEEN(1,20),'DBO Compras'!AA:AC,3,0)</f>
        <v>Comprador 20</v>
      </c>
      <c r="G156" t="s">
        <v>54</v>
      </c>
      <c r="H156" t="s">
        <v>55</v>
      </c>
      <c r="I156" t="s">
        <v>56</v>
      </c>
      <c r="J156" t="s">
        <v>39</v>
      </c>
      <c r="K156">
        <v>81350610</v>
      </c>
      <c r="L156" t="s">
        <v>40</v>
      </c>
      <c r="M156" t="s">
        <v>57</v>
      </c>
      <c r="N156">
        <v>41996849234</v>
      </c>
      <c r="O156">
        <v>0</v>
      </c>
      <c r="P156">
        <v>0</v>
      </c>
      <c r="R156" t="s">
        <v>42</v>
      </c>
      <c r="S156">
        <v>15015918644</v>
      </c>
      <c r="T156" t="str">
        <f ca="1">VLOOKUP(RANDBETWEEN(1,17),'Auxiliar Vendas'!D:G,2,0)</f>
        <v>Produto 09</v>
      </c>
      <c r="U156" s="3">
        <v>1097</v>
      </c>
      <c r="V156">
        <v>8.1999999999999993</v>
      </c>
      <c r="W156">
        <v>0</v>
      </c>
      <c r="X156">
        <v>5.61</v>
      </c>
      <c r="Y156" s="3">
        <v>8995.4</v>
      </c>
      <c r="Z156">
        <v>41</v>
      </c>
      <c r="AA156" t="s">
        <v>59</v>
      </c>
      <c r="AB156">
        <v>0</v>
      </c>
      <c r="AC156">
        <v>0</v>
      </c>
      <c r="AD156" t="s">
        <v>58</v>
      </c>
      <c r="AH156" s="2">
        <v>44499.696527777778</v>
      </c>
      <c r="AI156">
        <v>0</v>
      </c>
      <c r="AJ156">
        <v>0</v>
      </c>
      <c r="AK156" s="30" t="str">
        <f ca="1">VLOOKUP(T156,'Auxiliar Vendas'!E:F,2,FALSE)</f>
        <v>Produto 09</v>
      </c>
      <c r="AL156" s="31">
        <f ca="1">U156*VLOOKUP(T156,'Auxiliar Vendas'!E:G,3,FALSE)</f>
        <v>1206.7</v>
      </c>
    </row>
    <row r="157" spans="1:38">
      <c r="A157">
        <v>15272428809</v>
      </c>
      <c r="B157">
        <v>54</v>
      </c>
      <c r="D157" s="1">
        <v>44499</v>
      </c>
      <c r="E157">
        <v>15179581888</v>
      </c>
      <c r="F157" t="str">
        <f ca="1">VLOOKUP(RANDBETWEEN(1,20),'DBO Compras'!AA:AC,3,0)</f>
        <v>Comprador 20</v>
      </c>
      <c r="G157" t="s">
        <v>54</v>
      </c>
      <c r="H157" t="s">
        <v>55</v>
      </c>
      <c r="I157" t="s">
        <v>56</v>
      </c>
      <c r="J157" t="s">
        <v>39</v>
      </c>
      <c r="K157">
        <v>81350610</v>
      </c>
      <c r="L157" t="s">
        <v>40</v>
      </c>
      <c r="M157" t="s">
        <v>57</v>
      </c>
      <c r="N157">
        <v>41996849234</v>
      </c>
      <c r="O157">
        <v>0</v>
      </c>
      <c r="P157">
        <v>0</v>
      </c>
      <c r="R157" t="s">
        <v>42</v>
      </c>
      <c r="S157">
        <v>15015925662</v>
      </c>
      <c r="T157" t="str">
        <f ca="1">VLOOKUP(RANDBETWEEN(1,17),'Auxiliar Vendas'!D:G,2,0)</f>
        <v>Produto 08</v>
      </c>
      <c r="U157" s="3">
        <v>2400</v>
      </c>
      <c r="V157">
        <v>3.9</v>
      </c>
      <c r="W157">
        <v>0</v>
      </c>
      <c r="X157">
        <v>3.74</v>
      </c>
      <c r="Y157" s="3">
        <v>9360</v>
      </c>
      <c r="Z157">
        <v>41</v>
      </c>
      <c r="AA157" t="s">
        <v>82</v>
      </c>
      <c r="AB157">
        <v>0</v>
      </c>
      <c r="AC157">
        <v>0</v>
      </c>
      <c r="AD157" t="s">
        <v>58</v>
      </c>
      <c r="AH157" s="2">
        <v>44499.696527777778</v>
      </c>
      <c r="AI157">
        <v>0</v>
      </c>
      <c r="AJ157">
        <v>0</v>
      </c>
      <c r="AK157" s="30" t="str">
        <f ca="1">VLOOKUP(T157,'Auxiliar Vendas'!E:F,2,FALSE)</f>
        <v>Produto 08</v>
      </c>
      <c r="AL157" s="31">
        <f ca="1">U157*VLOOKUP(T157,'Auxiliar Vendas'!E:G,3,FALSE)</f>
        <v>2640</v>
      </c>
    </row>
    <row r="158" spans="1:38">
      <c r="A158">
        <v>15272428809</v>
      </c>
      <c r="B158">
        <v>54</v>
      </c>
      <c r="D158" s="1">
        <v>44499</v>
      </c>
      <c r="E158">
        <v>15179581888</v>
      </c>
      <c r="F158" t="str">
        <f ca="1">VLOOKUP(RANDBETWEEN(1,20),'DBO Compras'!AA:AC,3,0)</f>
        <v>Comprador 03</v>
      </c>
      <c r="G158" t="s">
        <v>54</v>
      </c>
      <c r="H158" t="s">
        <v>55</v>
      </c>
      <c r="I158" t="s">
        <v>56</v>
      </c>
      <c r="J158" t="s">
        <v>39</v>
      </c>
      <c r="K158">
        <v>81350610</v>
      </c>
      <c r="L158" t="s">
        <v>40</v>
      </c>
      <c r="M158" t="s">
        <v>57</v>
      </c>
      <c r="N158">
        <v>41996849234</v>
      </c>
      <c r="O158">
        <v>0</v>
      </c>
      <c r="P158">
        <v>0</v>
      </c>
      <c r="R158" t="s">
        <v>42</v>
      </c>
      <c r="S158">
        <v>15015720950</v>
      </c>
      <c r="T158" t="str">
        <f ca="1">VLOOKUP(RANDBETWEEN(1,17),'Auxiliar Vendas'!D:G,2,0)</f>
        <v>Produto 17</v>
      </c>
      <c r="U158">
        <v>208</v>
      </c>
      <c r="V158">
        <v>14</v>
      </c>
      <c r="W158">
        <v>0</v>
      </c>
      <c r="X158">
        <v>10.23</v>
      </c>
      <c r="Y158" s="3">
        <v>2912</v>
      </c>
      <c r="Z158">
        <v>41</v>
      </c>
      <c r="AA158" t="s">
        <v>127</v>
      </c>
      <c r="AB158">
        <v>0</v>
      </c>
      <c r="AC158">
        <v>0</v>
      </c>
      <c r="AD158" t="s">
        <v>58</v>
      </c>
      <c r="AH158" s="2">
        <v>44499.696527777778</v>
      </c>
      <c r="AI158">
        <v>0</v>
      </c>
      <c r="AJ158">
        <v>0</v>
      </c>
      <c r="AK158" s="30" t="str">
        <f ca="1">VLOOKUP(T158,'Auxiliar Vendas'!E:F,2,FALSE)</f>
        <v>Produto 17</v>
      </c>
      <c r="AL158" s="31">
        <f ca="1">U158*VLOOKUP(T158,'Auxiliar Vendas'!E:G,3,FALSE)</f>
        <v>295.36</v>
      </c>
    </row>
    <row r="159" spans="1:38">
      <c r="A159">
        <v>15272428809</v>
      </c>
      <c r="B159">
        <v>54</v>
      </c>
      <c r="D159" s="1">
        <v>44499</v>
      </c>
      <c r="E159">
        <v>15179581888</v>
      </c>
      <c r="F159" t="str">
        <f ca="1">VLOOKUP(RANDBETWEEN(1,20),'DBO Compras'!AA:AC,3,0)</f>
        <v>Comprador 06</v>
      </c>
      <c r="G159" t="s">
        <v>54</v>
      </c>
      <c r="H159" t="s">
        <v>55</v>
      </c>
      <c r="I159" t="s">
        <v>56</v>
      </c>
      <c r="J159" t="s">
        <v>39</v>
      </c>
      <c r="K159">
        <v>81350610</v>
      </c>
      <c r="L159" t="s">
        <v>40</v>
      </c>
      <c r="M159" t="s">
        <v>57</v>
      </c>
      <c r="N159">
        <v>41996849234</v>
      </c>
      <c r="O159">
        <v>0</v>
      </c>
      <c r="P159">
        <v>0</v>
      </c>
      <c r="R159" t="s">
        <v>42</v>
      </c>
      <c r="S159">
        <v>15016080333</v>
      </c>
      <c r="T159" t="str">
        <f ca="1">VLOOKUP(RANDBETWEEN(1,17),'Auxiliar Vendas'!D:G,2,0)</f>
        <v>Produto 12</v>
      </c>
      <c r="U159">
        <v>368</v>
      </c>
      <c r="V159">
        <v>15.2</v>
      </c>
      <c r="W159">
        <v>0</v>
      </c>
      <c r="X159">
        <v>10.747</v>
      </c>
      <c r="Y159" s="3">
        <v>5593.6</v>
      </c>
      <c r="Z159">
        <v>41</v>
      </c>
      <c r="AA159" t="s">
        <v>80</v>
      </c>
      <c r="AB159">
        <v>0</v>
      </c>
      <c r="AC159">
        <v>0</v>
      </c>
      <c r="AD159" t="s">
        <v>58</v>
      </c>
      <c r="AH159" s="2">
        <v>44499.696527777778</v>
      </c>
      <c r="AI159">
        <v>0</v>
      </c>
      <c r="AJ159">
        <v>0</v>
      </c>
      <c r="AK159" s="30" t="str">
        <f ca="1">VLOOKUP(T159,'Auxiliar Vendas'!E:F,2,FALSE)</f>
        <v>Produto 12</v>
      </c>
      <c r="AL159" s="31">
        <f ca="1">U159*VLOOKUP(T159,'Auxiliar Vendas'!E:G,3,FALSE)</f>
        <v>515.19999999999993</v>
      </c>
    </row>
    <row r="160" spans="1:38">
      <c r="A160">
        <v>15272428809</v>
      </c>
      <c r="B160">
        <v>54</v>
      </c>
      <c r="D160" s="1">
        <v>44499</v>
      </c>
      <c r="E160">
        <v>15179581888</v>
      </c>
      <c r="F160" t="str">
        <f ca="1">VLOOKUP(RANDBETWEEN(1,20),'DBO Compras'!AA:AC,3,0)</f>
        <v>Comprador 04</v>
      </c>
      <c r="G160" t="s">
        <v>54</v>
      </c>
      <c r="H160" t="s">
        <v>55</v>
      </c>
      <c r="I160" t="s">
        <v>56</v>
      </c>
      <c r="J160" t="s">
        <v>39</v>
      </c>
      <c r="K160">
        <v>81350610</v>
      </c>
      <c r="L160" t="s">
        <v>40</v>
      </c>
      <c r="M160" t="s">
        <v>57</v>
      </c>
      <c r="N160">
        <v>41996849234</v>
      </c>
      <c r="O160">
        <v>0</v>
      </c>
      <c r="P160">
        <v>0</v>
      </c>
      <c r="R160" t="s">
        <v>42</v>
      </c>
      <c r="S160">
        <v>15015746121</v>
      </c>
      <c r="T160" t="str">
        <f ca="1">VLOOKUP(RANDBETWEEN(1,17),'Auxiliar Vendas'!D:G,2,0)</f>
        <v>Produto 02</v>
      </c>
      <c r="U160">
        <v>8</v>
      </c>
      <c r="V160">
        <v>17.7</v>
      </c>
      <c r="W160">
        <v>0</v>
      </c>
      <c r="X160">
        <v>13.763999999999999</v>
      </c>
      <c r="Y160">
        <v>141.6</v>
      </c>
      <c r="Z160">
        <v>41</v>
      </c>
      <c r="AA160" t="s">
        <v>81</v>
      </c>
      <c r="AB160">
        <v>0</v>
      </c>
      <c r="AC160">
        <v>0</v>
      </c>
      <c r="AD160" t="s">
        <v>58</v>
      </c>
      <c r="AH160" s="2">
        <v>44499.696527777778</v>
      </c>
      <c r="AI160">
        <v>0</v>
      </c>
      <c r="AJ160">
        <v>0</v>
      </c>
      <c r="AK160" s="30" t="str">
        <f ca="1">VLOOKUP(T160,'Auxiliar Vendas'!E:F,2,FALSE)</f>
        <v>Produto 02</v>
      </c>
      <c r="AL160" s="31">
        <f ca="1">U160*VLOOKUP(T160,'Auxiliar Vendas'!E:G,3,FALSE)</f>
        <v>2.16</v>
      </c>
    </row>
    <row r="161" spans="1:38">
      <c r="A161">
        <v>15272428809</v>
      </c>
      <c r="B161">
        <v>54</v>
      </c>
      <c r="D161" s="1">
        <v>44499</v>
      </c>
      <c r="E161">
        <v>15179581888</v>
      </c>
      <c r="F161" t="str">
        <f ca="1">VLOOKUP(RANDBETWEEN(1,20),'DBO Compras'!AA:AC,3,0)</f>
        <v>Comprador 17</v>
      </c>
      <c r="G161" t="s">
        <v>54</v>
      </c>
      <c r="H161" t="s">
        <v>55</v>
      </c>
      <c r="I161" t="s">
        <v>56</v>
      </c>
      <c r="J161" t="s">
        <v>39</v>
      </c>
      <c r="K161">
        <v>81350610</v>
      </c>
      <c r="L161" t="s">
        <v>40</v>
      </c>
      <c r="M161" t="s">
        <v>57</v>
      </c>
      <c r="N161">
        <v>41996849234</v>
      </c>
      <c r="O161">
        <v>0</v>
      </c>
      <c r="P161">
        <v>0</v>
      </c>
      <c r="R161" t="s">
        <v>42</v>
      </c>
      <c r="S161">
        <v>15016087271</v>
      </c>
      <c r="T161" t="str">
        <f ca="1">VLOOKUP(RANDBETWEEN(1,17),'Auxiliar Vendas'!D:G,2,0)</f>
        <v>Produto 17</v>
      </c>
      <c r="U161">
        <v>419</v>
      </c>
      <c r="V161">
        <v>17.8</v>
      </c>
      <c r="W161">
        <v>0</v>
      </c>
      <c r="X161">
        <v>14.4596</v>
      </c>
      <c r="Y161" s="3">
        <v>7458.2</v>
      </c>
      <c r="Z161">
        <v>41</v>
      </c>
      <c r="AA161" t="s">
        <v>64</v>
      </c>
      <c r="AB161">
        <v>0</v>
      </c>
      <c r="AC161">
        <v>0</v>
      </c>
      <c r="AD161" t="s">
        <v>58</v>
      </c>
      <c r="AH161" s="2">
        <v>44499.696527777778</v>
      </c>
      <c r="AI161">
        <v>0</v>
      </c>
      <c r="AJ161">
        <v>0</v>
      </c>
      <c r="AK161" s="30" t="str">
        <f ca="1">VLOOKUP(T161,'Auxiliar Vendas'!E:F,2,FALSE)</f>
        <v>Produto 17</v>
      </c>
      <c r="AL161" s="31">
        <f ca="1">U161*VLOOKUP(T161,'Auxiliar Vendas'!E:G,3,FALSE)</f>
        <v>594.98</v>
      </c>
    </row>
    <row r="162" spans="1:38">
      <c r="A162">
        <v>15272428809</v>
      </c>
      <c r="B162">
        <v>54</v>
      </c>
      <c r="D162" s="1">
        <v>44499</v>
      </c>
      <c r="E162">
        <v>15179581888</v>
      </c>
      <c r="F162" t="str">
        <f ca="1">VLOOKUP(RANDBETWEEN(1,20),'DBO Compras'!AA:AC,3,0)</f>
        <v>Comprador 09</v>
      </c>
      <c r="G162" t="s">
        <v>54</v>
      </c>
      <c r="H162" t="s">
        <v>55</v>
      </c>
      <c r="I162" t="s">
        <v>56</v>
      </c>
      <c r="J162" t="s">
        <v>39</v>
      </c>
      <c r="K162">
        <v>81350610</v>
      </c>
      <c r="L162" t="s">
        <v>40</v>
      </c>
      <c r="M162" t="s">
        <v>57</v>
      </c>
      <c r="N162">
        <v>41996849234</v>
      </c>
      <c r="O162">
        <v>0</v>
      </c>
      <c r="P162">
        <v>0</v>
      </c>
      <c r="R162" t="s">
        <v>42</v>
      </c>
      <c r="S162">
        <v>15016087271</v>
      </c>
      <c r="T162" t="str">
        <f ca="1">VLOOKUP(RANDBETWEEN(1,17),'Auxiliar Vendas'!D:G,2,0)</f>
        <v>Produto 04</v>
      </c>
      <c r="U162">
        <v>228</v>
      </c>
      <c r="V162">
        <v>18.2</v>
      </c>
      <c r="W162">
        <v>0</v>
      </c>
      <c r="X162">
        <v>14.4596</v>
      </c>
      <c r="Y162" s="3">
        <v>4149.6000000000004</v>
      </c>
      <c r="Z162">
        <v>41</v>
      </c>
      <c r="AA162" t="s">
        <v>64</v>
      </c>
      <c r="AB162">
        <v>0</v>
      </c>
      <c r="AC162">
        <v>0</v>
      </c>
      <c r="AD162" t="s">
        <v>58</v>
      </c>
      <c r="AH162" s="2">
        <v>44499.696527777778</v>
      </c>
      <c r="AI162">
        <v>0</v>
      </c>
      <c r="AJ162">
        <v>0</v>
      </c>
      <c r="AK162" s="30" t="str">
        <f ca="1">VLOOKUP(T162,'Auxiliar Vendas'!E:F,2,FALSE)</f>
        <v>Produto 04</v>
      </c>
      <c r="AL162" s="31">
        <f ca="1">U162*VLOOKUP(T162,'Auxiliar Vendas'!E:G,3,FALSE)</f>
        <v>136.79999999999998</v>
      </c>
    </row>
    <row r="163" spans="1:38">
      <c r="A163">
        <v>15272428809</v>
      </c>
      <c r="B163">
        <v>54</v>
      </c>
      <c r="D163" s="1">
        <v>44499</v>
      </c>
      <c r="E163">
        <v>15179581888</v>
      </c>
      <c r="F163" t="str">
        <f ca="1">VLOOKUP(RANDBETWEEN(1,20),'DBO Compras'!AA:AC,3,0)</f>
        <v>Comprador 08</v>
      </c>
      <c r="G163" t="s">
        <v>54</v>
      </c>
      <c r="H163" t="s">
        <v>55</v>
      </c>
      <c r="I163" t="s">
        <v>56</v>
      </c>
      <c r="J163" t="s">
        <v>39</v>
      </c>
      <c r="K163">
        <v>81350610</v>
      </c>
      <c r="L163" t="s">
        <v>40</v>
      </c>
      <c r="M163" t="s">
        <v>57</v>
      </c>
      <c r="N163">
        <v>41996849234</v>
      </c>
      <c r="O163">
        <v>0</v>
      </c>
      <c r="P163">
        <v>0</v>
      </c>
      <c r="R163" t="s">
        <v>42</v>
      </c>
      <c r="S163">
        <v>15016093155</v>
      </c>
      <c r="T163" t="str">
        <f ca="1">VLOOKUP(RANDBETWEEN(1,17),'Auxiliar Vendas'!D:G,2,0)</f>
        <v>Produto 01</v>
      </c>
      <c r="U163">
        <v>60</v>
      </c>
      <c r="V163">
        <v>8</v>
      </c>
      <c r="W163">
        <v>0</v>
      </c>
      <c r="X163">
        <v>14.4596</v>
      </c>
      <c r="Y163">
        <v>480</v>
      </c>
      <c r="Z163">
        <v>41</v>
      </c>
      <c r="AA163" t="s">
        <v>65</v>
      </c>
      <c r="AB163">
        <v>0</v>
      </c>
      <c r="AC163">
        <v>0</v>
      </c>
      <c r="AD163" t="s">
        <v>58</v>
      </c>
      <c r="AH163" s="2">
        <v>44499.696527777778</v>
      </c>
      <c r="AI163">
        <v>0</v>
      </c>
      <c r="AJ163">
        <v>0</v>
      </c>
      <c r="AK163" s="30" t="str">
        <f ca="1">VLOOKUP(T163,'Auxiliar Vendas'!E:F,2,FALSE)</f>
        <v>Produto 01</v>
      </c>
      <c r="AL163" s="31">
        <f ca="1">U163*VLOOKUP(T163,'Auxiliar Vendas'!E:G,3,FALSE)</f>
        <v>24</v>
      </c>
    </row>
    <row r="164" spans="1:38">
      <c r="A164">
        <v>15272428809</v>
      </c>
      <c r="B164">
        <v>54</v>
      </c>
      <c r="D164" s="1">
        <v>44499</v>
      </c>
      <c r="E164">
        <v>15179581888</v>
      </c>
      <c r="F164" t="str">
        <f ca="1">VLOOKUP(RANDBETWEEN(1,20),'DBO Compras'!AA:AC,3,0)</f>
        <v>Comprador 19</v>
      </c>
      <c r="G164" t="s">
        <v>54</v>
      </c>
      <c r="H164" t="s">
        <v>55</v>
      </c>
      <c r="I164" t="s">
        <v>56</v>
      </c>
      <c r="J164" t="s">
        <v>39</v>
      </c>
      <c r="K164">
        <v>81350610</v>
      </c>
      <c r="L164" t="s">
        <v>40</v>
      </c>
      <c r="M164" t="s">
        <v>57</v>
      </c>
      <c r="N164">
        <v>41996849234</v>
      </c>
      <c r="O164">
        <v>0</v>
      </c>
      <c r="P164">
        <v>0</v>
      </c>
      <c r="R164" t="s">
        <v>42</v>
      </c>
      <c r="S164">
        <v>15016093155</v>
      </c>
      <c r="T164" t="str">
        <f ca="1">VLOOKUP(RANDBETWEEN(1,17),'Auxiliar Vendas'!D:G,2,0)</f>
        <v>Produto 05</v>
      </c>
      <c r="U164">
        <v>115</v>
      </c>
      <c r="V164">
        <v>9.5</v>
      </c>
      <c r="W164">
        <v>0</v>
      </c>
      <c r="X164">
        <v>14.4596</v>
      </c>
      <c r="Y164" s="3">
        <v>1092.5</v>
      </c>
      <c r="Z164">
        <v>41</v>
      </c>
      <c r="AA164" t="s">
        <v>65</v>
      </c>
      <c r="AB164">
        <v>0</v>
      </c>
      <c r="AC164">
        <v>0</v>
      </c>
      <c r="AD164" t="s">
        <v>58</v>
      </c>
      <c r="AH164" s="2">
        <v>44499.696527777778</v>
      </c>
      <c r="AI164">
        <v>0</v>
      </c>
      <c r="AJ164">
        <v>0</v>
      </c>
      <c r="AK164" s="30" t="str">
        <f ca="1">VLOOKUP(T164,'Auxiliar Vendas'!E:F,2,FALSE)</f>
        <v>Produto 05</v>
      </c>
      <c r="AL164" s="31">
        <f ca="1">U164*VLOOKUP(T164,'Auxiliar Vendas'!E:G,3,FALSE)</f>
        <v>69</v>
      </c>
    </row>
    <row r="165" spans="1:38">
      <c r="A165">
        <v>15272428809</v>
      </c>
      <c r="B165">
        <v>54</v>
      </c>
      <c r="D165" s="1">
        <v>44499</v>
      </c>
      <c r="E165">
        <v>15179581888</v>
      </c>
      <c r="F165" t="str">
        <f ca="1">VLOOKUP(RANDBETWEEN(1,20),'DBO Compras'!AA:AC,3,0)</f>
        <v>Comprador 16</v>
      </c>
      <c r="G165" t="s">
        <v>54</v>
      </c>
      <c r="H165" t="s">
        <v>55</v>
      </c>
      <c r="I165" t="s">
        <v>56</v>
      </c>
      <c r="J165" t="s">
        <v>39</v>
      </c>
      <c r="K165">
        <v>81350610</v>
      </c>
      <c r="L165" t="s">
        <v>40</v>
      </c>
      <c r="M165" t="s">
        <v>57</v>
      </c>
      <c r="N165">
        <v>41996849234</v>
      </c>
      <c r="O165">
        <v>0</v>
      </c>
      <c r="P165">
        <v>0</v>
      </c>
      <c r="R165" t="s">
        <v>42</v>
      </c>
      <c r="S165">
        <v>15016093155</v>
      </c>
      <c r="T165" t="str">
        <f ca="1">VLOOKUP(RANDBETWEEN(1,17),'Auxiliar Vendas'!D:G,2,0)</f>
        <v>Produto 13</v>
      </c>
      <c r="U165">
        <v>958</v>
      </c>
      <c r="V165">
        <v>17.8</v>
      </c>
      <c r="W165">
        <v>0</v>
      </c>
      <c r="X165">
        <v>14.4596</v>
      </c>
      <c r="Y165" s="3">
        <v>17052.400000000001</v>
      </c>
      <c r="Z165">
        <v>41</v>
      </c>
      <c r="AA165" t="s">
        <v>65</v>
      </c>
      <c r="AB165">
        <v>0</v>
      </c>
      <c r="AC165">
        <v>0</v>
      </c>
      <c r="AD165" t="s">
        <v>58</v>
      </c>
      <c r="AH165" s="2">
        <v>44499.696527777778</v>
      </c>
      <c r="AI165">
        <v>0</v>
      </c>
      <c r="AJ165">
        <v>0</v>
      </c>
      <c r="AK165" s="30" t="str">
        <f ca="1">VLOOKUP(T165,'Auxiliar Vendas'!E:F,2,FALSE)</f>
        <v>Produto 13</v>
      </c>
      <c r="AL165" s="31">
        <f ca="1">U165*VLOOKUP(T165,'Auxiliar Vendas'!E:G,3,FALSE)</f>
        <v>1341.1999999999998</v>
      </c>
    </row>
    <row r="166" spans="1:38">
      <c r="A166">
        <v>15272428809</v>
      </c>
      <c r="B166">
        <v>54</v>
      </c>
      <c r="D166" s="1">
        <v>44499</v>
      </c>
      <c r="E166">
        <v>15179581888</v>
      </c>
      <c r="F166" t="str">
        <f ca="1">VLOOKUP(RANDBETWEEN(1,20),'DBO Compras'!AA:AC,3,0)</f>
        <v>Comprador 09</v>
      </c>
      <c r="G166" t="s">
        <v>54</v>
      </c>
      <c r="H166" t="s">
        <v>55</v>
      </c>
      <c r="I166" t="s">
        <v>56</v>
      </c>
      <c r="J166" t="s">
        <v>39</v>
      </c>
      <c r="K166">
        <v>81350610</v>
      </c>
      <c r="L166" t="s">
        <v>40</v>
      </c>
      <c r="M166" t="s">
        <v>57</v>
      </c>
      <c r="N166">
        <v>41996849234</v>
      </c>
      <c r="O166">
        <v>0</v>
      </c>
      <c r="P166">
        <v>0</v>
      </c>
      <c r="R166" t="s">
        <v>42</v>
      </c>
      <c r="S166">
        <v>15015867005</v>
      </c>
      <c r="T166" t="str">
        <f ca="1">VLOOKUP(RANDBETWEEN(1,17),'Auxiliar Vendas'!D:G,2,0)</f>
        <v>Produto 10</v>
      </c>
      <c r="U166">
        <v>1</v>
      </c>
      <c r="V166">
        <v>17.899999999999999</v>
      </c>
      <c r="W166">
        <v>0</v>
      </c>
      <c r="X166">
        <v>13.763999999999999</v>
      </c>
      <c r="Y166">
        <v>17.899999999999999</v>
      </c>
      <c r="Z166">
        <v>41</v>
      </c>
      <c r="AA166" t="s">
        <v>87</v>
      </c>
      <c r="AB166">
        <v>0</v>
      </c>
      <c r="AC166">
        <v>0</v>
      </c>
      <c r="AD166" t="s">
        <v>58</v>
      </c>
      <c r="AH166" s="2">
        <v>44499.696527777778</v>
      </c>
      <c r="AI166">
        <v>0</v>
      </c>
      <c r="AJ166">
        <v>0</v>
      </c>
      <c r="AK166" s="30" t="str">
        <f ca="1">VLOOKUP(T166,'Auxiliar Vendas'!E:F,2,FALSE)</f>
        <v>Produto 10</v>
      </c>
      <c r="AL166" s="31">
        <f ca="1">U166*VLOOKUP(T166,'Auxiliar Vendas'!E:G,3,FALSE)</f>
        <v>1.1000000000000001</v>
      </c>
    </row>
    <row r="167" spans="1:38">
      <c r="A167">
        <v>15272428809</v>
      </c>
      <c r="B167">
        <v>54</v>
      </c>
      <c r="D167" s="1">
        <v>44499</v>
      </c>
      <c r="E167">
        <v>15179581888</v>
      </c>
      <c r="F167" t="str">
        <f ca="1">VLOOKUP(RANDBETWEEN(1,20),'DBO Compras'!AA:AC,3,0)</f>
        <v>Comprador 10</v>
      </c>
      <c r="G167" t="s">
        <v>54</v>
      </c>
      <c r="H167" t="s">
        <v>55</v>
      </c>
      <c r="I167" t="s">
        <v>56</v>
      </c>
      <c r="J167" t="s">
        <v>39</v>
      </c>
      <c r="K167">
        <v>81350610</v>
      </c>
      <c r="L167" t="s">
        <v>40</v>
      </c>
      <c r="M167" t="s">
        <v>57</v>
      </c>
      <c r="N167">
        <v>41996849234</v>
      </c>
      <c r="O167">
        <v>0</v>
      </c>
      <c r="P167">
        <v>0</v>
      </c>
      <c r="R167" t="s">
        <v>42</v>
      </c>
      <c r="S167">
        <v>15016093155</v>
      </c>
      <c r="T167" t="str">
        <f ca="1">VLOOKUP(RANDBETWEEN(1,17),'Auxiliar Vendas'!D:G,2,0)</f>
        <v>Produto 11</v>
      </c>
      <c r="U167" s="3">
        <v>1061</v>
      </c>
      <c r="V167">
        <v>18.2</v>
      </c>
      <c r="W167">
        <v>0</v>
      </c>
      <c r="X167">
        <v>14.4596</v>
      </c>
      <c r="Y167" s="3">
        <v>19310.2</v>
      </c>
      <c r="Z167">
        <v>41</v>
      </c>
      <c r="AA167" t="s">
        <v>65</v>
      </c>
      <c r="AB167">
        <v>0</v>
      </c>
      <c r="AC167">
        <v>0</v>
      </c>
      <c r="AD167" t="s">
        <v>58</v>
      </c>
      <c r="AH167" s="2">
        <v>44499.696527777778</v>
      </c>
      <c r="AI167">
        <v>0</v>
      </c>
      <c r="AJ167">
        <v>0</v>
      </c>
      <c r="AK167" s="30" t="str">
        <f ca="1">VLOOKUP(T167,'Auxiliar Vendas'!E:F,2,FALSE)</f>
        <v>Produto 11</v>
      </c>
      <c r="AL167" s="31">
        <f ca="1">U167*VLOOKUP(T167,'Auxiliar Vendas'!E:G,3,FALSE)</f>
        <v>1167.1000000000001</v>
      </c>
    </row>
    <row r="168" spans="1:38">
      <c r="A168">
        <v>15272428809</v>
      </c>
      <c r="B168">
        <v>54</v>
      </c>
      <c r="D168" s="1">
        <v>44499</v>
      </c>
      <c r="E168">
        <v>15179581888</v>
      </c>
      <c r="F168" t="str">
        <f ca="1">VLOOKUP(RANDBETWEEN(1,20),'DBO Compras'!AA:AC,3,0)</f>
        <v>Comprador 13</v>
      </c>
      <c r="G168" t="s">
        <v>54</v>
      </c>
      <c r="H168" t="s">
        <v>55</v>
      </c>
      <c r="I168" t="s">
        <v>56</v>
      </c>
      <c r="J168" t="s">
        <v>39</v>
      </c>
      <c r="K168">
        <v>81350610</v>
      </c>
      <c r="L168" t="s">
        <v>40</v>
      </c>
      <c r="M168" t="s">
        <v>57</v>
      </c>
      <c r="N168">
        <v>41996849234</v>
      </c>
      <c r="O168">
        <v>0</v>
      </c>
      <c r="P168">
        <v>0</v>
      </c>
      <c r="R168" t="s">
        <v>42</v>
      </c>
      <c r="S168">
        <v>15015886084</v>
      </c>
      <c r="T168" t="str">
        <f ca="1">VLOOKUP(RANDBETWEEN(1,17),'Auxiliar Vendas'!D:G,2,0)</f>
        <v>Produto 15</v>
      </c>
      <c r="U168">
        <v>2</v>
      </c>
      <c r="V168">
        <v>10</v>
      </c>
      <c r="W168">
        <v>0</v>
      </c>
      <c r="X168">
        <v>15.996</v>
      </c>
      <c r="Y168">
        <v>20</v>
      </c>
      <c r="Z168">
        <v>41</v>
      </c>
      <c r="AA168" t="s">
        <v>66</v>
      </c>
      <c r="AB168">
        <v>0</v>
      </c>
      <c r="AC168">
        <v>0</v>
      </c>
      <c r="AD168" t="s">
        <v>58</v>
      </c>
      <c r="AH168" s="2">
        <v>44499.696527777778</v>
      </c>
      <c r="AI168">
        <v>0</v>
      </c>
      <c r="AJ168">
        <v>0</v>
      </c>
      <c r="AK168" s="30" t="str">
        <f ca="1">VLOOKUP(T168,'Auxiliar Vendas'!E:F,2,FALSE)</f>
        <v>Produto 15</v>
      </c>
      <c r="AL168" s="31">
        <f ca="1">U168*VLOOKUP(T168,'Auxiliar Vendas'!E:G,3,FALSE)</f>
        <v>2.84</v>
      </c>
    </row>
    <row r="169" spans="1:38">
      <c r="A169">
        <v>15272428809</v>
      </c>
      <c r="B169">
        <v>54</v>
      </c>
      <c r="D169" s="1">
        <v>44499</v>
      </c>
      <c r="E169">
        <v>15179581888</v>
      </c>
      <c r="F169" t="str">
        <f ca="1">VLOOKUP(RANDBETWEEN(1,20),'DBO Compras'!AA:AC,3,0)</f>
        <v>Comprador 18</v>
      </c>
      <c r="G169" t="s">
        <v>54</v>
      </c>
      <c r="H169" t="s">
        <v>55</v>
      </c>
      <c r="I169" t="s">
        <v>56</v>
      </c>
      <c r="J169" t="s">
        <v>39</v>
      </c>
      <c r="K169">
        <v>81350610</v>
      </c>
      <c r="L169" t="s">
        <v>40</v>
      </c>
      <c r="M169" t="s">
        <v>57</v>
      </c>
      <c r="N169">
        <v>41996849234</v>
      </c>
      <c r="O169">
        <v>0</v>
      </c>
      <c r="P169">
        <v>0</v>
      </c>
      <c r="R169" t="s">
        <v>42</v>
      </c>
      <c r="S169">
        <v>15015886084</v>
      </c>
      <c r="T169" t="str">
        <f ca="1">VLOOKUP(RANDBETWEEN(1,17),'Auxiliar Vendas'!D:G,2,0)</f>
        <v>Produto 12</v>
      </c>
      <c r="U169">
        <v>32</v>
      </c>
      <c r="V169">
        <v>11</v>
      </c>
      <c r="W169">
        <v>0</v>
      </c>
      <c r="X169">
        <v>15.996</v>
      </c>
      <c r="Y169">
        <v>352</v>
      </c>
      <c r="Z169">
        <v>41</v>
      </c>
      <c r="AA169" t="s">
        <v>66</v>
      </c>
      <c r="AB169">
        <v>0</v>
      </c>
      <c r="AC169">
        <v>0</v>
      </c>
      <c r="AD169" t="s">
        <v>58</v>
      </c>
      <c r="AH169" s="2">
        <v>44499.696527777778</v>
      </c>
      <c r="AI169">
        <v>0</v>
      </c>
      <c r="AJ169">
        <v>0</v>
      </c>
      <c r="AK169" s="30" t="str">
        <f ca="1">VLOOKUP(T169,'Auxiliar Vendas'!E:F,2,FALSE)</f>
        <v>Produto 12</v>
      </c>
      <c r="AL169" s="31">
        <f ca="1">U169*VLOOKUP(T169,'Auxiliar Vendas'!E:G,3,FALSE)</f>
        <v>44.8</v>
      </c>
    </row>
    <row r="170" spans="1:38">
      <c r="A170">
        <v>15272428809</v>
      </c>
      <c r="B170">
        <v>54</v>
      </c>
      <c r="D170" s="1">
        <v>44499</v>
      </c>
      <c r="E170">
        <v>15179581888</v>
      </c>
      <c r="F170" t="str">
        <f ca="1">VLOOKUP(RANDBETWEEN(1,20),'DBO Compras'!AA:AC,3,0)</f>
        <v>Comprador 10</v>
      </c>
      <c r="G170" t="s">
        <v>54</v>
      </c>
      <c r="H170" t="s">
        <v>55</v>
      </c>
      <c r="I170" t="s">
        <v>56</v>
      </c>
      <c r="J170" t="s">
        <v>39</v>
      </c>
      <c r="K170">
        <v>81350610</v>
      </c>
      <c r="L170" t="s">
        <v>40</v>
      </c>
      <c r="M170" t="s">
        <v>57</v>
      </c>
      <c r="N170">
        <v>41996849234</v>
      </c>
      <c r="O170">
        <v>0</v>
      </c>
      <c r="P170">
        <v>0</v>
      </c>
      <c r="R170" t="s">
        <v>42</v>
      </c>
      <c r="S170">
        <v>15016099089</v>
      </c>
      <c r="T170" t="str">
        <f ca="1">VLOOKUP(RANDBETWEEN(1,17),'Auxiliar Vendas'!D:G,2,0)</f>
        <v>Produto 05</v>
      </c>
      <c r="U170">
        <v>900</v>
      </c>
      <c r="V170">
        <v>20.6</v>
      </c>
      <c r="W170">
        <v>0</v>
      </c>
      <c r="X170">
        <v>16.804400000000001</v>
      </c>
      <c r="Y170" s="3">
        <v>18540</v>
      </c>
      <c r="Z170">
        <v>41</v>
      </c>
      <c r="AA170" t="s">
        <v>79</v>
      </c>
      <c r="AB170">
        <v>0</v>
      </c>
      <c r="AC170">
        <v>0</v>
      </c>
      <c r="AD170" t="s">
        <v>58</v>
      </c>
      <c r="AH170" s="2">
        <v>44499.696527777778</v>
      </c>
      <c r="AI170">
        <v>0</v>
      </c>
      <c r="AJ170">
        <v>0</v>
      </c>
      <c r="AK170" s="30" t="str">
        <f ca="1">VLOOKUP(T170,'Auxiliar Vendas'!E:F,2,FALSE)</f>
        <v>Produto 05</v>
      </c>
      <c r="AL170" s="31">
        <f ca="1">U170*VLOOKUP(T170,'Auxiliar Vendas'!E:G,3,FALSE)</f>
        <v>540</v>
      </c>
    </row>
    <row r="171" spans="1:38">
      <c r="A171">
        <v>15272428809</v>
      </c>
      <c r="B171">
        <v>54</v>
      </c>
      <c r="D171" s="1">
        <v>44499</v>
      </c>
      <c r="E171">
        <v>15179581888</v>
      </c>
      <c r="F171" t="str">
        <f ca="1">VLOOKUP(RANDBETWEEN(1,20),'DBO Compras'!AA:AC,3,0)</f>
        <v>Comprador 01</v>
      </c>
      <c r="G171" t="s">
        <v>54</v>
      </c>
      <c r="H171" t="s">
        <v>55</v>
      </c>
      <c r="I171" t="s">
        <v>56</v>
      </c>
      <c r="J171" t="s">
        <v>39</v>
      </c>
      <c r="K171">
        <v>81350610</v>
      </c>
      <c r="L171" t="s">
        <v>40</v>
      </c>
      <c r="M171" t="s">
        <v>57</v>
      </c>
      <c r="N171">
        <v>41996849234</v>
      </c>
      <c r="O171">
        <v>0</v>
      </c>
      <c r="P171">
        <v>0</v>
      </c>
      <c r="R171" t="s">
        <v>42</v>
      </c>
      <c r="S171">
        <v>15016099089</v>
      </c>
      <c r="T171" t="str">
        <f ca="1">VLOOKUP(RANDBETWEEN(1,17),'Auxiliar Vendas'!D:G,2,0)</f>
        <v>Produto 16</v>
      </c>
      <c r="U171">
        <v>5</v>
      </c>
      <c r="V171">
        <v>20.9</v>
      </c>
      <c r="W171">
        <v>0</v>
      </c>
      <c r="X171">
        <v>16.804400000000001</v>
      </c>
      <c r="Y171">
        <v>104.5</v>
      </c>
      <c r="Z171">
        <v>41</v>
      </c>
      <c r="AA171" t="s">
        <v>79</v>
      </c>
      <c r="AB171">
        <v>0</v>
      </c>
      <c r="AC171">
        <v>0</v>
      </c>
      <c r="AD171" t="s">
        <v>58</v>
      </c>
      <c r="AH171" s="2">
        <v>44499.696527777778</v>
      </c>
      <c r="AI171">
        <v>0</v>
      </c>
      <c r="AJ171">
        <v>0</v>
      </c>
      <c r="AK171" s="30" t="str">
        <f ca="1">VLOOKUP(T171,'Auxiliar Vendas'!E:F,2,FALSE)</f>
        <v>Produto 16</v>
      </c>
      <c r="AL171" s="31">
        <f ca="1">U171*VLOOKUP(T171,'Auxiliar Vendas'!E:G,3,FALSE)</f>
        <v>6.35</v>
      </c>
    </row>
    <row r="172" spans="1:38">
      <c r="A172">
        <v>15272428809</v>
      </c>
      <c r="B172">
        <v>54</v>
      </c>
      <c r="D172" s="1">
        <v>44499</v>
      </c>
      <c r="E172">
        <v>15179581888</v>
      </c>
      <c r="F172" t="str">
        <f ca="1">VLOOKUP(RANDBETWEEN(1,20),'DBO Compras'!AA:AC,3,0)</f>
        <v>Comprador 08</v>
      </c>
      <c r="G172" t="s">
        <v>54</v>
      </c>
      <c r="H172" t="s">
        <v>55</v>
      </c>
      <c r="I172" t="s">
        <v>56</v>
      </c>
      <c r="J172" t="s">
        <v>39</v>
      </c>
      <c r="K172">
        <v>81350610</v>
      </c>
      <c r="L172" t="s">
        <v>40</v>
      </c>
      <c r="M172" t="s">
        <v>57</v>
      </c>
      <c r="N172">
        <v>41996849234</v>
      </c>
      <c r="O172">
        <v>0</v>
      </c>
      <c r="P172">
        <v>0</v>
      </c>
      <c r="R172" t="s">
        <v>42</v>
      </c>
      <c r="S172">
        <v>15015886084</v>
      </c>
      <c r="T172" t="str">
        <f ca="1">VLOOKUP(RANDBETWEEN(1,17),'Auxiliar Vendas'!D:G,2,0)</f>
        <v>Produto 09</v>
      </c>
      <c r="U172">
        <v>505</v>
      </c>
      <c r="V172">
        <v>21.3</v>
      </c>
      <c r="W172">
        <v>0</v>
      </c>
      <c r="X172">
        <v>15.996</v>
      </c>
      <c r="Y172" s="3">
        <v>10756.5</v>
      </c>
      <c r="Z172">
        <v>41</v>
      </c>
      <c r="AA172" t="s">
        <v>66</v>
      </c>
      <c r="AB172">
        <v>0</v>
      </c>
      <c r="AC172">
        <v>0</v>
      </c>
      <c r="AD172" t="s">
        <v>58</v>
      </c>
      <c r="AH172" s="2">
        <v>44499.696527777778</v>
      </c>
      <c r="AI172">
        <v>0</v>
      </c>
      <c r="AJ172">
        <v>0</v>
      </c>
      <c r="AK172" s="30" t="str">
        <f ca="1">VLOOKUP(T172,'Auxiliar Vendas'!E:F,2,FALSE)</f>
        <v>Produto 09</v>
      </c>
      <c r="AL172" s="31">
        <f ca="1">U172*VLOOKUP(T172,'Auxiliar Vendas'!E:G,3,FALSE)</f>
        <v>555.5</v>
      </c>
    </row>
    <row r="173" spans="1:38">
      <c r="A173">
        <v>15272428809</v>
      </c>
      <c r="B173">
        <v>54</v>
      </c>
      <c r="D173" s="1">
        <v>44499</v>
      </c>
      <c r="E173">
        <v>15179581888</v>
      </c>
      <c r="F173" t="str">
        <f ca="1">VLOOKUP(RANDBETWEEN(1,20),'DBO Compras'!AA:AC,3,0)</f>
        <v>Comprador 08</v>
      </c>
      <c r="G173" t="s">
        <v>54</v>
      </c>
      <c r="H173" t="s">
        <v>55</v>
      </c>
      <c r="I173" t="s">
        <v>56</v>
      </c>
      <c r="J173" t="s">
        <v>39</v>
      </c>
      <c r="K173">
        <v>81350610</v>
      </c>
      <c r="L173" t="s">
        <v>40</v>
      </c>
      <c r="M173" t="s">
        <v>57</v>
      </c>
      <c r="N173">
        <v>41996849234</v>
      </c>
      <c r="O173">
        <v>0</v>
      </c>
      <c r="P173">
        <v>0</v>
      </c>
      <c r="R173" t="s">
        <v>42</v>
      </c>
      <c r="S173">
        <v>15139667431</v>
      </c>
      <c r="T173" t="str">
        <f ca="1">VLOOKUP(RANDBETWEEN(1,17),'Auxiliar Vendas'!D:G,2,0)</f>
        <v>Produto 06</v>
      </c>
      <c r="U173">
        <v>20</v>
      </c>
      <c r="V173">
        <v>20.25</v>
      </c>
      <c r="W173">
        <v>0</v>
      </c>
      <c r="X173">
        <v>0</v>
      </c>
      <c r="Y173">
        <v>405</v>
      </c>
      <c r="Z173">
        <v>41</v>
      </c>
      <c r="AA173" t="s">
        <v>145</v>
      </c>
      <c r="AB173">
        <v>0</v>
      </c>
      <c r="AC173">
        <v>0</v>
      </c>
      <c r="AD173" t="s">
        <v>58</v>
      </c>
      <c r="AH173" s="2">
        <v>44499.696527777778</v>
      </c>
      <c r="AI173">
        <v>0</v>
      </c>
      <c r="AJ173">
        <v>0</v>
      </c>
      <c r="AK173" s="30" t="str">
        <f ca="1">VLOOKUP(T173,'Auxiliar Vendas'!E:F,2,FALSE)</f>
        <v>Produto 06</v>
      </c>
      <c r="AL173" s="31">
        <f ca="1">U173*VLOOKUP(T173,'Auxiliar Vendas'!E:G,3,FALSE)</f>
        <v>10</v>
      </c>
    </row>
    <row r="174" spans="1:38">
      <c r="A174">
        <v>15272428809</v>
      </c>
      <c r="B174">
        <v>54</v>
      </c>
      <c r="D174" s="1">
        <v>44499</v>
      </c>
      <c r="E174">
        <v>15179581888</v>
      </c>
      <c r="F174" t="str">
        <f ca="1">VLOOKUP(RANDBETWEEN(1,20),'DBO Compras'!AA:AC,3,0)</f>
        <v>Comprador 01</v>
      </c>
      <c r="G174" t="s">
        <v>54</v>
      </c>
      <c r="H174" t="s">
        <v>55</v>
      </c>
      <c r="I174" t="s">
        <v>56</v>
      </c>
      <c r="J174" t="s">
        <v>39</v>
      </c>
      <c r="K174">
        <v>81350610</v>
      </c>
      <c r="L174" t="s">
        <v>40</v>
      </c>
      <c r="M174" t="s">
        <v>57</v>
      </c>
      <c r="N174">
        <v>41996849234</v>
      </c>
      <c r="O174">
        <v>0</v>
      </c>
      <c r="P174">
        <v>0</v>
      </c>
      <c r="R174" t="s">
        <v>42</v>
      </c>
      <c r="S174">
        <v>15139727614</v>
      </c>
      <c r="T174" t="str">
        <f ca="1">VLOOKUP(RANDBETWEEN(1,17),'Auxiliar Vendas'!D:G,2,0)</f>
        <v>Produto 02</v>
      </c>
      <c r="U174">
        <v>80</v>
      </c>
      <c r="V174">
        <v>22.85</v>
      </c>
      <c r="W174">
        <v>0</v>
      </c>
      <c r="X174">
        <v>0</v>
      </c>
      <c r="Y174" s="3">
        <v>1828</v>
      </c>
      <c r="Z174">
        <v>41</v>
      </c>
      <c r="AA174" t="s">
        <v>146</v>
      </c>
      <c r="AB174">
        <v>0</v>
      </c>
      <c r="AC174">
        <v>0</v>
      </c>
      <c r="AD174" t="s">
        <v>58</v>
      </c>
      <c r="AH174" s="2">
        <v>44499.696527777778</v>
      </c>
      <c r="AI174">
        <v>0</v>
      </c>
      <c r="AJ174">
        <v>0</v>
      </c>
      <c r="AK174" s="30" t="str">
        <f ca="1">VLOOKUP(T174,'Auxiliar Vendas'!E:F,2,FALSE)</f>
        <v>Produto 02</v>
      </c>
      <c r="AL174" s="31">
        <f ca="1">U174*VLOOKUP(T174,'Auxiliar Vendas'!E:G,3,FALSE)</f>
        <v>21.6</v>
      </c>
    </row>
    <row r="175" spans="1:38">
      <c r="A175">
        <v>15279897466</v>
      </c>
      <c r="B175">
        <v>62</v>
      </c>
      <c r="D175" s="1">
        <v>44499</v>
      </c>
      <c r="E175">
        <v>15279322250</v>
      </c>
      <c r="F175" t="str">
        <f ca="1">VLOOKUP(RANDBETWEEN(1,20),'DBO Compras'!AA:AC,3,0)</f>
        <v>Comprador 15</v>
      </c>
      <c r="G175" t="s">
        <v>83</v>
      </c>
      <c r="H175" t="s">
        <v>84</v>
      </c>
      <c r="I175" t="s">
        <v>85</v>
      </c>
      <c r="J175" t="s">
        <v>39</v>
      </c>
      <c r="K175">
        <v>80220100</v>
      </c>
      <c r="L175" t="s">
        <v>40</v>
      </c>
      <c r="M175" t="s">
        <v>86</v>
      </c>
      <c r="N175">
        <v>41993330017</v>
      </c>
      <c r="O175">
        <v>0</v>
      </c>
      <c r="P175">
        <v>0</v>
      </c>
      <c r="R175" t="s">
        <v>42</v>
      </c>
      <c r="S175">
        <v>15015911944</v>
      </c>
      <c r="T175" t="str">
        <f ca="1">VLOOKUP(RANDBETWEEN(1,17),'Auxiliar Vendas'!D:G,2,0)</f>
        <v>Produto 08</v>
      </c>
      <c r="U175">
        <v>500</v>
      </c>
      <c r="V175">
        <v>13.9</v>
      </c>
      <c r="W175">
        <v>0</v>
      </c>
      <c r="X175">
        <v>10.285</v>
      </c>
      <c r="Y175" s="3">
        <v>6950</v>
      </c>
      <c r="Z175">
        <v>68</v>
      </c>
      <c r="AA175" t="s">
        <v>78</v>
      </c>
      <c r="AB175">
        <v>0</v>
      </c>
      <c r="AC175">
        <v>0</v>
      </c>
      <c r="AH175" s="2">
        <v>44499.476388888892</v>
      </c>
      <c r="AI175">
        <v>0</v>
      </c>
      <c r="AJ175">
        <v>0</v>
      </c>
      <c r="AK175" s="30" t="str">
        <f ca="1">VLOOKUP(T175,'Auxiliar Vendas'!E:F,2,FALSE)</f>
        <v>Produto 08</v>
      </c>
      <c r="AL175" s="31">
        <f ca="1">U175*VLOOKUP(T175,'Auxiliar Vendas'!E:G,3,FALSE)</f>
        <v>550</v>
      </c>
    </row>
    <row r="176" spans="1:38">
      <c r="A176">
        <v>15279897466</v>
      </c>
      <c r="B176">
        <v>62</v>
      </c>
      <c r="D176" s="1">
        <v>44499</v>
      </c>
      <c r="E176">
        <v>15279322250</v>
      </c>
      <c r="F176" t="str">
        <f ca="1">VLOOKUP(RANDBETWEEN(1,20),'DBO Compras'!AA:AC,3,0)</f>
        <v>Comprador 04</v>
      </c>
      <c r="G176" t="s">
        <v>83</v>
      </c>
      <c r="H176" t="s">
        <v>84</v>
      </c>
      <c r="I176" t="s">
        <v>85</v>
      </c>
      <c r="J176" t="s">
        <v>39</v>
      </c>
      <c r="K176">
        <v>80220100</v>
      </c>
      <c r="L176" t="s">
        <v>40</v>
      </c>
      <c r="M176" t="s">
        <v>86</v>
      </c>
      <c r="N176">
        <v>41993330017</v>
      </c>
      <c r="O176">
        <v>0</v>
      </c>
      <c r="P176">
        <v>0</v>
      </c>
      <c r="R176" t="s">
        <v>42</v>
      </c>
      <c r="S176">
        <v>15016043939</v>
      </c>
      <c r="T176" t="str">
        <f ca="1">VLOOKUP(RANDBETWEEN(1,17),'Auxiliar Vendas'!D:G,2,0)</f>
        <v>Produto 16</v>
      </c>
      <c r="U176" s="3">
        <v>1000</v>
      </c>
      <c r="V176">
        <v>13.45</v>
      </c>
      <c r="W176">
        <v>0</v>
      </c>
      <c r="X176">
        <v>10.747</v>
      </c>
      <c r="Y176" s="3">
        <v>13450</v>
      </c>
      <c r="Z176">
        <v>68</v>
      </c>
      <c r="AA176" t="s">
        <v>50</v>
      </c>
      <c r="AB176">
        <v>0</v>
      </c>
      <c r="AC176">
        <v>0</v>
      </c>
      <c r="AH176" s="2">
        <v>44499.476388888892</v>
      </c>
      <c r="AI176">
        <v>0</v>
      </c>
      <c r="AJ176">
        <v>0</v>
      </c>
      <c r="AK176" s="30" t="str">
        <f ca="1">VLOOKUP(T176,'Auxiliar Vendas'!E:F,2,FALSE)</f>
        <v>Produto 16</v>
      </c>
      <c r="AL176" s="31">
        <f ca="1">U176*VLOOKUP(T176,'Auxiliar Vendas'!E:G,3,FALSE)</f>
        <v>1270</v>
      </c>
    </row>
    <row r="177" spans="1:38">
      <c r="A177">
        <v>15279897466</v>
      </c>
      <c r="B177">
        <v>62</v>
      </c>
      <c r="D177" s="1">
        <v>44499</v>
      </c>
      <c r="E177">
        <v>15279322250</v>
      </c>
      <c r="F177" t="str">
        <f ca="1">VLOOKUP(RANDBETWEEN(1,20),'DBO Compras'!AA:AC,3,0)</f>
        <v>Comprador 20</v>
      </c>
      <c r="G177" t="s">
        <v>83</v>
      </c>
      <c r="H177" t="s">
        <v>84</v>
      </c>
      <c r="I177" t="s">
        <v>85</v>
      </c>
      <c r="J177" t="s">
        <v>39</v>
      </c>
      <c r="K177">
        <v>80220100</v>
      </c>
      <c r="L177" t="s">
        <v>40</v>
      </c>
      <c r="M177" t="s">
        <v>86</v>
      </c>
      <c r="N177">
        <v>41993330017</v>
      </c>
      <c r="O177">
        <v>0</v>
      </c>
      <c r="P177">
        <v>0</v>
      </c>
      <c r="R177" t="s">
        <v>42</v>
      </c>
      <c r="S177">
        <v>15015918644</v>
      </c>
      <c r="T177" t="str">
        <f ca="1">VLOOKUP(RANDBETWEEN(1,17),'Auxiliar Vendas'!D:G,2,0)</f>
        <v>Produto 16</v>
      </c>
      <c r="U177">
        <v>300</v>
      </c>
      <c r="V177">
        <v>8.1999999999999993</v>
      </c>
      <c r="W177">
        <v>0</v>
      </c>
      <c r="X177">
        <v>5.61</v>
      </c>
      <c r="Y177" s="3">
        <v>2460</v>
      </c>
      <c r="Z177">
        <v>68</v>
      </c>
      <c r="AA177" t="s">
        <v>59</v>
      </c>
      <c r="AB177">
        <v>0</v>
      </c>
      <c r="AC177">
        <v>0</v>
      </c>
      <c r="AH177" s="2">
        <v>44499.476388888892</v>
      </c>
      <c r="AI177">
        <v>0</v>
      </c>
      <c r="AJ177">
        <v>0</v>
      </c>
      <c r="AK177" s="30" t="str">
        <f ca="1">VLOOKUP(T177,'Auxiliar Vendas'!E:F,2,FALSE)</f>
        <v>Produto 16</v>
      </c>
      <c r="AL177" s="31">
        <f ca="1">U177*VLOOKUP(T177,'Auxiliar Vendas'!E:G,3,FALSE)</f>
        <v>381</v>
      </c>
    </row>
    <row r="178" spans="1:38">
      <c r="A178">
        <v>15279897466</v>
      </c>
      <c r="B178">
        <v>62</v>
      </c>
      <c r="D178" s="1">
        <v>44499</v>
      </c>
      <c r="E178">
        <v>15279322250</v>
      </c>
      <c r="F178" t="str">
        <f ca="1">VLOOKUP(RANDBETWEEN(1,20),'DBO Compras'!AA:AC,3,0)</f>
        <v>Comprador 11</v>
      </c>
      <c r="G178" t="s">
        <v>83</v>
      </c>
      <c r="H178" t="s">
        <v>84</v>
      </c>
      <c r="I178" t="s">
        <v>85</v>
      </c>
      <c r="J178" t="s">
        <v>39</v>
      </c>
      <c r="K178">
        <v>80220100</v>
      </c>
      <c r="L178" t="s">
        <v>40</v>
      </c>
      <c r="M178" t="s">
        <v>86</v>
      </c>
      <c r="N178">
        <v>41993330017</v>
      </c>
      <c r="O178">
        <v>0</v>
      </c>
      <c r="P178">
        <v>0</v>
      </c>
      <c r="R178" t="s">
        <v>42</v>
      </c>
      <c r="S178">
        <v>15015353721</v>
      </c>
      <c r="T178" t="str">
        <f ca="1">VLOOKUP(RANDBETWEEN(1,17),'Auxiliar Vendas'!D:G,2,0)</f>
        <v>Produto 14</v>
      </c>
      <c r="U178">
        <v>700</v>
      </c>
      <c r="V178">
        <v>7.8</v>
      </c>
      <c r="W178">
        <v>0</v>
      </c>
      <c r="X178">
        <v>5.58</v>
      </c>
      <c r="Y178" s="3">
        <v>5460</v>
      </c>
      <c r="Z178">
        <v>68</v>
      </c>
      <c r="AA178" t="s">
        <v>44</v>
      </c>
      <c r="AB178">
        <v>0</v>
      </c>
      <c r="AC178">
        <v>0</v>
      </c>
      <c r="AH178" s="2">
        <v>44499.476388888892</v>
      </c>
      <c r="AI178">
        <v>0</v>
      </c>
      <c r="AJ178">
        <v>0</v>
      </c>
      <c r="AK178" s="30" t="str">
        <f ca="1">VLOOKUP(T178,'Auxiliar Vendas'!E:F,2,FALSE)</f>
        <v>Produto 14</v>
      </c>
      <c r="AL178" s="31">
        <f ca="1">U178*VLOOKUP(T178,'Auxiliar Vendas'!E:G,3,FALSE)</f>
        <v>979.99999999999989</v>
      </c>
    </row>
    <row r="179" spans="1:38">
      <c r="A179">
        <v>15279897466</v>
      </c>
      <c r="B179">
        <v>62</v>
      </c>
      <c r="D179" s="1">
        <v>44499</v>
      </c>
      <c r="E179">
        <v>15279322250</v>
      </c>
      <c r="F179" t="str">
        <f ca="1">VLOOKUP(RANDBETWEEN(1,20),'DBO Compras'!AA:AC,3,0)</f>
        <v>Comprador 13</v>
      </c>
      <c r="G179" t="s">
        <v>83</v>
      </c>
      <c r="H179" t="s">
        <v>84</v>
      </c>
      <c r="I179" t="s">
        <v>85</v>
      </c>
      <c r="J179" t="s">
        <v>39</v>
      </c>
      <c r="K179">
        <v>80220100</v>
      </c>
      <c r="L179" t="s">
        <v>40</v>
      </c>
      <c r="M179" t="s">
        <v>86</v>
      </c>
      <c r="N179">
        <v>41993330017</v>
      </c>
      <c r="O179">
        <v>0</v>
      </c>
      <c r="P179">
        <v>0</v>
      </c>
      <c r="R179" t="s">
        <v>42</v>
      </c>
      <c r="S179">
        <v>15016080333</v>
      </c>
      <c r="T179" t="str">
        <f ca="1">VLOOKUP(RANDBETWEEN(1,17),'Auxiliar Vendas'!D:G,2,0)</f>
        <v>Produto 08</v>
      </c>
      <c r="U179">
        <v>200</v>
      </c>
      <c r="V179">
        <v>14.1</v>
      </c>
      <c r="W179">
        <v>0</v>
      </c>
      <c r="X179">
        <v>10.747</v>
      </c>
      <c r="Y179" s="3">
        <v>2820</v>
      </c>
      <c r="Z179">
        <v>68</v>
      </c>
      <c r="AA179" t="s">
        <v>80</v>
      </c>
      <c r="AB179">
        <v>0</v>
      </c>
      <c r="AC179">
        <v>0</v>
      </c>
      <c r="AH179" s="2">
        <v>44499.476388888892</v>
      </c>
      <c r="AI179">
        <v>0</v>
      </c>
      <c r="AJ179">
        <v>0</v>
      </c>
      <c r="AK179" s="30" t="str">
        <f ca="1">VLOOKUP(T179,'Auxiliar Vendas'!E:F,2,FALSE)</f>
        <v>Produto 08</v>
      </c>
      <c r="AL179" s="31">
        <f ca="1">U179*VLOOKUP(T179,'Auxiliar Vendas'!E:G,3,FALSE)</f>
        <v>220.00000000000003</v>
      </c>
    </row>
    <row r="180" spans="1:38">
      <c r="A180">
        <v>15279897466</v>
      </c>
      <c r="B180">
        <v>62</v>
      </c>
      <c r="D180" s="1">
        <v>44499</v>
      </c>
      <c r="E180">
        <v>15279322250</v>
      </c>
      <c r="F180" t="str">
        <f ca="1">VLOOKUP(RANDBETWEEN(1,20),'DBO Compras'!AA:AC,3,0)</f>
        <v>Comprador 19</v>
      </c>
      <c r="G180" t="s">
        <v>83</v>
      </c>
      <c r="H180" t="s">
        <v>84</v>
      </c>
      <c r="I180" t="s">
        <v>85</v>
      </c>
      <c r="J180" t="s">
        <v>39</v>
      </c>
      <c r="K180">
        <v>80220100</v>
      </c>
      <c r="L180" t="s">
        <v>40</v>
      </c>
      <c r="M180" t="s">
        <v>86</v>
      </c>
      <c r="N180">
        <v>41993330017</v>
      </c>
      <c r="O180">
        <v>0</v>
      </c>
      <c r="P180">
        <v>0</v>
      </c>
      <c r="R180" t="s">
        <v>42</v>
      </c>
      <c r="S180">
        <v>15016093155</v>
      </c>
      <c r="T180" t="str">
        <f ca="1">VLOOKUP(RANDBETWEEN(1,17),'Auxiliar Vendas'!D:G,2,0)</f>
        <v>Produto 03</v>
      </c>
      <c r="U180">
        <v>200</v>
      </c>
      <c r="V180">
        <v>18.2</v>
      </c>
      <c r="W180">
        <v>0</v>
      </c>
      <c r="X180">
        <v>14.4596</v>
      </c>
      <c r="Y180" s="3">
        <v>3640</v>
      </c>
      <c r="Z180">
        <v>68</v>
      </c>
      <c r="AA180" t="s">
        <v>65</v>
      </c>
      <c r="AB180">
        <v>0</v>
      </c>
      <c r="AC180">
        <v>0</v>
      </c>
      <c r="AH180" s="2">
        <v>44499.476388888892</v>
      </c>
      <c r="AI180">
        <v>0</v>
      </c>
      <c r="AJ180">
        <v>0</v>
      </c>
      <c r="AK180" s="30" t="str">
        <f ca="1">VLOOKUP(T180,'Auxiliar Vendas'!E:F,2,FALSE)</f>
        <v>Produto 03</v>
      </c>
      <c r="AL180" s="31">
        <f ca="1">U180*VLOOKUP(T180,'Auxiliar Vendas'!E:G,3,FALSE)</f>
        <v>120</v>
      </c>
    </row>
    <row r="181" spans="1:38">
      <c r="A181">
        <v>15279897466</v>
      </c>
      <c r="B181">
        <v>62</v>
      </c>
      <c r="D181" s="1">
        <v>44499</v>
      </c>
      <c r="E181">
        <v>15279322250</v>
      </c>
      <c r="F181" t="str">
        <f ca="1">VLOOKUP(RANDBETWEEN(1,20),'DBO Compras'!AA:AC,3,0)</f>
        <v>Comprador 06</v>
      </c>
      <c r="G181" t="s">
        <v>83</v>
      </c>
      <c r="H181" t="s">
        <v>84</v>
      </c>
      <c r="I181" t="s">
        <v>85</v>
      </c>
      <c r="J181" t="s">
        <v>39</v>
      </c>
      <c r="K181">
        <v>80220100</v>
      </c>
      <c r="L181" t="s">
        <v>40</v>
      </c>
      <c r="M181" t="s">
        <v>86</v>
      </c>
      <c r="N181">
        <v>41993330017</v>
      </c>
      <c r="O181">
        <v>0</v>
      </c>
      <c r="P181">
        <v>0</v>
      </c>
      <c r="R181" t="s">
        <v>42</v>
      </c>
      <c r="S181">
        <v>15016093155</v>
      </c>
      <c r="T181" t="str">
        <f ca="1">VLOOKUP(RANDBETWEEN(1,17),'Auxiliar Vendas'!D:G,2,0)</f>
        <v>Produto 16</v>
      </c>
      <c r="U181">
        <v>400</v>
      </c>
      <c r="V181">
        <v>18</v>
      </c>
      <c r="W181">
        <v>0</v>
      </c>
      <c r="X181">
        <v>14.4596</v>
      </c>
      <c r="Y181" s="3">
        <v>7200</v>
      </c>
      <c r="Z181">
        <v>68</v>
      </c>
      <c r="AA181" t="s">
        <v>65</v>
      </c>
      <c r="AB181">
        <v>0</v>
      </c>
      <c r="AC181">
        <v>0</v>
      </c>
      <c r="AH181" s="2">
        <v>44499.476388888892</v>
      </c>
      <c r="AI181">
        <v>0</v>
      </c>
      <c r="AJ181">
        <v>0</v>
      </c>
      <c r="AK181" s="30" t="str">
        <f ca="1">VLOOKUP(T181,'Auxiliar Vendas'!E:F,2,FALSE)</f>
        <v>Produto 16</v>
      </c>
      <c r="AL181" s="31">
        <f ca="1">U181*VLOOKUP(T181,'Auxiliar Vendas'!E:G,3,FALSE)</f>
        <v>508</v>
      </c>
    </row>
    <row r="182" spans="1:38">
      <c r="A182">
        <v>15279897466</v>
      </c>
      <c r="B182">
        <v>62</v>
      </c>
      <c r="D182" s="1">
        <v>44499</v>
      </c>
      <c r="E182">
        <v>15279322250</v>
      </c>
      <c r="F182" t="str">
        <f ca="1">VLOOKUP(RANDBETWEEN(1,20),'DBO Compras'!AA:AC,3,0)</f>
        <v>Comprador 12</v>
      </c>
      <c r="G182" t="s">
        <v>83</v>
      </c>
      <c r="H182" t="s">
        <v>84</v>
      </c>
      <c r="I182" t="s">
        <v>85</v>
      </c>
      <c r="J182" t="s">
        <v>39</v>
      </c>
      <c r="K182">
        <v>80220100</v>
      </c>
      <c r="L182" t="s">
        <v>40</v>
      </c>
      <c r="M182" t="s">
        <v>86</v>
      </c>
      <c r="N182">
        <v>41993330017</v>
      </c>
      <c r="O182">
        <v>0</v>
      </c>
      <c r="P182">
        <v>0</v>
      </c>
      <c r="R182" t="s">
        <v>42</v>
      </c>
      <c r="S182">
        <v>15015886084</v>
      </c>
      <c r="T182" t="str">
        <f ca="1">VLOOKUP(RANDBETWEEN(1,17),'Auxiliar Vendas'!D:G,2,0)</f>
        <v>Produto 14</v>
      </c>
      <c r="U182">
        <v>100</v>
      </c>
      <c r="V182">
        <v>21.3</v>
      </c>
      <c r="W182">
        <v>0</v>
      </c>
      <c r="X182">
        <v>15.996</v>
      </c>
      <c r="Y182" s="3">
        <v>2130</v>
      </c>
      <c r="Z182">
        <v>68</v>
      </c>
      <c r="AA182" t="s">
        <v>66</v>
      </c>
      <c r="AB182">
        <v>0</v>
      </c>
      <c r="AC182">
        <v>0</v>
      </c>
      <c r="AH182" s="2">
        <v>44499.476388888892</v>
      </c>
      <c r="AI182">
        <v>0</v>
      </c>
      <c r="AJ182">
        <v>0</v>
      </c>
      <c r="AK182" s="30" t="str">
        <f ca="1">VLOOKUP(T182,'Auxiliar Vendas'!E:F,2,FALSE)</f>
        <v>Produto 14</v>
      </c>
      <c r="AL182" s="31">
        <f ca="1">U182*VLOOKUP(T182,'Auxiliar Vendas'!E:G,3,FALSE)</f>
        <v>140</v>
      </c>
    </row>
    <row r="183" spans="1:38">
      <c r="A183">
        <v>15279897466</v>
      </c>
      <c r="B183">
        <v>62</v>
      </c>
      <c r="D183" s="1">
        <v>44499</v>
      </c>
      <c r="E183">
        <v>15279322250</v>
      </c>
      <c r="F183" t="str">
        <f ca="1">VLOOKUP(RANDBETWEEN(1,20),'DBO Compras'!AA:AC,3,0)</f>
        <v>Comprador 03</v>
      </c>
      <c r="G183" t="s">
        <v>83</v>
      </c>
      <c r="H183" t="s">
        <v>84</v>
      </c>
      <c r="I183" t="s">
        <v>85</v>
      </c>
      <c r="J183" t="s">
        <v>39</v>
      </c>
      <c r="K183">
        <v>80220100</v>
      </c>
      <c r="L183" t="s">
        <v>40</v>
      </c>
      <c r="M183" t="s">
        <v>86</v>
      </c>
      <c r="N183">
        <v>41993330017</v>
      </c>
      <c r="O183">
        <v>0</v>
      </c>
      <c r="P183">
        <v>0</v>
      </c>
      <c r="R183" t="s">
        <v>42</v>
      </c>
      <c r="S183">
        <v>15016099089</v>
      </c>
      <c r="T183" t="str">
        <f ca="1">VLOOKUP(RANDBETWEEN(1,17),'Auxiliar Vendas'!D:G,2,0)</f>
        <v>Produto 15</v>
      </c>
      <c r="U183">
        <v>500</v>
      </c>
      <c r="V183">
        <v>20.95</v>
      </c>
      <c r="W183">
        <v>0</v>
      </c>
      <c r="X183">
        <v>16.804400000000001</v>
      </c>
      <c r="Y183" s="3">
        <v>10475</v>
      </c>
      <c r="Z183">
        <v>68</v>
      </c>
      <c r="AA183" t="s">
        <v>79</v>
      </c>
      <c r="AB183">
        <v>0</v>
      </c>
      <c r="AC183">
        <v>0</v>
      </c>
      <c r="AH183" s="2">
        <v>44499.476388888892</v>
      </c>
      <c r="AI183">
        <v>0</v>
      </c>
      <c r="AJ183">
        <v>0</v>
      </c>
      <c r="AK183" s="30" t="str">
        <f ca="1">VLOOKUP(T183,'Auxiliar Vendas'!E:F,2,FALSE)</f>
        <v>Produto 15</v>
      </c>
      <c r="AL183" s="31">
        <f ca="1">U183*VLOOKUP(T183,'Auxiliar Vendas'!E:G,3,FALSE)</f>
        <v>710</v>
      </c>
    </row>
    <row r="184" spans="1:38">
      <c r="A184">
        <v>15289099477</v>
      </c>
      <c r="B184">
        <v>72</v>
      </c>
      <c r="D184" s="1">
        <v>44499</v>
      </c>
      <c r="E184">
        <v>15295545217</v>
      </c>
      <c r="F184" t="str">
        <f ca="1">VLOOKUP(RANDBETWEEN(1,20),'DBO Compras'!AA:AC,3,0)</f>
        <v>Comprador 17</v>
      </c>
      <c r="G184" t="s">
        <v>136</v>
      </c>
      <c r="H184" t="s">
        <v>137</v>
      </c>
      <c r="I184" t="s">
        <v>138</v>
      </c>
      <c r="J184" t="s">
        <v>39</v>
      </c>
      <c r="K184">
        <v>81910000</v>
      </c>
      <c r="L184" t="s">
        <v>40</v>
      </c>
      <c r="M184" t="s">
        <v>139</v>
      </c>
      <c r="N184">
        <v>41998481264</v>
      </c>
      <c r="O184">
        <v>0</v>
      </c>
      <c r="P184">
        <v>0</v>
      </c>
      <c r="R184" t="s">
        <v>42</v>
      </c>
      <c r="S184">
        <v>15015911944</v>
      </c>
      <c r="T184" t="str">
        <f ca="1">VLOOKUP(RANDBETWEEN(1,17),'Auxiliar Vendas'!D:G,2,0)</f>
        <v>Produto 03</v>
      </c>
      <c r="U184">
        <v>500</v>
      </c>
      <c r="V184">
        <v>13.65</v>
      </c>
      <c r="W184">
        <v>0</v>
      </c>
      <c r="X184">
        <v>10.285</v>
      </c>
      <c r="Y184" s="3">
        <v>6825</v>
      </c>
      <c r="Z184">
        <v>78</v>
      </c>
      <c r="AA184" t="s">
        <v>78</v>
      </c>
      <c r="AB184">
        <v>0</v>
      </c>
      <c r="AC184">
        <v>0</v>
      </c>
      <c r="AH184" s="2">
        <v>44499.362500000003</v>
      </c>
      <c r="AI184">
        <v>0</v>
      </c>
      <c r="AJ184">
        <v>0</v>
      </c>
      <c r="AK184" s="30" t="str">
        <f ca="1">VLOOKUP(T184,'Auxiliar Vendas'!E:F,2,FALSE)</f>
        <v>Produto 03</v>
      </c>
      <c r="AL184" s="31">
        <f ca="1">U184*VLOOKUP(T184,'Auxiliar Vendas'!E:G,3,FALSE)</f>
        <v>300</v>
      </c>
    </row>
    <row r="185" spans="1:38">
      <c r="A185">
        <v>15289099477</v>
      </c>
      <c r="B185">
        <v>72</v>
      </c>
      <c r="D185" s="1">
        <v>44499</v>
      </c>
      <c r="E185">
        <v>15295545217</v>
      </c>
      <c r="F185" t="str">
        <f ca="1">VLOOKUP(RANDBETWEEN(1,20),'DBO Compras'!AA:AC,3,0)</f>
        <v>Comprador 15</v>
      </c>
      <c r="G185" t="s">
        <v>136</v>
      </c>
      <c r="H185" t="s">
        <v>137</v>
      </c>
      <c r="I185" t="s">
        <v>138</v>
      </c>
      <c r="J185" t="s">
        <v>39</v>
      </c>
      <c r="K185">
        <v>81910000</v>
      </c>
      <c r="L185" t="s">
        <v>40</v>
      </c>
      <c r="M185" t="s">
        <v>139</v>
      </c>
      <c r="N185">
        <v>41998481264</v>
      </c>
      <c r="O185">
        <v>0</v>
      </c>
      <c r="P185">
        <v>0</v>
      </c>
      <c r="R185" t="s">
        <v>42</v>
      </c>
      <c r="S185">
        <v>15015511068</v>
      </c>
      <c r="T185" t="str">
        <f ca="1">VLOOKUP(RANDBETWEEN(1,17),'Auxiliar Vendas'!D:G,2,0)</f>
        <v>Produto 02</v>
      </c>
      <c r="U185">
        <v>150</v>
      </c>
      <c r="V185">
        <v>16.2</v>
      </c>
      <c r="W185">
        <v>0</v>
      </c>
      <c r="X185">
        <v>10.23</v>
      </c>
      <c r="Y185" s="3">
        <v>2430</v>
      </c>
      <c r="Z185">
        <v>78</v>
      </c>
      <c r="AA185" t="s">
        <v>53</v>
      </c>
      <c r="AB185">
        <v>0</v>
      </c>
      <c r="AC185">
        <v>0</v>
      </c>
      <c r="AH185" s="2">
        <v>44499.362500000003</v>
      </c>
      <c r="AI185">
        <v>0</v>
      </c>
      <c r="AJ185">
        <v>0</v>
      </c>
      <c r="AK185" s="30" t="str">
        <f ca="1">VLOOKUP(T185,'Auxiliar Vendas'!E:F,2,FALSE)</f>
        <v>Produto 02</v>
      </c>
      <c r="AL185" s="31">
        <f ca="1">U185*VLOOKUP(T185,'Auxiliar Vendas'!E:G,3,FALSE)</f>
        <v>40.5</v>
      </c>
    </row>
    <row r="186" spans="1:38">
      <c r="A186">
        <v>15289099477</v>
      </c>
      <c r="B186">
        <v>72</v>
      </c>
      <c r="D186" s="1">
        <v>44499</v>
      </c>
      <c r="E186">
        <v>15295545217</v>
      </c>
      <c r="F186" t="str">
        <f ca="1">VLOOKUP(RANDBETWEEN(1,20),'DBO Compras'!AA:AC,3,0)</f>
        <v>Comprador 03</v>
      </c>
      <c r="G186" t="s">
        <v>136</v>
      </c>
      <c r="H186" t="s">
        <v>137</v>
      </c>
      <c r="I186" t="s">
        <v>138</v>
      </c>
      <c r="J186" t="s">
        <v>39</v>
      </c>
      <c r="K186">
        <v>81910000</v>
      </c>
      <c r="L186" t="s">
        <v>40</v>
      </c>
      <c r="M186" t="s">
        <v>139</v>
      </c>
      <c r="N186">
        <v>41998481264</v>
      </c>
      <c r="O186">
        <v>0</v>
      </c>
      <c r="P186">
        <v>0</v>
      </c>
      <c r="R186" t="s">
        <v>42</v>
      </c>
      <c r="S186">
        <v>15015964159</v>
      </c>
      <c r="T186" t="str">
        <f ca="1">VLOOKUP(RANDBETWEEN(1,17),'Auxiliar Vendas'!D:G,2,0)</f>
        <v>Produto 16</v>
      </c>
      <c r="U186">
        <v>200</v>
      </c>
      <c r="V186">
        <v>16.100000000000001</v>
      </c>
      <c r="W186">
        <v>0</v>
      </c>
      <c r="X186">
        <v>10.285</v>
      </c>
      <c r="Y186" s="3">
        <v>3220</v>
      </c>
      <c r="Z186">
        <v>78</v>
      </c>
      <c r="AA186" t="s">
        <v>169</v>
      </c>
      <c r="AB186">
        <v>0</v>
      </c>
      <c r="AC186">
        <v>0</v>
      </c>
      <c r="AH186" s="2">
        <v>44499.362500000003</v>
      </c>
      <c r="AI186">
        <v>0</v>
      </c>
      <c r="AJ186">
        <v>0</v>
      </c>
      <c r="AK186" s="30" t="str">
        <f ca="1">VLOOKUP(T186,'Auxiliar Vendas'!E:F,2,FALSE)</f>
        <v>Produto 16</v>
      </c>
      <c r="AL186" s="31">
        <f ca="1">U186*VLOOKUP(T186,'Auxiliar Vendas'!E:G,3,FALSE)</f>
        <v>254</v>
      </c>
    </row>
    <row r="187" spans="1:38">
      <c r="A187">
        <v>15289099477</v>
      </c>
      <c r="B187">
        <v>72</v>
      </c>
      <c r="D187" s="1">
        <v>44499</v>
      </c>
      <c r="E187">
        <v>15295545217</v>
      </c>
      <c r="F187" t="str">
        <f ca="1">VLOOKUP(RANDBETWEEN(1,20),'DBO Compras'!AA:AC,3,0)</f>
        <v>Comprador 19</v>
      </c>
      <c r="G187" t="s">
        <v>136</v>
      </c>
      <c r="H187" t="s">
        <v>137</v>
      </c>
      <c r="I187" t="s">
        <v>138</v>
      </c>
      <c r="J187" t="s">
        <v>39</v>
      </c>
      <c r="K187">
        <v>81910000</v>
      </c>
      <c r="L187" t="s">
        <v>40</v>
      </c>
      <c r="M187" t="s">
        <v>139</v>
      </c>
      <c r="N187">
        <v>41998481264</v>
      </c>
      <c r="O187">
        <v>0</v>
      </c>
      <c r="P187">
        <v>0</v>
      </c>
      <c r="R187" t="s">
        <v>42</v>
      </c>
      <c r="S187">
        <v>15015918644</v>
      </c>
      <c r="T187" t="str">
        <f ca="1">VLOOKUP(RANDBETWEEN(1,17),'Auxiliar Vendas'!D:G,2,0)</f>
        <v>Produto 03</v>
      </c>
      <c r="U187">
        <v>100</v>
      </c>
      <c r="V187">
        <v>7.9</v>
      </c>
      <c r="W187">
        <v>0</v>
      </c>
      <c r="X187">
        <v>5.61</v>
      </c>
      <c r="Y187">
        <v>790</v>
      </c>
      <c r="Z187">
        <v>78</v>
      </c>
      <c r="AA187" t="s">
        <v>59</v>
      </c>
      <c r="AB187">
        <v>0</v>
      </c>
      <c r="AC187">
        <v>0</v>
      </c>
      <c r="AH187" s="2">
        <v>44499.362500000003</v>
      </c>
      <c r="AI187">
        <v>0</v>
      </c>
      <c r="AJ187">
        <v>0</v>
      </c>
      <c r="AK187" s="30" t="str">
        <f ca="1">VLOOKUP(T187,'Auxiliar Vendas'!E:F,2,FALSE)</f>
        <v>Produto 03</v>
      </c>
      <c r="AL187" s="31">
        <f ca="1">U187*VLOOKUP(T187,'Auxiliar Vendas'!E:G,3,FALSE)</f>
        <v>60</v>
      </c>
    </row>
    <row r="188" spans="1:38">
      <c r="A188">
        <v>15289099477</v>
      </c>
      <c r="B188">
        <v>72</v>
      </c>
      <c r="D188" s="1">
        <v>44499</v>
      </c>
      <c r="E188">
        <v>15295545217</v>
      </c>
      <c r="F188" t="str">
        <f ca="1">VLOOKUP(RANDBETWEEN(1,20),'DBO Compras'!AA:AC,3,0)</f>
        <v>Comprador 04</v>
      </c>
      <c r="G188" t="s">
        <v>136</v>
      </c>
      <c r="H188" t="s">
        <v>137</v>
      </c>
      <c r="I188" t="s">
        <v>138</v>
      </c>
      <c r="J188" t="s">
        <v>39</v>
      </c>
      <c r="K188">
        <v>81910000</v>
      </c>
      <c r="L188" t="s">
        <v>40</v>
      </c>
      <c r="M188" t="s">
        <v>139</v>
      </c>
      <c r="N188">
        <v>41998481264</v>
      </c>
      <c r="O188">
        <v>0</v>
      </c>
      <c r="P188">
        <v>0</v>
      </c>
      <c r="R188" t="s">
        <v>42</v>
      </c>
      <c r="S188">
        <v>15016080333</v>
      </c>
      <c r="T188" t="str">
        <f ca="1">VLOOKUP(RANDBETWEEN(1,17),'Auxiliar Vendas'!D:G,2,0)</f>
        <v>Produto 09</v>
      </c>
      <c r="U188">
        <v>500</v>
      </c>
      <c r="V188">
        <v>15</v>
      </c>
      <c r="W188">
        <v>0</v>
      </c>
      <c r="X188">
        <v>10.747</v>
      </c>
      <c r="Y188" s="3">
        <v>7500</v>
      </c>
      <c r="Z188">
        <v>78</v>
      </c>
      <c r="AA188" t="s">
        <v>80</v>
      </c>
      <c r="AB188">
        <v>0</v>
      </c>
      <c r="AC188">
        <v>0</v>
      </c>
      <c r="AH188" s="2">
        <v>44499.362500000003</v>
      </c>
      <c r="AI188">
        <v>0</v>
      </c>
      <c r="AJ188">
        <v>0</v>
      </c>
      <c r="AK188" s="30" t="str">
        <f ca="1">VLOOKUP(T188,'Auxiliar Vendas'!E:F,2,FALSE)</f>
        <v>Produto 09</v>
      </c>
      <c r="AL188" s="31">
        <f ca="1">U188*VLOOKUP(T188,'Auxiliar Vendas'!E:G,3,FALSE)</f>
        <v>550</v>
      </c>
    </row>
    <row r="189" spans="1:38">
      <c r="A189">
        <v>15289099477</v>
      </c>
      <c r="B189">
        <v>72</v>
      </c>
      <c r="D189" s="1">
        <v>44499</v>
      </c>
      <c r="E189">
        <v>15295545217</v>
      </c>
      <c r="F189" t="str">
        <f ca="1">VLOOKUP(RANDBETWEEN(1,20),'DBO Compras'!AA:AC,3,0)</f>
        <v>Comprador 06</v>
      </c>
      <c r="G189" t="s">
        <v>136</v>
      </c>
      <c r="H189" t="s">
        <v>137</v>
      </c>
      <c r="I189" t="s">
        <v>138</v>
      </c>
      <c r="J189" t="s">
        <v>39</v>
      </c>
      <c r="K189">
        <v>81910000</v>
      </c>
      <c r="L189" t="s">
        <v>40</v>
      </c>
      <c r="M189" t="s">
        <v>139</v>
      </c>
      <c r="N189">
        <v>41998481264</v>
      </c>
      <c r="O189">
        <v>0</v>
      </c>
      <c r="P189">
        <v>0</v>
      </c>
      <c r="R189" t="s">
        <v>42</v>
      </c>
      <c r="S189">
        <v>15016093155</v>
      </c>
      <c r="T189" t="str">
        <f ca="1">VLOOKUP(RANDBETWEEN(1,17),'Auxiliar Vendas'!D:G,2,0)</f>
        <v>Produto 11</v>
      </c>
      <c r="U189">
        <v>200</v>
      </c>
      <c r="V189">
        <v>18.100000000000001</v>
      </c>
      <c r="W189">
        <v>0</v>
      </c>
      <c r="X189">
        <v>14.4596</v>
      </c>
      <c r="Y189" s="3">
        <v>3620</v>
      </c>
      <c r="Z189">
        <v>78</v>
      </c>
      <c r="AA189" t="s">
        <v>65</v>
      </c>
      <c r="AB189">
        <v>0</v>
      </c>
      <c r="AC189">
        <v>0</v>
      </c>
      <c r="AH189" s="2">
        <v>44499.362500000003</v>
      </c>
      <c r="AI189">
        <v>0</v>
      </c>
      <c r="AJ189">
        <v>0</v>
      </c>
      <c r="AK189" s="30" t="str">
        <f ca="1">VLOOKUP(T189,'Auxiliar Vendas'!E:F,2,FALSE)</f>
        <v>Produto 11</v>
      </c>
      <c r="AL189" s="31">
        <f ca="1">U189*VLOOKUP(T189,'Auxiliar Vendas'!E:G,3,FALSE)</f>
        <v>220.00000000000003</v>
      </c>
    </row>
    <row r="190" spans="1:38">
      <c r="A190">
        <v>15289099477</v>
      </c>
      <c r="B190">
        <v>72</v>
      </c>
      <c r="D190" s="1">
        <v>44499</v>
      </c>
      <c r="E190">
        <v>15295545217</v>
      </c>
      <c r="F190" t="str">
        <f ca="1">VLOOKUP(RANDBETWEEN(1,20),'DBO Compras'!AA:AC,3,0)</f>
        <v>Comprador 02</v>
      </c>
      <c r="G190" t="s">
        <v>136</v>
      </c>
      <c r="H190" t="s">
        <v>137</v>
      </c>
      <c r="I190" t="s">
        <v>138</v>
      </c>
      <c r="J190" t="s">
        <v>39</v>
      </c>
      <c r="K190">
        <v>81910000</v>
      </c>
      <c r="L190" t="s">
        <v>40</v>
      </c>
      <c r="M190" t="s">
        <v>139</v>
      </c>
      <c r="N190">
        <v>41998481264</v>
      </c>
      <c r="O190">
        <v>0</v>
      </c>
      <c r="P190">
        <v>0</v>
      </c>
      <c r="R190" t="s">
        <v>42</v>
      </c>
      <c r="S190">
        <v>15016093155</v>
      </c>
      <c r="T190" t="str">
        <f ca="1">VLOOKUP(RANDBETWEEN(1,17),'Auxiliar Vendas'!D:G,2,0)</f>
        <v>Produto 16</v>
      </c>
      <c r="U190">
        <v>300</v>
      </c>
      <c r="V190">
        <v>18.14</v>
      </c>
      <c r="W190">
        <v>0</v>
      </c>
      <c r="X190">
        <v>14.4596</v>
      </c>
      <c r="Y190" s="3">
        <v>5442</v>
      </c>
      <c r="Z190">
        <v>78</v>
      </c>
      <c r="AA190" t="s">
        <v>65</v>
      </c>
      <c r="AB190">
        <v>0</v>
      </c>
      <c r="AC190">
        <v>0</v>
      </c>
      <c r="AH190" s="2">
        <v>44499.362500000003</v>
      </c>
      <c r="AI190">
        <v>0</v>
      </c>
      <c r="AJ190">
        <v>0</v>
      </c>
      <c r="AK190" s="30" t="str">
        <f ca="1">VLOOKUP(T190,'Auxiliar Vendas'!E:F,2,FALSE)</f>
        <v>Produto 16</v>
      </c>
      <c r="AL190" s="31">
        <f ca="1">U190*VLOOKUP(T190,'Auxiliar Vendas'!E:G,3,FALSE)</f>
        <v>381</v>
      </c>
    </row>
    <row r="191" spans="1:38">
      <c r="A191">
        <v>15289099477</v>
      </c>
      <c r="B191">
        <v>72</v>
      </c>
      <c r="D191" s="1">
        <v>44499</v>
      </c>
      <c r="E191">
        <v>15295545217</v>
      </c>
      <c r="F191" t="str">
        <f ca="1">VLOOKUP(RANDBETWEEN(1,20),'DBO Compras'!AA:AC,3,0)</f>
        <v>Comprador 18</v>
      </c>
      <c r="G191" t="s">
        <v>136</v>
      </c>
      <c r="H191" t="s">
        <v>137</v>
      </c>
      <c r="I191" t="s">
        <v>138</v>
      </c>
      <c r="J191" t="s">
        <v>39</v>
      </c>
      <c r="K191">
        <v>81910000</v>
      </c>
      <c r="L191" t="s">
        <v>40</v>
      </c>
      <c r="M191" t="s">
        <v>139</v>
      </c>
      <c r="N191">
        <v>41998481264</v>
      </c>
      <c r="O191">
        <v>0</v>
      </c>
      <c r="P191">
        <v>0</v>
      </c>
      <c r="R191" t="s">
        <v>42</v>
      </c>
      <c r="S191">
        <v>15016093155</v>
      </c>
      <c r="T191" t="str">
        <f ca="1">VLOOKUP(RANDBETWEEN(1,17),'Auxiliar Vendas'!D:G,2,0)</f>
        <v>Produto 13</v>
      </c>
      <c r="U191">
        <v>100</v>
      </c>
      <c r="V191">
        <v>16.93</v>
      </c>
      <c r="W191">
        <v>0</v>
      </c>
      <c r="X191">
        <v>14.4596</v>
      </c>
      <c r="Y191" s="3">
        <v>1693</v>
      </c>
      <c r="Z191">
        <v>78</v>
      </c>
      <c r="AA191" t="s">
        <v>65</v>
      </c>
      <c r="AB191">
        <v>0</v>
      </c>
      <c r="AC191">
        <v>0</v>
      </c>
      <c r="AH191" s="2">
        <v>44499.362500000003</v>
      </c>
      <c r="AI191">
        <v>0</v>
      </c>
      <c r="AJ191">
        <v>0</v>
      </c>
      <c r="AK191" s="30" t="str">
        <f ca="1">VLOOKUP(T191,'Auxiliar Vendas'!E:F,2,FALSE)</f>
        <v>Produto 13</v>
      </c>
      <c r="AL191" s="31">
        <f ca="1">U191*VLOOKUP(T191,'Auxiliar Vendas'!E:G,3,FALSE)</f>
        <v>140</v>
      </c>
    </row>
    <row r="192" spans="1:38">
      <c r="A192">
        <v>15289099477</v>
      </c>
      <c r="B192">
        <v>72</v>
      </c>
      <c r="D192" s="1">
        <v>44499</v>
      </c>
      <c r="E192">
        <v>15295545217</v>
      </c>
      <c r="F192" t="str">
        <f ca="1">VLOOKUP(RANDBETWEEN(1,20),'DBO Compras'!AA:AC,3,0)</f>
        <v>Comprador 14</v>
      </c>
      <c r="G192" t="s">
        <v>136</v>
      </c>
      <c r="H192" t="s">
        <v>137</v>
      </c>
      <c r="I192" t="s">
        <v>138</v>
      </c>
      <c r="J192" t="s">
        <v>39</v>
      </c>
      <c r="K192">
        <v>81910000</v>
      </c>
      <c r="L192" t="s">
        <v>40</v>
      </c>
      <c r="M192" t="s">
        <v>139</v>
      </c>
      <c r="N192">
        <v>41998481264</v>
      </c>
      <c r="O192">
        <v>0</v>
      </c>
      <c r="P192">
        <v>0</v>
      </c>
      <c r="R192" t="s">
        <v>42</v>
      </c>
      <c r="S192">
        <v>15016099089</v>
      </c>
      <c r="T192" t="str">
        <f ca="1">VLOOKUP(RANDBETWEEN(1,17),'Auxiliar Vendas'!D:G,2,0)</f>
        <v>Produto 09</v>
      </c>
      <c r="U192">
        <v>80</v>
      </c>
      <c r="V192">
        <v>21.2</v>
      </c>
      <c r="W192">
        <v>0</v>
      </c>
      <c r="X192">
        <v>16.804400000000001</v>
      </c>
      <c r="Y192" s="3">
        <v>1696</v>
      </c>
      <c r="Z192">
        <v>78</v>
      </c>
      <c r="AA192" t="s">
        <v>79</v>
      </c>
      <c r="AB192">
        <v>0</v>
      </c>
      <c r="AC192">
        <v>0</v>
      </c>
      <c r="AH192" s="2">
        <v>44499.362500000003</v>
      </c>
      <c r="AI192">
        <v>0</v>
      </c>
      <c r="AJ192">
        <v>0</v>
      </c>
      <c r="AK192" s="30" t="str">
        <f ca="1">VLOOKUP(T192,'Auxiliar Vendas'!E:F,2,FALSE)</f>
        <v>Produto 09</v>
      </c>
      <c r="AL192" s="31">
        <f ca="1">U192*VLOOKUP(T192,'Auxiliar Vendas'!E:G,3,FALSE)</f>
        <v>88</v>
      </c>
    </row>
    <row r="193" spans="1:38">
      <c r="A193">
        <v>15289099477</v>
      </c>
      <c r="B193">
        <v>72</v>
      </c>
      <c r="D193" s="1">
        <v>44499</v>
      </c>
      <c r="E193">
        <v>15295545217</v>
      </c>
      <c r="F193" t="str">
        <f ca="1">VLOOKUP(RANDBETWEEN(1,20),'DBO Compras'!AA:AC,3,0)</f>
        <v>Comprador 06</v>
      </c>
      <c r="G193" t="s">
        <v>136</v>
      </c>
      <c r="H193" t="s">
        <v>137</v>
      </c>
      <c r="I193" t="s">
        <v>138</v>
      </c>
      <c r="J193" t="s">
        <v>39</v>
      </c>
      <c r="K193">
        <v>81910000</v>
      </c>
      <c r="L193" t="s">
        <v>40</v>
      </c>
      <c r="M193" t="s">
        <v>139</v>
      </c>
      <c r="N193">
        <v>41998481264</v>
      </c>
      <c r="O193">
        <v>0</v>
      </c>
      <c r="P193">
        <v>0</v>
      </c>
      <c r="R193" t="s">
        <v>42</v>
      </c>
      <c r="S193">
        <v>15015918644</v>
      </c>
      <c r="T193" t="str">
        <f ca="1">VLOOKUP(RANDBETWEEN(1,17),'Auxiliar Vendas'!D:G,2,0)</f>
        <v>Produto 08</v>
      </c>
      <c r="U193">
        <v>300</v>
      </c>
      <c r="V193">
        <v>7.9</v>
      </c>
      <c r="W193">
        <v>0</v>
      </c>
      <c r="X193">
        <v>5.61</v>
      </c>
      <c r="Y193" s="3">
        <v>2370</v>
      </c>
      <c r="Z193">
        <v>78</v>
      </c>
      <c r="AA193" t="s">
        <v>59</v>
      </c>
      <c r="AB193">
        <v>0</v>
      </c>
      <c r="AC193">
        <v>0</v>
      </c>
      <c r="AH193" s="2">
        <v>44499.362500000003</v>
      </c>
      <c r="AI193">
        <v>0</v>
      </c>
      <c r="AJ193">
        <v>0</v>
      </c>
      <c r="AK193" s="30" t="str">
        <f ca="1">VLOOKUP(T193,'Auxiliar Vendas'!E:F,2,FALSE)</f>
        <v>Produto 08</v>
      </c>
      <c r="AL193" s="31">
        <f ca="1">U193*VLOOKUP(T193,'Auxiliar Vendas'!E:G,3,FALSE)</f>
        <v>330</v>
      </c>
    </row>
    <row r="194" spans="1:38">
      <c r="A194">
        <v>15289099477</v>
      </c>
      <c r="B194">
        <v>72</v>
      </c>
      <c r="D194" s="1">
        <v>44499</v>
      </c>
      <c r="E194">
        <v>15295545217</v>
      </c>
      <c r="F194" t="str">
        <f ca="1">VLOOKUP(RANDBETWEEN(1,20),'DBO Compras'!AA:AC,3,0)</f>
        <v>Comprador 16</v>
      </c>
      <c r="G194" t="s">
        <v>136</v>
      </c>
      <c r="H194" t="s">
        <v>137</v>
      </c>
      <c r="I194" t="s">
        <v>138</v>
      </c>
      <c r="J194" t="s">
        <v>39</v>
      </c>
      <c r="K194">
        <v>81910000</v>
      </c>
      <c r="L194" t="s">
        <v>40</v>
      </c>
      <c r="M194" t="s">
        <v>139</v>
      </c>
      <c r="N194">
        <v>41998481264</v>
      </c>
      <c r="O194">
        <v>0</v>
      </c>
      <c r="P194">
        <v>0</v>
      </c>
      <c r="R194" t="s">
        <v>42</v>
      </c>
      <c r="S194">
        <v>15015746121</v>
      </c>
      <c r="T194" t="str">
        <f ca="1">VLOOKUP(RANDBETWEEN(1,17),'Auxiliar Vendas'!D:G,2,0)</f>
        <v>Produto 05</v>
      </c>
      <c r="U194">
        <v>66</v>
      </c>
      <c r="V194">
        <v>18.14</v>
      </c>
      <c r="W194">
        <v>0</v>
      </c>
      <c r="X194">
        <v>13.763999999999999</v>
      </c>
      <c r="Y194" s="3">
        <v>1197.24</v>
      </c>
      <c r="Z194">
        <v>78</v>
      </c>
      <c r="AA194" t="s">
        <v>81</v>
      </c>
      <c r="AB194">
        <v>0</v>
      </c>
      <c r="AC194">
        <v>0</v>
      </c>
      <c r="AH194" s="2">
        <v>44499.362500000003</v>
      </c>
      <c r="AI194">
        <v>0</v>
      </c>
      <c r="AJ194">
        <v>0</v>
      </c>
      <c r="AK194" s="30" t="str">
        <f ca="1">VLOOKUP(T194,'Auxiliar Vendas'!E:F,2,FALSE)</f>
        <v>Produto 05</v>
      </c>
      <c r="AL194" s="31">
        <f ca="1">U194*VLOOKUP(T194,'Auxiliar Vendas'!E:G,3,FALSE)</f>
        <v>39.6</v>
      </c>
    </row>
    <row r="195" spans="1:38">
      <c r="A195">
        <v>15289099477</v>
      </c>
      <c r="B195">
        <v>72</v>
      </c>
      <c r="D195" s="1">
        <v>44499</v>
      </c>
      <c r="E195">
        <v>15295545217</v>
      </c>
      <c r="F195" t="str">
        <f ca="1">VLOOKUP(RANDBETWEEN(1,20),'DBO Compras'!AA:AC,3,0)</f>
        <v>Comprador 10</v>
      </c>
      <c r="G195" t="s">
        <v>136</v>
      </c>
      <c r="H195" t="s">
        <v>137</v>
      </c>
      <c r="I195" t="s">
        <v>138</v>
      </c>
      <c r="J195" t="s">
        <v>39</v>
      </c>
      <c r="K195">
        <v>81910000</v>
      </c>
      <c r="L195" t="s">
        <v>40</v>
      </c>
      <c r="M195" t="s">
        <v>139</v>
      </c>
      <c r="N195">
        <v>41998481264</v>
      </c>
      <c r="O195">
        <v>0</v>
      </c>
      <c r="P195">
        <v>0</v>
      </c>
      <c r="R195" t="s">
        <v>42</v>
      </c>
      <c r="S195">
        <v>15016087271</v>
      </c>
      <c r="T195" t="str">
        <f ca="1">VLOOKUP(RANDBETWEEN(1,17),'Auxiliar Vendas'!D:G,2,0)</f>
        <v>Produto 11</v>
      </c>
      <c r="U195">
        <v>14</v>
      </c>
      <c r="V195">
        <v>18.14</v>
      </c>
      <c r="W195">
        <v>0</v>
      </c>
      <c r="X195">
        <v>14.4596</v>
      </c>
      <c r="Y195">
        <v>253.96</v>
      </c>
      <c r="Z195">
        <v>78</v>
      </c>
      <c r="AA195" t="s">
        <v>64</v>
      </c>
      <c r="AB195">
        <v>0</v>
      </c>
      <c r="AC195">
        <v>0</v>
      </c>
      <c r="AH195" s="2">
        <v>44499.362500000003</v>
      </c>
      <c r="AI195">
        <v>0</v>
      </c>
      <c r="AJ195">
        <v>0</v>
      </c>
      <c r="AK195" s="30" t="str">
        <f ca="1">VLOOKUP(T195,'Auxiliar Vendas'!E:F,2,FALSE)</f>
        <v>Produto 11</v>
      </c>
      <c r="AL195" s="31">
        <f ca="1">U195*VLOOKUP(T195,'Auxiliar Vendas'!E:G,3,FALSE)</f>
        <v>15.400000000000002</v>
      </c>
    </row>
    <row r="196" spans="1:38">
      <c r="A196">
        <v>15289099477</v>
      </c>
      <c r="B196">
        <v>72</v>
      </c>
      <c r="D196" s="1">
        <v>44499</v>
      </c>
      <c r="E196">
        <v>15295545217</v>
      </c>
      <c r="F196" t="str">
        <f ca="1">VLOOKUP(RANDBETWEEN(1,20),'DBO Compras'!AA:AC,3,0)</f>
        <v>Comprador 16</v>
      </c>
      <c r="G196" t="s">
        <v>136</v>
      </c>
      <c r="H196" t="s">
        <v>137</v>
      </c>
      <c r="I196" t="s">
        <v>138</v>
      </c>
      <c r="J196" t="s">
        <v>39</v>
      </c>
      <c r="K196">
        <v>81910000</v>
      </c>
      <c r="L196" t="s">
        <v>40</v>
      </c>
      <c r="M196" t="s">
        <v>139</v>
      </c>
      <c r="N196">
        <v>41998481264</v>
      </c>
      <c r="O196">
        <v>0</v>
      </c>
      <c r="P196">
        <v>0</v>
      </c>
      <c r="R196" t="s">
        <v>42</v>
      </c>
      <c r="S196">
        <v>15016099089</v>
      </c>
      <c r="T196" t="str">
        <f ca="1">VLOOKUP(RANDBETWEEN(1,17),'Auxiliar Vendas'!D:G,2,0)</f>
        <v>Produto 06</v>
      </c>
      <c r="U196">
        <v>194</v>
      </c>
      <c r="V196">
        <v>21.1</v>
      </c>
      <c r="W196">
        <v>0</v>
      </c>
      <c r="X196">
        <v>16.804400000000001</v>
      </c>
      <c r="Y196" s="3">
        <v>4093.4</v>
      </c>
      <c r="Z196">
        <v>78</v>
      </c>
      <c r="AA196" t="s">
        <v>79</v>
      </c>
      <c r="AB196">
        <v>0</v>
      </c>
      <c r="AC196">
        <v>0</v>
      </c>
      <c r="AH196" s="2">
        <v>44499.362500000003</v>
      </c>
      <c r="AI196">
        <v>0</v>
      </c>
      <c r="AJ196">
        <v>0</v>
      </c>
      <c r="AK196" s="30" t="str">
        <f ca="1">VLOOKUP(T196,'Auxiliar Vendas'!E:F,2,FALSE)</f>
        <v>Produto 06</v>
      </c>
      <c r="AL196" s="31">
        <f ca="1">U196*VLOOKUP(T196,'Auxiliar Vendas'!E:G,3,FALSE)</f>
        <v>97</v>
      </c>
    </row>
    <row r="197" spans="1:38">
      <c r="A197">
        <v>15289099477</v>
      </c>
      <c r="B197">
        <v>72</v>
      </c>
      <c r="D197" s="1">
        <v>44499</v>
      </c>
      <c r="E197">
        <v>15295545217</v>
      </c>
      <c r="F197" t="str">
        <f ca="1">VLOOKUP(RANDBETWEEN(1,20),'DBO Compras'!AA:AC,3,0)</f>
        <v>Comprador 13</v>
      </c>
      <c r="G197" t="s">
        <v>136</v>
      </c>
      <c r="H197" t="s">
        <v>137</v>
      </c>
      <c r="I197" t="s">
        <v>138</v>
      </c>
      <c r="J197" t="s">
        <v>39</v>
      </c>
      <c r="K197">
        <v>81910000</v>
      </c>
      <c r="L197" t="s">
        <v>40</v>
      </c>
      <c r="M197" t="s">
        <v>139</v>
      </c>
      <c r="N197">
        <v>41998481264</v>
      </c>
      <c r="O197">
        <v>0</v>
      </c>
      <c r="P197">
        <v>0</v>
      </c>
      <c r="R197" t="s">
        <v>42</v>
      </c>
      <c r="S197">
        <v>15015886084</v>
      </c>
      <c r="T197" t="str">
        <f ca="1">VLOOKUP(RANDBETWEEN(1,17),'Auxiliar Vendas'!D:G,2,0)</f>
        <v>Produto 17</v>
      </c>
      <c r="U197">
        <v>6</v>
      </c>
      <c r="V197">
        <v>21.1</v>
      </c>
      <c r="W197">
        <v>0</v>
      </c>
      <c r="X197">
        <v>15.996</v>
      </c>
      <c r="Y197">
        <v>126.6</v>
      </c>
      <c r="Z197">
        <v>78</v>
      </c>
      <c r="AA197" t="s">
        <v>66</v>
      </c>
      <c r="AB197">
        <v>0</v>
      </c>
      <c r="AC197">
        <v>0</v>
      </c>
      <c r="AH197" s="2">
        <v>44499.362500000003</v>
      </c>
      <c r="AI197">
        <v>0</v>
      </c>
      <c r="AJ197">
        <v>0</v>
      </c>
      <c r="AK197" s="30" t="str">
        <f ca="1">VLOOKUP(T197,'Auxiliar Vendas'!E:F,2,FALSE)</f>
        <v>Produto 17</v>
      </c>
      <c r="AL197" s="31">
        <f ca="1">U197*VLOOKUP(T197,'Auxiliar Vendas'!E:G,3,FALSE)</f>
        <v>8.52</v>
      </c>
    </row>
    <row r="198" spans="1:38">
      <c r="A198">
        <v>15290067584</v>
      </c>
      <c r="B198">
        <v>75</v>
      </c>
      <c r="D198" s="1">
        <v>44499</v>
      </c>
      <c r="E198">
        <v>15179724225</v>
      </c>
      <c r="F198" t="str">
        <f ca="1">VLOOKUP(RANDBETWEEN(1,20),'DBO Compras'!AA:AC,3,0)</f>
        <v>Comprador 12</v>
      </c>
      <c r="G198" t="s">
        <v>147</v>
      </c>
      <c r="H198" t="s">
        <v>148</v>
      </c>
      <c r="I198" t="s">
        <v>149</v>
      </c>
      <c r="J198" t="s">
        <v>143</v>
      </c>
      <c r="K198">
        <v>84060872</v>
      </c>
      <c r="L198" t="s">
        <v>40</v>
      </c>
      <c r="M198" t="s">
        <v>150</v>
      </c>
      <c r="N198">
        <v>4299550985</v>
      </c>
      <c r="O198">
        <v>0</v>
      </c>
      <c r="P198">
        <v>0</v>
      </c>
      <c r="R198" t="s">
        <v>42</v>
      </c>
      <c r="S198">
        <v>15015085610</v>
      </c>
      <c r="T198" t="str">
        <f ca="1">VLOOKUP(RANDBETWEEN(1,17),'Auxiliar Vendas'!D:G,2,0)</f>
        <v>Produto 13</v>
      </c>
      <c r="U198">
        <v>30</v>
      </c>
      <c r="V198">
        <v>14.25</v>
      </c>
      <c r="W198">
        <v>0</v>
      </c>
      <c r="X198">
        <v>10.23</v>
      </c>
      <c r="Y198">
        <v>427.5</v>
      </c>
      <c r="Z198">
        <v>47</v>
      </c>
      <c r="AA198" t="s">
        <v>43</v>
      </c>
      <c r="AB198">
        <v>0</v>
      </c>
      <c r="AC198">
        <v>0</v>
      </c>
      <c r="AH198" s="2">
        <v>44499.362500000003</v>
      </c>
      <c r="AI198">
        <v>0</v>
      </c>
      <c r="AJ198">
        <v>0</v>
      </c>
      <c r="AK198" s="30" t="str">
        <f ca="1">VLOOKUP(T198,'Auxiliar Vendas'!E:F,2,FALSE)</f>
        <v>Produto 13</v>
      </c>
      <c r="AL198" s="31">
        <f ca="1">U198*VLOOKUP(T198,'Auxiliar Vendas'!E:G,3,FALSE)</f>
        <v>42</v>
      </c>
    </row>
    <row r="199" spans="1:38">
      <c r="A199">
        <v>15290067584</v>
      </c>
      <c r="B199">
        <v>75</v>
      </c>
      <c r="D199" s="1">
        <v>44499</v>
      </c>
      <c r="E199">
        <v>15179724225</v>
      </c>
      <c r="F199" t="str">
        <f ca="1">VLOOKUP(RANDBETWEEN(1,20),'DBO Compras'!AA:AC,3,0)</f>
        <v>Comprador 15</v>
      </c>
      <c r="G199" t="s">
        <v>147</v>
      </c>
      <c r="H199" t="s">
        <v>148</v>
      </c>
      <c r="I199" t="s">
        <v>149</v>
      </c>
      <c r="J199" t="s">
        <v>143</v>
      </c>
      <c r="K199">
        <v>84060872</v>
      </c>
      <c r="L199" t="s">
        <v>40</v>
      </c>
      <c r="M199" t="s">
        <v>150</v>
      </c>
      <c r="N199">
        <v>4299550985</v>
      </c>
      <c r="O199">
        <v>0</v>
      </c>
      <c r="P199">
        <v>0</v>
      </c>
      <c r="R199" t="s">
        <v>42</v>
      </c>
      <c r="S199">
        <v>15015511068</v>
      </c>
      <c r="T199" t="str">
        <f ca="1">VLOOKUP(RANDBETWEEN(1,17),'Auxiliar Vendas'!D:G,2,0)</f>
        <v>Produto 16</v>
      </c>
      <c r="U199">
        <v>20</v>
      </c>
      <c r="V199">
        <v>16.7</v>
      </c>
      <c r="W199">
        <v>0</v>
      </c>
      <c r="X199">
        <v>10.23</v>
      </c>
      <c r="Y199">
        <v>334</v>
      </c>
      <c r="Z199">
        <v>47</v>
      </c>
      <c r="AA199" t="s">
        <v>53</v>
      </c>
      <c r="AB199">
        <v>0</v>
      </c>
      <c r="AC199">
        <v>0</v>
      </c>
      <c r="AH199" s="2">
        <v>44499.362500000003</v>
      </c>
      <c r="AI199">
        <v>0</v>
      </c>
      <c r="AJ199">
        <v>0</v>
      </c>
      <c r="AK199" s="30" t="str">
        <f ca="1">VLOOKUP(T199,'Auxiliar Vendas'!E:F,2,FALSE)</f>
        <v>Produto 16</v>
      </c>
      <c r="AL199" s="31">
        <f ca="1">U199*VLOOKUP(T199,'Auxiliar Vendas'!E:G,3,FALSE)</f>
        <v>25.4</v>
      </c>
    </row>
    <row r="200" spans="1:38">
      <c r="A200">
        <v>15290067584</v>
      </c>
      <c r="B200">
        <v>75</v>
      </c>
      <c r="D200" s="1">
        <v>44499</v>
      </c>
      <c r="E200">
        <v>15179724225</v>
      </c>
      <c r="F200" t="str">
        <f ca="1">VLOOKUP(RANDBETWEEN(1,20),'DBO Compras'!AA:AC,3,0)</f>
        <v>Comprador 15</v>
      </c>
      <c r="G200" t="s">
        <v>147</v>
      </c>
      <c r="H200" t="s">
        <v>148</v>
      </c>
      <c r="I200" t="s">
        <v>149</v>
      </c>
      <c r="J200" t="s">
        <v>143</v>
      </c>
      <c r="K200">
        <v>84060872</v>
      </c>
      <c r="L200" t="s">
        <v>40</v>
      </c>
      <c r="M200" t="s">
        <v>150</v>
      </c>
      <c r="N200">
        <v>4299550985</v>
      </c>
      <c r="O200">
        <v>0</v>
      </c>
      <c r="P200">
        <v>0</v>
      </c>
      <c r="R200" t="s">
        <v>42</v>
      </c>
      <c r="S200">
        <v>15016093155</v>
      </c>
      <c r="T200" t="str">
        <f ca="1">VLOOKUP(RANDBETWEEN(1,17),'Auxiliar Vendas'!D:G,2,0)</f>
        <v>Produto 09</v>
      </c>
      <c r="U200">
        <v>25</v>
      </c>
      <c r="V200">
        <v>18.649999999999999</v>
      </c>
      <c r="W200">
        <v>0</v>
      </c>
      <c r="X200">
        <v>14.4596</v>
      </c>
      <c r="Y200">
        <v>466.25</v>
      </c>
      <c r="Z200">
        <v>47</v>
      </c>
      <c r="AA200" t="s">
        <v>65</v>
      </c>
      <c r="AB200">
        <v>0</v>
      </c>
      <c r="AC200">
        <v>0</v>
      </c>
      <c r="AH200" s="2">
        <v>44499.362500000003</v>
      </c>
      <c r="AI200">
        <v>0</v>
      </c>
      <c r="AJ200">
        <v>0</v>
      </c>
      <c r="AK200" s="30" t="str">
        <f ca="1">VLOOKUP(T200,'Auxiliar Vendas'!E:F,2,FALSE)</f>
        <v>Produto 09</v>
      </c>
      <c r="AL200" s="31">
        <f ca="1">U200*VLOOKUP(T200,'Auxiliar Vendas'!E:G,3,FALSE)</f>
        <v>27.500000000000004</v>
      </c>
    </row>
    <row r="201" spans="1:38">
      <c r="A201">
        <v>15290067584</v>
      </c>
      <c r="B201">
        <v>75</v>
      </c>
      <c r="D201" s="1">
        <v>44499</v>
      </c>
      <c r="E201">
        <v>15179724225</v>
      </c>
      <c r="F201" t="str">
        <f ca="1">VLOOKUP(RANDBETWEEN(1,20),'DBO Compras'!AA:AC,3,0)</f>
        <v>Comprador 15</v>
      </c>
      <c r="G201" t="s">
        <v>147</v>
      </c>
      <c r="H201" t="s">
        <v>148</v>
      </c>
      <c r="I201" t="s">
        <v>149</v>
      </c>
      <c r="J201" t="s">
        <v>143</v>
      </c>
      <c r="K201">
        <v>84060872</v>
      </c>
      <c r="L201" t="s">
        <v>40</v>
      </c>
      <c r="M201" t="s">
        <v>150</v>
      </c>
      <c r="N201">
        <v>4299550985</v>
      </c>
      <c r="O201">
        <v>0</v>
      </c>
      <c r="P201">
        <v>0</v>
      </c>
      <c r="R201" t="s">
        <v>42</v>
      </c>
      <c r="S201">
        <v>15016099089</v>
      </c>
      <c r="T201" t="str">
        <f ca="1">VLOOKUP(RANDBETWEEN(1,17),'Auxiliar Vendas'!D:G,2,0)</f>
        <v>Produto 14</v>
      </c>
      <c r="U201">
        <v>60</v>
      </c>
      <c r="V201">
        <v>21.75</v>
      </c>
      <c r="W201">
        <v>0</v>
      </c>
      <c r="X201">
        <v>16.804400000000001</v>
      </c>
      <c r="Y201" s="3">
        <v>1305</v>
      </c>
      <c r="Z201">
        <v>47</v>
      </c>
      <c r="AA201" t="s">
        <v>79</v>
      </c>
      <c r="AB201">
        <v>0</v>
      </c>
      <c r="AC201">
        <v>0</v>
      </c>
      <c r="AH201" s="2">
        <v>44499.362500000003</v>
      </c>
      <c r="AI201">
        <v>0</v>
      </c>
      <c r="AJ201">
        <v>0</v>
      </c>
      <c r="AK201" s="30" t="str">
        <f ca="1">VLOOKUP(T201,'Auxiliar Vendas'!E:F,2,FALSE)</f>
        <v>Produto 14</v>
      </c>
      <c r="AL201" s="31">
        <f ca="1">U201*VLOOKUP(T201,'Auxiliar Vendas'!E:G,3,FALSE)</f>
        <v>84</v>
      </c>
    </row>
    <row r="202" spans="1:38">
      <c r="A202">
        <v>15290067584</v>
      </c>
      <c r="B202">
        <v>75</v>
      </c>
      <c r="D202" s="1">
        <v>44499</v>
      </c>
      <c r="E202">
        <v>15179724225</v>
      </c>
      <c r="F202" t="str">
        <f ca="1">VLOOKUP(RANDBETWEEN(1,20),'DBO Compras'!AA:AC,3,0)</f>
        <v>Comprador 18</v>
      </c>
      <c r="G202" t="s">
        <v>147</v>
      </c>
      <c r="H202" t="s">
        <v>148</v>
      </c>
      <c r="I202" t="s">
        <v>149</v>
      </c>
      <c r="J202" t="s">
        <v>143</v>
      </c>
      <c r="K202">
        <v>84060872</v>
      </c>
      <c r="L202" t="s">
        <v>40</v>
      </c>
      <c r="M202" t="s">
        <v>150</v>
      </c>
      <c r="N202">
        <v>4299550985</v>
      </c>
      <c r="O202">
        <v>0</v>
      </c>
      <c r="P202">
        <v>0</v>
      </c>
      <c r="R202" t="s">
        <v>42</v>
      </c>
      <c r="S202">
        <v>15016080333</v>
      </c>
      <c r="T202" t="str">
        <f ca="1">VLOOKUP(RANDBETWEEN(1,17),'Auxiliar Vendas'!D:G,2,0)</f>
        <v>Produto 07</v>
      </c>
      <c r="U202">
        <v>10</v>
      </c>
      <c r="V202">
        <v>15.5</v>
      </c>
      <c r="W202">
        <v>0</v>
      </c>
      <c r="X202">
        <v>10.747</v>
      </c>
      <c r="Y202">
        <v>155</v>
      </c>
      <c r="Z202">
        <v>47</v>
      </c>
      <c r="AA202" t="s">
        <v>80</v>
      </c>
      <c r="AB202">
        <v>0</v>
      </c>
      <c r="AC202">
        <v>0</v>
      </c>
      <c r="AH202" s="2">
        <v>44499.362500000003</v>
      </c>
      <c r="AI202">
        <v>0</v>
      </c>
      <c r="AJ202">
        <v>0</v>
      </c>
      <c r="AK202" s="30" t="str">
        <f ca="1">VLOOKUP(T202,'Auxiliar Vendas'!E:F,2,FALSE)</f>
        <v>Produto 07</v>
      </c>
      <c r="AL202" s="31">
        <f ca="1">U202*VLOOKUP(T202,'Auxiliar Vendas'!E:G,3,FALSE)</f>
        <v>11</v>
      </c>
    </row>
    <row r="203" spans="1:38">
      <c r="A203">
        <v>15291481722</v>
      </c>
      <c r="B203">
        <v>89</v>
      </c>
      <c r="D203" s="1">
        <v>44499</v>
      </c>
      <c r="E203">
        <v>15179746175</v>
      </c>
      <c r="F203" t="str">
        <f ca="1">VLOOKUP(RANDBETWEEN(1,20),'DBO Compras'!AA:AC,3,0)</f>
        <v>Comprador 17</v>
      </c>
      <c r="G203" t="s">
        <v>151</v>
      </c>
      <c r="H203" t="s">
        <v>152</v>
      </c>
      <c r="I203" t="s">
        <v>153</v>
      </c>
      <c r="J203" t="s">
        <v>154</v>
      </c>
      <c r="K203">
        <v>84266280</v>
      </c>
      <c r="L203" t="s">
        <v>40</v>
      </c>
      <c r="O203">
        <v>0</v>
      </c>
      <c r="P203">
        <v>0</v>
      </c>
      <c r="R203" t="s">
        <v>42</v>
      </c>
      <c r="S203">
        <v>15016043939</v>
      </c>
      <c r="T203" t="str">
        <f ca="1">VLOOKUP(RANDBETWEEN(1,17),'Auxiliar Vendas'!D:G,2,0)</f>
        <v>Produto 09</v>
      </c>
      <c r="U203" s="3">
        <v>1000</v>
      </c>
      <c r="V203">
        <v>13.6</v>
      </c>
      <c r="W203">
        <v>0</v>
      </c>
      <c r="X203">
        <v>10.747</v>
      </c>
      <c r="Y203" s="3">
        <v>13600</v>
      </c>
      <c r="Z203">
        <v>48</v>
      </c>
      <c r="AA203" t="s">
        <v>50</v>
      </c>
      <c r="AB203">
        <v>0</v>
      </c>
      <c r="AC203">
        <v>0</v>
      </c>
      <c r="AH203" s="2">
        <v>44499.362500000003</v>
      </c>
      <c r="AI203">
        <v>0</v>
      </c>
      <c r="AJ203">
        <v>0</v>
      </c>
      <c r="AK203" s="30" t="str">
        <f ca="1">VLOOKUP(T203,'Auxiliar Vendas'!E:F,2,FALSE)</f>
        <v>Produto 09</v>
      </c>
      <c r="AL203" s="31">
        <f ca="1">U203*VLOOKUP(T203,'Auxiliar Vendas'!E:G,3,FALSE)</f>
        <v>1100</v>
      </c>
    </row>
    <row r="204" spans="1:38">
      <c r="A204">
        <v>15291481722</v>
      </c>
      <c r="B204">
        <v>89</v>
      </c>
      <c r="D204" s="1">
        <v>44499</v>
      </c>
      <c r="E204">
        <v>15179746175</v>
      </c>
      <c r="F204" t="str">
        <f ca="1">VLOOKUP(RANDBETWEEN(1,20),'DBO Compras'!AA:AC,3,0)</f>
        <v>Comprador 18</v>
      </c>
      <c r="G204" t="s">
        <v>151</v>
      </c>
      <c r="H204" t="s">
        <v>152</v>
      </c>
      <c r="I204" t="s">
        <v>153</v>
      </c>
      <c r="J204" t="s">
        <v>154</v>
      </c>
      <c r="K204">
        <v>84266280</v>
      </c>
      <c r="L204" t="s">
        <v>40</v>
      </c>
      <c r="O204">
        <v>0</v>
      </c>
      <c r="P204">
        <v>0</v>
      </c>
      <c r="R204" t="s">
        <v>42</v>
      </c>
      <c r="S204">
        <v>15016073255</v>
      </c>
      <c r="T204" t="str">
        <f ca="1">VLOOKUP(RANDBETWEEN(1,17),'Auxiliar Vendas'!D:G,2,0)</f>
        <v>Produto 11</v>
      </c>
      <c r="U204">
        <v>300</v>
      </c>
      <c r="V204">
        <v>16.2</v>
      </c>
      <c r="W204">
        <v>0</v>
      </c>
      <c r="X204">
        <v>10.747</v>
      </c>
      <c r="Y204" s="3">
        <v>4860</v>
      </c>
      <c r="Z204">
        <v>48</v>
      </c>
      <c r="AA204" t="s">
        <v>160</v>
      </c>
      <c r="AB204">
        <v>0</v>
      </c>
      <c r="AC204">
        <v>0</v>
      </c>
      <c r="AH204" s="2">
        <v>44499.362500000003</v>
      </c>
      <c r="AI204">
        <v>0</v>
      </c>
      <c r="AJ204">
        <v>0</v>
      </c>
      <c r="AK204" s="30" t="str">
        <f ca="1">VLOOKUP(T204,'Auxiliar Vendas'!E:F,2,FALSE)</f>
        <v>Produto 11</v>
      </c>
      <c r="AL204" s="31">
        <f ca="1">U204*VLOOKUP(T204,'Auxiliar Vendas'!E:G,3,FALSE)</f>
        <v>330</v>
      </c>
    </row>
    <row r="205" spans="1:38">
      <c r="A205">
        <v>15291481722</v>
      </c>
      <c r="B205">
        <v>89</v>
      </c>
      <c r="D205" s="1">
        <v>44499</v>
      </c>
      <c r="E205">
        <v>15179746175</v>
      </c>
      <c r="F205" t="str">
        <f ca="1">VLOOKUP(RANDBETWEEN(1,20),'DBO Compras'!AA:AC,3,0)</f>
        <v>Comprador 12</v>
      </c>
      <c r="G205" t="s">
        <v>151</v>
      </c>
      <c r="H205" t="s">
        <v>152</v>
      </c>
      <c r="I205" t="s">
        <v>153</v>
      </c>
      <c r="J205" t="s">
        <v>154</v>
      </c>
      <c r="K205">
        <v>84266280</v>
      </c>
      <c r="L205" t="s">
        <v>40</v>
      </c>
      <c r="O205">
        <v>0</v>
      </c>
      <c r="P205">
        <v>0</v>
      </c>
      <c r="R205" t="s">
        <v>42</v>
      </c>
      <c r="S205">
        <v>15016080333</v>
      </c>
      <c r="T205" t="str">
        <f ca="1">VLOOKUP(RANDBETWEEN(1,17),'Auxiliar Vendas'!D:G,2,0)</f>
        <v>Produto 17</v>
      </c>
      <c r="U205">
        <v>50</v>
      </c>
      <c r="V205">
        <v>15.2</v>
      </c>
      <c r="W205">
        <v>0</v>
      </c>
      <c r="X205">
        <v>10.747</v>
      </c>
      <c r="Y205">
        <v>760</v>
      </c>
      <c r="Z205">
        <v>48</v>
      </c>
      <c r="AA205" t="s">
        <v>80</v>
      </c>
      <c r="AB205">
        <v>0</v>
      </c>
      <c r="AC205">
        <v>0</v>
      </c>
      <c r="AH205" s="2">
        <v>44499.362500000003</v>
      </c>
      <c r="AI205">
        <v>0</v>
      </c>
      <c r="AJ205">
        <v>0</v>
      </c>
      <c r="AK205" s="30" t="str">
        <f ca="1">VLOOKUP(T205,'Auxiliar Vendas'!E:F,2,FALSE)</f>
        <v>Produto 17</v>
      </c>
      <c r="AL205" s="31">
        <f ca="1">U205*VLOOKUP(T205,'Auxiliar Vendas'!E:G,3,FALSE)</f>
        <v>71</v>
      </c>
    </row>
    <row r="206" spans="1:38">
      <c r="A206">
        <v>15291481722</v>
      </c>
      <c r="B206">
        <v>89</v>
      </c>
      <c r="D206" s="1">
        <v>44499</v>
      </c>
      <c r="E206">
        <v>15179746175</v>
      </c>
      <c r="F206" t="str">
        <f ca="1">VLOOKUP(RANDBETWEEN(1,20),'DBO Compras'!AA:AC,3,0)</f>
        <v>Comprador 07</v>
      </c>
      <c r="G206" t="s">
        <v>151</v>
      </c>
      <c r="H206" t="s">
        <v>152</v>
      </c>
      <c r="I206" t="s">
        <v>153</v>
      </c>
      <c r="J206" t="s">
        <v>154</v>
      </c>
      <c r="K206">
        <v>84266280</v>
      </c>
      <c r="L206" t="s">
        <v>40</v>
      </c>
      <c r="O206">
        <v>0</v>
      </c>
      <c r="P206">
        <v>0</v>
      </c>
      <c r="R206" t="s">
        <v>42</v>
      </c>
      <c r="S206">
        <v>15016093155</v>
      </c>
      <c r="T206" t="str">
        <f ca="1">VLOOKUP(RANDBETWEEN(1,17),'Auxiliar Vendas'!D:G,2,0)</f>
        <v>Produto 02</v>
      </c>
      <c r="U206">
        <v>100</v>
      </c>
      <c r="V206">
        <v>18.2</v>
      </c>
      <c r="W206">
        <v>0</v>
      </c>
      <c r="X206">
        <v>14.4596</v>
      </c>
      <c r="Y206" s="3">
        <v>1820</v>
      </c>
      <c r="Z206">
        <v>48</v>
      </c>
      <c r="AA206" t="s">
        <v>65</v>
      </c>
      <c r="AB206">
        <v>0</v>
      </c>
      <c r="AC206">
        <v>0</v>
      </c>
      <c r="AH206" s="2">
        <v>44499.362500000003</v>
      </c>
      <c r="AI206">
        <v>0</v>
      </c>
      <c r="AJ206">
        <v>0</v>
      </c>
      <c r="AK206" s="30" t="str">
        <f ca="1">VLOOKUP(T206,'Auxiliar Vendas'!E:F,2,FALSE)</f>
        <v>Produto 02</v>
      </c>
      <c r="AL206" s="31">
        <f ca="1">U206*VLOOKUP(T206,'Auxiliar Vendas'!E:G,3,FALSE)</f>
        <v>27</v>
      </c>
    </row>
    <row r="207" spans="1:38">
      <c r="A207">
        <v>15291481722</v>
      </c>
      <c r="B207">
        <v>89</v>
      </c>
      <c r="D207" s="1">
        <v>44499</v>
      </c>
      <c r="E207">
        <v>15179746175</v>
      </c>
      <c r="F207" t="str">
        <f ca="1">VLOOKUP(RANDBETWEEN(1,20),'DBO Compras'!AA:AC,3,0)</f>
        <v>Comprador 05</v>
      </c>
      <c r="G207" t="s">
        <v>151</v>
      </c>
      <c r="H207" t="s">
        <v>152</v>
      </c>
      <c r="I207" t="s">
        <v>153</v>
      </c>
      <c r="J207" t="s">
        <v>154</v>
      </c>
      <c r="K207">
        <v>84266280</v>
      </c>
      <c r="L207" t="s">
        <v>40</v>
      </c>
      <c r="O207">
        <v>0</v>
      </c>
      <c r="P207">
        <v>0</v>
      </c>
      <c r="R207" t="s">
        <v>42</v>
      </c>
      <c r="S207">
        <v>15016093155</v>
      </c>
      <c r="T207" t="str">
        <f ca="1">VLOOKUP(RANDBETWEEN(1,17),'Auxiliar Vendas'!D:G,2,0)</f>
        <v>Produto 12</v>
      </c>
      <c r="U207">
        <v>100</v>
      </c>
      <c r="V207">
        <v>16.38</v>
      </c>
      <c r="W207">
        <v>0</v>
      </c>
      <c r="X207">
        <v>14.4596</v>
      </c>
      <c r="Y207" s="3">
        <v>1638</v>
      </c>
      <c r="Z207">
        <v>48</v>
      </c>
      <c r="AA207" t="s">
        <v>65</v>
      </c>
      <c r="AB207">
        <v>0</v>
      </c>
      <c r="AC207">
        <v>0</v>
      </c>
      <c r="AH207" s="2">
        <v>44499.362500000003</v>
      </c>
      <c r="AI207">
        <v>0</v>
      </c>
      <c r="AJ207">
        <v>0</v>
      </c>
      <c r="AK207" s="30" t="str">
        <f ca="1">VLOOKUP(T207,'Auxiliar Vendas'!E:F,2,FALSE)</f>
        <v>Produto 12</v>
      </c>
      <c r="AL207" s="31">
        <f ca="1">U207*VLOOKUP(T207,'Auxiliar Vendas'!E:G,3,FALSE)</f>
        <v>140</v>
      </c>
    </row>
    <row r="208" spans="1:38">
      <c r="A208">
        <v>15291481722</v>
      </c>
      <c r="B208">
        <v>89</v>
      </c>
      <c r="D208" s="1">
        <v>44499</v>
      </c>
      <c r="E208">
        <v>15179746175</v>
      </c>
      <c r="F208" t="str">
        <f ca="1">VLOOKUP(RANDBETWEEN(1,20),'DBO Compras'!AA:AC,3,0)</f>
        <v>Comprador 12</v>
      </c>
      <c r="G208" t="s">
        <v>151</v>
      </c>
      <c r="H208" t="s">
        <v>152</v>
      </c>
      <c r="I208" t="s">
        <v>153</v>
      </c>
      <c r="J208" t="s">
        <v>154</v>
      </c>
      <c r="K208">
        <v>84266280</v>
      </c>
      <c r="L208" t="s">
        <v>40</v>
      </c>
      <c r="O208">
        <v>0</v>
      </c>
      <c r="P208">
        <v>0</v>
      </c>
      <c r="R208" t="s">
        <v>42</v>
      </c>
      <c r="S208">
        <v>15016087271</v>
      </c>
      <c r="T208" t="str">
        <f ca="1">VLOOKUP(RANDBETWEEN(1,17),'Auxiliar Vendas'!D:G,2,0)</f>
        <v>Produto 04</v>
      </c>
      <c r="U208">
        <v>50</v>
      </c>
      <c r="V208">
        <v>18.2</v>
      </c>
      <c r="W208">
        <v>0</v>
      </c>
      <c r="X208">
        <v>14.4596</v>
      </c>
      <c r="Y208">
        <v>910</v>
      </c>
      <c r="Z208">
        <v>48</v>
      </c>
      <c r="AA208" t="s">
        <v>64</v>
      </c>
      <c r="AB208">
        <v>0</v>
      </c>
      <c r="AC208">
        <v>0</v>
      </c>
      <c r="AH208" s="2">
        <v>44499.362500000003</v>
      </c>
      <c r="AI208">
        <v>0</v>
      </c>
      <c r="AJ208">
        <v>0</v>
      </c>
      <c r="AK208" s="30" t="str">
        <f ca="1">VLOOKUP(T208,'Auxiliar Vendas'!E:F,2,FALSE)</f>
        <v>Produto 04</v>
      </c>
      <c r="AL208" s="31">
        <f ca="1">U208*VLOOKUP(T208,'Auxiliar Vendas'!E:G,3,FALSE)</f>
        <v>30</v>
      </c>
    </row>
    <row r="209" spans="1:38">
      <c r="A209">
        <v>15291481722</v>
      </c>
      <c r="B209">
        <v>89</v>
      </c>
      <c r="D209" s="1">
        <v>44499</v>
      </c>
      <c r="E209">
        <v>15179746175</v>
      </c>
      <c r="F209" t="str">
        <f ca="1">VLOOKUP(RANDBETWEEN(1,20),'DBO Compras'!AA:AC,3,0)</f>
        <v>Comprador 06</v>
      </c>
      <c r="G209" t="s">
        <v>151</v>
      </c>
      <c r="H209" t="s">
        <v>152</v>
      </c>
      <c r="I209" t="s">
        <v>153</v>
      </c>
      <c r="J209" t="s">
        <v>154</v>
      </c>
      <c r="K209">
        <v>84266280</v>
      </c>
      <c r="L209" t="s">
        <v>40</v>
      </c>
      <c r="O209">
        <v>0</v>
      </c>
      <c r="P209">
        <v>0</v>
      </c>
      <c r="R209" t="s">
        <v>42</v>
      </c>
      <c r="S209">
        <v>15016099089</v>
      </c>
      <c r="T209" t="str">
        <f ca="1">VLOOKUP(RANDBETWEEN(1,17),'Auxiliar Vendas'!D:G,2,0)</f>
        <v>Produto 07</v>
      </c>
      <c r="U209">
        <v>100</v>
      </c>
      <c r="V209">
        <v>21.3</v>
      </c>
      <c r="W209">
        <v>0</v>
      </c>
      <c r="X209">
        <v>16.804400000000001</v>
      </c>
      <c r="Y209" s="3">
        <v>2130</v>
      </c>
      <c r="Z209">
        <v>48</v>
      </c>
      <c r="AA209" t="s">
        <v>79</v>
      </c>
      <c r="AB209">
        <v>0</v>
      </c>
      <c r="AC209">
        <v>0</v>
      </c>
      <c r="AH209" s="2">
        <v>44499.362500000003</v>
      </c>
      <c r="AI209">
        <v>0</v>
      </c>
      <c r="AJ209">
        <v>0</v>
      </c>
      <c r="AK209" s="30" t="str">
        <f ca="1">VLOOKUP(T209,'Auxiliar Vendas'!E:F,2,FALSE)</f>
        <v>Produto 07</v>
      </c>
      <c r="AL209" s="31">
        <f ca="1">U209*VLOOKUP(T209,'Auxiliar Vendas'!E:G,3,FALSE)</f>
        <v>110.00000000000001</v>
      </c>
    </row>
    <row r="210" spans="1:38">
      <c r="A210">
        <v>15291481722</v>
      </c>
      <c r="B210">
        <v>89</v>
      </c>
      <c r="D210" s="1">
        <v>44499</v>
      </c>
      <c r="E210">
        <v>15179746175</v>
      </c>
      <c r="F210" t="str">
        <f ca="1">VLOOKUP(RANDBETWEEN(1,20),'DBO Compras'!AA:AC,3,0)</f>
        <v>Comprador 03</v>
      </c>
      <c r="G210" t="s">
        <v>151</v>
      </c>
      <c r="H210" t="s">
        <v>152</v>
      </c>
      <c r="I210" t="s">
        <v>153</v>
      </c>
      <c r="J210" t="s">
        <v>154</v>
      </c>
      <c r="K210">
        <v>84266280</v>
      </c>
      <c r="L210" t="s">
        <v>40</v>
      </c>
      <c r="O210">
        <v>0</v>
      </c>
      <c r="P210">
        <v>0</v>
      </c>
      <c r="R210" t="s">
        <v>42</v>
      </c>
      <c r="S210">
        <v>15015918644</v>
      </c>
      <c r="T210" t="str">
        <f ca="1">VLOOKUP(RANDBETWEEN(1,17),'Auxiliar Vendas'!D:G,2,0)</f>
        <v>Produto 12</v>
      </c>
      <c r="U210">
        <v>300</v>
      </c>
      <c r="V210">
        <v>8.1</v>
      </c>
      <c r="W210">
        <v>0</v>
      </c>
      <c r="X210">
        <v>5.61</v>
      </c>
      <c r="Y210" s="3">
        <v>2430</v>
      </c>
      <c r="Z210">
        <v>48</v>
      </c>
      <c r="AA210" t="s">
        <v>59</v>
      </c>
      <c r="AB210">
        <v>0</v>
      </c>
      <c r="AC210">
        <v>0</v>
      </c>
      <c r="AH210" s="2">
        <v>44499.362500000003</v>
      </c>
      <c r="AI210">
        <v>0</v>
      </c>
      <c r="AJ210">
        <v>0</v>
      </c>
      <c r="AK210" s="30" t="str">
        <f ca="1">VLOOKUP(T210,'Auxiliar Vendas'!E:F,2,FALSE)</f>
        <v>Produto 12</v>
      </c>
      <c r="AL210" s="31">
        <f ca="1">U210*VLOOKUP(T210,'Auxiliar Vendas'!E:G,3,FALSE)</f>
        <v>420</v>
      </c>
    </row>
    <row r="211" spans="1:38">
      <c r="A211">
        <v>15293282615</v>
      </c>
      <c r="B211">
        <v>98</v>
      </c>
      <c r="D211" s="1">
        <v>44499</v>
      </c>
      <c r="E211">
        <v>15291803674</v>
      </c>
      <c r="F211" t="str">
        <f ca="1">VLOOKUP(RANDBETWEEN(1,20),'DBO Compras'!AA:AC,3,0)</f>
        <v>Comprador 01</v>
      </c>
      <c r="G211" t="s">
        <v>88</v>
      </c>
      <c r="H211" t="s">
        <v>89</v>
      </c>
      <c r="I211" t="s">
        <v>90</v>
      </c>
      <c r="J211" t="s">
        <v>91</v>
      </c>
      <c r="K211">
        <v>88337440</v>
      </c>
      <c r="L211" t="s">
        <v>92</v>
      </c>
      <c r="M211" t="s">
        <v>93</v>
      </c>
      <c r="N211">
        <v>47996529345</v>
      </c>
      <c r="O211">
        <v>0</v>
      </c>
      <c r="P211">
        <v>0</v>
      </c>
      <c r="R211" t="s">
        <v>42</v>
      </c>
      <c r="S211">
        <v>15016099089</v>
      </c>
      <c r="T211" t="str">
        <f ca="1">VLOOKUP(RANDBETWEEN(1,17),'Auxiliar Vendas'!D:G,2,0)</f>
        <v>Produto 12</v>
      </c>
      <c r="U211" s="3">
        <v>1500</v>
      </c>
      <c r="V211">
        <v>20.95</v>
      </c>
      <c r="W211">
        <v>0</v>
      </c>
      <c r="X211">
        <v>16.804400000000001</v>
      </c>
      <c r="Y211" s="3">
        <v>31425</v>
      </c>
      <c r="Z211">
        <v>73</v>
      </c>
      <c r="AA211" t="s">
        <v>79</v>
      </c>
      <c r="AB211">
        <v>0</v>
      </c>
      <c r="AC211">
        <v>0</v>
      </c>
      <c r="AH211" s="2">
        <v>44499.362500000003</v>
      </c>
      <c r="AI211">
        <v>0</v>
      </c>
      <c r="AJ211">
        <v>0</v>
      </c>
      <c r="AK211" s="30" t="str">
        <f ca="1">VLOOKUP(T211,'Auxiliar Vendas'!E:F,2,FALSE)</f>
        <v>Produto 12</v>
      </c>
      <c r="AL211" s="31">
        <f ca="1">U211*VLOOKUP(T211,'Auxiliar Vendas'!E:G,3,FALSE)</f>
        <v>2100</v>
      </c>
    </row>
    <row r="212" spans="1:38">
      <c r="A212">
        <v>15293282615</v>
      </c>
      <c r="B212">
        <v>98</v>
      </c>
      <c r="D212" s="1">
        <v>44499</v>
      </c>
      <c r="E212">
        <v>15291803674</v>
      </c>
      <c r="F212" t="str">
        <f ca="1">VLOOKUP(RANDBETWEEN(1,20),'DBO Compras'!AA:AC,3,0)</f>
        <v>Comprador 14</v>
      </c>
      <c r="G212" t="s">
        <v>88</v>
      </c>
      <c r="H212" t="s">
        <v>89</v>
      </c>
      <c r="I212" t="s">
        <v>90</v>
      </c>
      <c r="J212" t="s">
        <v>91</v>
      </c>
      <c r="K212">
        <v>88337440</v>
      </c>
      <c r="L212" t="s">
        <v>92</v>
      </c>
      <c r="M212" t="s">
        <v>93</v>
      </c>
      <c r="N212">
        <v>47996529345</v>
      </c>
      <c r="O212">
        <v>0</v>
      </c>
      <c r="P212">
        <v>0</v>
      </c>
      <c r="R212" t="s">
        <v>42</v>
      </c>
      <c r="S212">
        <v>15016099089</v>
      </c>
      <c r="T212" t="str">
        <f ca="1">VLOOKUP(RANDBETWEEN(1,17),'Auxiliar Vendas'!D:G,2,0)</f>
        <v>Produto 12</v>
      </c>
      <c r="U212">
        <v>600</v>
      </c>
      <c r="V212">
        <v>19.170000000000002</v>
      </c>
      <c r="W212">
        <v>0</v>
      </c>
      <c r="X212">
        <v>16.804400000000001</v>
      </c>
      <c r="Y212" s="3">
        <v>11502</v>
      </c>
      <c r="Z212">
        <v>73</v>
      </c>
      <c r="AA212" t="s">
        <v>79</v>
      </c>
      <c r="AB212">
        <v>0</v>
      </c>
      <c r="AC212">
        <v>0</v>
      </c>
      <c r="AH212" s="2">
        <v>44499.362500000003</v>
      </c>
      <c r="AI212">
        <v>0</v>
      </c>
      <c r="AJ212">
        <v>0</v>
      </c>
      <c r="AK212" s="30" t="str">
        <f ca="1">VLOOKUP(T212,'Auxiliar Vendas'!E:F,2,FALSE)</f>
        <v>Produto 12</v>
      </c>
      <c r="AL212" s="31">
        <f ca="1">U212*VLOOKUP(T212,'Auxiliar Vendas'!E:G,3,FALSE)</f>
        <v>840</v>
      </c>
    </row>
    <row r="213" spans="1:38">
      <c r="A213">
        <v>15293282615</v>
      </c>
      <c r="B213">
        <v>98</v>
      </c>
      <c r="D213" s="1">
        <v>44499</v>
      </c>
      <c r="E213">
        <v>15291803674</v>
      </c>
      <c r="F213" t="str">
        <f ca="1">VLOOKUP(RANDBETWEEN(1,20),'DBO Compras'!AA:AC,3,0)</f>
        <v>Comprador 06</v>
      </c>
      <c r="G213" t="s">
        <v>88</v>
      </c>
      <c r="H213" t="s">
        <v>89</v>
      </c>
      <c r="I213" t="s">
        <v>90</v>
      </c>
      <c r="J213" t="s">
        <v>91</v>
      </c>
      <c r="K213">
        <v>88337440</v>
      </c>
      <c r="L213" t="s">
        <v>92</v>
      </c>
      <c r="M213" t="s">
        <v>93</v>
      </c>
      <c r="N213">
        <v>47996529345</v>
      </c>
      <c r="O213">
        <v>0</v>
      </c>
      <c r="P213">
        <v>0</v>
      </c>
      <c r="R213" t="s">
        <v>42</v>
      </c>
      <c r="S213">
        <v>15016087271</v>
      </c>
      <c r="T213" t="str">
        <f ca="1">VLOOKUP(RANDBETWEEN(1,17),'Auxiliar Vendas'!D:G,2,0)</f>
        <v>Produto 15</v>
      </c>
      <c r="U213">
        <v>300</v>
      </c>
      <c r="V213">
        <v>17.989999999999998</v>
      </c>
      <c r="W213">
        <v>0</v>
      </c>
      <c r="X213">
        <v>14.4596</v>
      </c>
      <c r="Y213" s="3">
        <v>5397</v>
      </c>
      <c r="Z213">
        <v>73</v>
      </c>
      <c r="AA213" t="s">
        <v>64</v>
      </c>
      <c r="AB213">
        <v>0</v>
      </c>
      <c r="AC213">
        <v>0</v>
      </c>
      <c r="AH213" s="2">
        <v>44499.362500000003</v>
      </c>
      <c r="AI213">
        <v>0</v>
      </c>
      <c r="AJ213">
        <v>0</v>
      </c>
      <c r="AK213" s="30" t="str">
        <f ca="1">VLOOKUP(T213,'Auxiliar Vendas'!E:F,2,FALSE)</f>
        <v>Produto 15</v>
      </c>
      <c r="AL213" s="31">
        <f ca="1">U213*VLOOKUP(T213,'Auxiliar Vendas'!E:G,3,FALSE)</f>
        <v>426</v>
      </c>
    </row>
    <row r="214" spans="1:38">
      <c r="A214">
        <v>15293282615</v>
      </c>
      <c r="B214">
        <v>98</v>
      </c>
      <c r="D214" s="1">
        <v>44499</v>
      </c>
      <c r="E214">
        <v>15291803674</v>
      </c>
      <c r="F214" t="str">
        <f ca="1">VLOOKUP(RANDBETWEEN(1,20),'DBO Compras'!AA:AC,3,0)</f>
        <v>Comprador 12</v>
      </c>
      <c r="G214" t="s">
        <v>88</v>
      </c>
      <c r="H214" t="s">
        <v>89</v>
      </c>
      <c r="I214" t="s">
        <v>90</v>
      </c>
      <c r="J214" t="s">
        <v>91</v>
      </c>
      <c r="K214">
        <v>88337440</v>
      </c>
      <c r="L214" t="s">
        <v>92</v>
      </c>
      <c r="M214" t="s">
        <v>93</v>
      </c>
      <c r="N214">
        <v>47996529345</v>
      </c>
      <c r="O214">
        <v>0</v>
      </c>
      <c r="P214">
        <v>0</v>
      </c>
      <c r="R214" t="s">
        <v>42</v>
      </c>
      <c r="S214">
        <v>15016080333</v>
      </c>
      <c r="T214" t="str">
        <f ca="1">VLOOKUP(RANDBETWEEN(1,17),'Auxiliar Vendas'!D:G,2,0)</f>
        <v>Produto 10</v>
      </c>
      <c r="U214">
        <v>300</v>
      </c>
      <c r="V214">
        <v>14.1</v>
      </c>
      <c r="W214">
        <v>0</v>
      </c>
      <c r="X214">
        <v>10.747</v>
      </c>
      <c r="Y214" s="3">
        <v>4230</v>
      </c>
      <c r="Z214">
        <v>73</v>
      </c>
      <c r="AA214" t="s">
        <v>80</v>
      </c>
      <c r="AB214">
        <v>0</v>
      </c>
      <c r="AC214">
        <v>0</v>
      </c>
      <c r="AH214" s="2">
        <v>44499.362500000003</v>
      </c>
      <c r="AI214">
        <v>0</v>
      </c>
      <c r="AJ214">
        <v>0</v>
      </c>
      <c r="AK214" s="30" t="str">
        <f ca="1">VLOOKUP(T214,'Auxiliar Vendas'!E:F,2,FALSE)</f>
        <v>Produto 10</v>
      </c>
      <c r="AL214" s="31">
        <f ca="1">U214*VLOOKUP(T214,'Auxiliar Vendas'!E:G,3,FALSE)</f>
        <v>330</v>
      </c>
    </row>
    <row r="215" spans="1:38">
      <c r="A215">
        <v>15293282615</v>
      </c>
      <c r="B215">
        <v>98</v>
      </c>
      <c r="D215" s="1">
        <v>44499</v>
      </c>
      <c r="E215">
        <v>15291803674</v>
      </c>
      <c r="F215" t="str">
        <f ca="1">VLOOKUP(RANDBETWEEN(1,20),'DBO Compras'!AA:AC,3,0)</f>
        <v>Comprador 01</v>
      </c>
      <c r="G215" t="s">
        <v>88</v>
      </c>
      <c r="H215" t="s">
        <v>89</v>
      </c>
      <c r="I215" t="s">
        <v>90</v>
      </c>
      <c r="J215" t="s">
        <v>91</v>
      </c>
      <c r="K215">
        <v>88337440</v>
      </c>
      <c r="L215" t="s">
        <v>92</v>
      </c>
      <c r="M215" t="s">
        <v>93</v>
      </c>
      <c r="N215">
        <v>47996529345</v>
      </c>
      <c r="O215">
        <v>0</v>
      </c>
      <c r="P215">
        <v>0</v>
      </c>
      <c r="R215" t="s">
        <v>42</v>
      </c>
      <c r="S215">
        <v>15015918644</v>
      </c>
      <c r="T215" t="str">
        <f ca="1">VLOOKUP(RANDBETWEEN(1,17),'Auxiliar Vendas'!D:G,2,0)</f>
        <v>Produto 05</v>
      </c>
      <c r="U215" s="3">
        <v>2000</v>
      </c>
      <c r="V215">
        <v>7.8</v>
      </c>
      <c r="W215">
        <v>0</v>
      </c>
      <c r="X215">
        <v>5.61</v>
      </c>
      <c r="Y215" s="3">
        <v>15600</v>
      </c>
      <c r="Z215">
        <v>73</v>
      </c>
      <c r="AA215" t="s">
        <v>59</v>
      </c>
      <c r="AB215">
        <v>0</v>
      </c>
      <c r="AC215">
        <v>0</v>
      </c>
      <c r="AH215" s="2">
        <v>44499.362500000003</v>
      </c>
      <c r="AI215">
        <v>0</v>
      </c>
      <c r="AJ215">
        <v>0</v>
      </c>
      <c r="AK215" s="30" t="str">
        <f ca="1">VLOOKUP(T215,'Auxiliar Vendas'!E:F,2,FALSE)</f>
        <v>Produto 05</v>
      </c>
      <c r="AL215" s="31">
        <f ca="1">U215*VLOOKUP(T215,'Auxiliar Vendas'!E:G,3,FALSE)</f>
        <v>1200</v>
      </c>
    </row>
    <row r="216" spans="1:38">
      <c r="A216">
        <v>15293282615</v>
      </c>
      <c r="B216">
        <v>98</v>
      </c>
      <c r="D216" s="1">
        <v>44499</v>
      </c>
      <c r="E216">
        <v>15291803674</v>
      </c>
      <c r="F216" t="str">
        <f ca="1">VLOOKUP(RANDBETWEEN(1,20),'DBO Compras'!AA:AC,3,0)</f>
        <v>Comprador 18</v>
      </c>
      <c r="G216" t="s">
        <v>88</v>
      </c>
      <c r="H216" t="s">
        <v>89</v>
      </c>
      <c r="I216" t="s">
        <v>90</v>
      </c>
      <c r="J216" t="s">
        <v>91</v>
      </c>
      <c r="K216">
        <v>88337440</v>
      </c>
      <c r="L216" t="s">
        <v>92</v>
      </c>
      <c r="M216" t="s">
        <v>93</v>
      </c>
      <c r="N216">
        <v>47996529345</v>
      </c>
      <c r="O216">
        <v>0</v>
      </c>
      <c r="P216">
        <v>0</v>
      </c>
      <c r="R216" t="s">
        <v>42</v>
      </c>
      <c r="S216">
        <v>15015911944</v>
      </c>
      <c r="T216" t="str">
        <f ca="1">VLOOKUP(RANDBETWEEN(1,17),'Auxiliar Vendas'!D:G,2,0)</f>
        <v>Produto 05</v>
      </c>
      <c r="U216" s="3">
        <v>2000</v>
      </c>
      <c r="V216">
        <v>13</v>
      </c>
      <c r="W216">
        <v>0</v>
      </c>
      <c r="X216">
        <v>10.285</v>
      </c>
      <c r="Y216" s="3">
        <v>26000</v>
      </c>
      <c r="Z216">
        <v>73</v>
      </c>
      <c r="AA216" t="s">
        <v>78</v>
      </c>
      <c r="AB216">
        <v>0</v>
      </c>
      <c r="AC216">
        <v>0</v>
      </c>
      <c r="AH216" s="2">
        <v>44499.362500000003</v>
      </c>
      <c r="AI216">
        <v>0</v>
      </c>
      <c r="AJ216">
        <v>0</v>
      </c>
      <c r="AK216" s="30" t="str">
        <f ca="1">VLOOKUP(T216,'Auxiliar Vendas'!E:F,2,FALSE)</f>
        <v>Produto 05</v>
      </c>
      <c r="AL216" s="31">
        <f ca="1">U216*VLOOKUP(T216,'Auxiliar Vendas'!E:G,3,FALSE)</f>
        <v>1200</v>
      </c>
    </row>
    <row r="217" spans="1:38">
      <c r="A217">
        <v>15295022971</v>
      </c>
      <c r="B217">
        <v>104</v>
      </c>
      <c r="D217" s="1">
        <v>44499</v>
      </c>
      <c r="E217">
        <v>15179803016</v>
      </c>
      <c r="F217" t="str">
        <f ca="1">VLOOKUP(RANDBETWEEN(1,20),'DBO Compras'!AA:AC,3,0)</f>
        <v>Comprador 01</v>
      </c>
      <c r="G217" t="s">
        <v>155</v>
      </c>
      <c r="H217" t="s">
        <v>156</v>
      </c>
      <c r="I217" t="s">
        <v>157</v>
      </c>
      <c r="J217" t="s">
        <v>158</v>
      </c>
      <c r="K217">
        <v>84500000</v>
      </c>
      <c r="L217" t="s">
        <v>40</v>
      </c>
      <c r="M217" t="s">
        <v>159</v>
      </c>
      <c r="N217">
        <v>42999250064</v>
      </c>
      <c r="O217">
        <v>0</v>
      </c>
      <c r="P217">
        <v>0</v>
      </c>
      <c r="R217" t="s">
        <v>42</v>
      </c>
      <c r="S217">
        <v>15016043939</v>
      </c>
      <c r="T217" t="str">
        <f ca="1">VLOOKUP(RANDBETWEEN(1,17),'Auxiliar Vendas'!D:G,2,0)</f>
        <v>Produto 13</v>
      </c>
      <c r="U217">
        <v>100</v>
      </c>
      <c r="V217">
        <v>13.9</v>
      </c>
      <c r="W217">
        <v>0</v>
      </c>
      <c r="X217">
        <v>10.747</v>
      </c>
      <c r="Y217" s="3">
        <v>1390</v>
      </c>
      <c r="Z217">
        <v>50</v>
      </c>
      <c r="AA217" t="s">
        <v>50</v>
      </c>
      <c r="AB217">
        <v>0</v>
      </c>
      <c r="AC217">
        <v>0</v>
      </c>
      <c r="AH217" s="2">
        <v>44499.362500000003</v>
      </c>
      <c r="AI217">
        <v>0</v>
      </c>
      <c r="AJ217">
        <v>0</v>
      </c>
      <c r="AK217" s="30" t="str">
        <f ca="1">VLOOKUP(T217,'Auxiliar Vendas'!E:F,2,FALSE)</f>
        <v>Produto 13</v>
      </c>
      <c r="AL217" s="31">
        <f ca="1">U217*VLOOKUP(T217,'Auxiliar Vendas'!E:G,3,FALSE)</f>
        <v>140</v>
      </c>
    </row>
    <row r="218" spans="1:38">
      <c r="A218">
        <v>15295022971</v>
      </c>
      <c r="B218">
        <v>104</v>
      </c>
      <c r="D218" s="1">
        <v>44499</v>
      </c>
      <c r="E218">
        <v>15179803016</v>
      </c>
      <c r="F218" t="str">
        <f ca="1">VLOOKUP(RANDBETWEEN(1,20),'DBO Compras'!AA:AC,3,0)</f>
        <v>Comprador 06</v>
      </c>
      <c r="G218" t="s">
        <v>155</v>
      </c>
      <c r="H218" t="s">
        <v>156</v>
      </c>
      <c r="I218" t="s">
        <v>157</v>
      </c>
      <c r="J218" t="s">
        <v>158</v>
      </c>
      <c r="K218">
        <v>84500000</v>
      </c>
      <c r="L218" t="s">
        <v>40</v>
      </c>
      <c r="M218" t="s">
        <v>159</v>
      </c>
      <c r="N218">
        <v>42999250064</v>
      </c>
      <c r="O218">
        <v>0</v>
      </c>
      <c r="P218">
        <v>0</v>
      </c>
      <c r="R218" t="s">
        <v>42</v>
      </c>
      <c r="S218">
        <v>15016073255</v>
      </c>
      <c r="T218" t="str">
        <f ca="1">VLOOKUP(RANDBETWEEN(1,17),'Auxiliar Vendas'!D:G,2,0)</f>
        <v>Produto 17</v>
      </c>
      <c r="U218">
        <v>70</v>
      </c>
      <c r="V218">
        <v>16.2</v>
      </c>
      <c r="W218">
        <v>0</v>
      </c>
      <c r="X218">
        <v>10.747</v>
      </c>
      <c r="Y218" s="3">
        <v>1134</v>
      </c>
      <c r="Z218">
        <v>50</v>
      </c>
      <c r="AA218" t="s">
        <v>160</v>
      </c>
      <c r="AB218">
        <v>0</v>
      </c>
      <c r="AC218">
        <v>0</v>
      </c>
      <c r="AH218" s="2">
        <v>44499.362500000003</v>
      </c>
      <c r="AI218">
        <v>0</v>
      </c>
      <c r="AJ218">
        <v>0</v>
      </c>
      <c r="AK218" s="30" t="str">
        <f ca="1">VLOOKUP(T218,'Auxiliar Vendas'!E:F,2,FALSE)</f>
        <v>Produto 17</v>
      </c>
      <c r="AL218" s="31">
        <f ca="1">U218*VLOOKUP(T218,'Auxiliar Vendas'!E:G,3,FALSE)</f>
        <v>99.399999999999991</v>
      </c>
    </row>
    <row r="219" spans="1:38">
      <c r="A219">
        <v>15295022971</v>
      </c>
      <c r="B219">
        <v>104</v>
      </c>
      <c r="D219" s="1">
        <v>44499</v>
      </c>
      <c r="E219">
        <v>15179803016</v>
      </c>
      <c r="F219" t="str">
        <f ca="1">VLOOKUP(RANDBETWEEN(1,20),'DBO Compras'!AA:AC,3,0)</f>
        <v>Comprador 13</v>
      </c>
      <c r="G219" t="s">
        <v>155</v>
      </c>
      <c r="H219" t="s">
        <v>156</v>
      </c>
      <c r="I219" t="s">
        <v>157</v>
      </c>
      <c r="J219" t="s">
        <v>158</v>
      </c>
      <c r="K219">
        <v>84500000</v>
      </c>
      <c r="L219" t="s">
        <v>40</v>
      </c>
      <c r="M219" t="s">
        <v>159</v>
      </c>
      <c r="N219">
        <v>42999250064</v>
      </c>
      <c r="O219">
        <v>0</v>
      </c>
      <c r="P219">
        <v>0</v>
      </c>
      <c r="R219" t="s">
        <v>42</v>
      </c>
      <c r="S219">
        <v>15015353721</v>
      </c>
      <c r="T219" t="str">
        <f ca="1">VLOOKUP(RANDBETWEEN(1,17),'Auxiliar Vendas'!D:G,2,0)</f>
        <v>Produto 11</v>
      </c>
      <c r="U219">
        <v>30</v>
      </c>
      <c r="V219">
        <v>8.1999999999999993</v>
      </c>
      <c r="W219">
        <v>0</v>
      </c>
      <c r="X219">
        <v>5.58</v>
      </c>
      <c r="Y219">
        <v>246</v>
      </c>
      <c r="Z219">
        <v>50</v>
      </c>
      <c r="AA219" t="s">
        <v>44</v>
      </c>
      <c r="AB219">
        <v>0</v>
      </c>
      <c r="AC219">
        <v>0</v>
      </c>
      <c r="AH219" s="2">
        <v>44499.362500000003</v>
      </c>
      <c r="AI219">
        <v>0</v>
      </c>
      <c r="AJ219">
        <v>0</v>
      </c>
      <c r="AK219" s="30" t="str">
        <f ca="1">VLOOKUP(T219,'Auxiliar Vendas'!E:F,2,FALSE)</f>
        <v>Produto 11</v>
      </c>
      <c r="AL219" s="31">
        <f ca="1">U219*VLOOKUP(T219,'Auxiliar Vendas'!E:G,3,FALSE)</f>
        <v>33</v>
      </c>
    </row>
    <row r="220" spans="1:38">
      <c r="A220">
        <v>15295022971</v>
      </c>
      <c r="B220">
        <v>104</v>
      </c>
      <c r="D220" s="1">
        <v>44499</v>
      </c>
      <c r="E220">
        <v>15179803016</v>
      </c>
      <c r="F220" t="str">
        <f ca="1">VLOOKUP(RANDBETWEEN(1,20),'DBO Compras'!AA:AC,3,0)</f>
        <v>Comprador 01</v>
      </c>
      <c r="G220" t="s">
        <v>155</v>
      </c>
      <c r="H220" t="s">
        <v>156</v>
      </c>
      <c r="I220" t="s">
        <v>157</v>
      </c>
      <c r="J220" t="s">
        <v>158</v>
      </c>
      <c r="K220">
        <v>84500000</v>
      </c>
      <c r="L220" t="s">
        <v>40</v>
      </c>
      <c r="M220" t="s">
        <v>159</v>
      </c>
      <c r="N220">
        <v>42999250064</v>
      </c>
      <c r="O220">
        <v>0</v>
      </c>
      <c r="P220">
        <v>0</v>
      </c>
      <c r="R220" t="s">
        <v>42</v>
      </c>
      <c r="S220">
        <v>15016093155</v>
      </c>
      <c r="T220" t="str">
        <f ca="1">VLOOKUP(RANDBETWEEN(1,17),'Auxiliar Vendas'!D:G,2,0)</f>
        <v>Produto 15</v>
      </c>
      <c r="U220">
        <v>120</v>
      </c>
      <c r="V220">
        <v>18.2</v>
      </c>
      <c r="W220">
        <v>0</v>
      </c>
      <c r="X220">
        <v>14.4596</v>
      </c>
      <c r="Y220" s="3">
        <v>2184</v>
      </c>
      <c r="Z220">
        <v>50</v>
      </c>
      <c r="AA220" t="s">
        <v>65</v>
      </c>
      <c r="AB220">
        <v>0</v>
      </c>
      <c r="AC220">
        <v>0</v>
      </c>
      <c r="AH220" s="2">
        <v>44499.362500000003</v>
      </c>
      <c r="AI220">
        <v>0</v>
      </c>
      <c r="AJ220">
        <v>0</v>
      </c>
      <c r="AK220" s="30" t="str">
        <f ca="1">VLOOKUP(T220,'Auxiliar Vendas'!E:F,2,FALSE)</f>
        <v>Produto 15</v>
      </c>
      <c r="AL220" s="31">
        <f ca="1">U220*VLOOKUP(T220,'Auxiliar Vendas'!E:G,3,FALSE)</f>
        <v>170.39999999999998</v>
      </c>
    </row>
    <row r="221" spans="1:38">
      <c r="A221">
        <v>15295022971</v>
      </c>
      <c r="B221">
        <v>104</v>
      </c>
      <c r="D221" s="1">
        <v>44499</v>
      </c>
      <c r="E221">
        <v>15179803016</v>
      </c>
      <c r="F221" t="str">
        <f ca="1">VLOOKUP(RANDBETWEEN(1,20),'DBO Compras'!AA:AC,3,0)</f>
        <v>Comprador 07</v>
      </c>
      <c r="G221" t="s">
        <v>155</v>
      </c>
      <c r="H221" t="s">
        <v>156</v>
      </c>
      <c r="I221" t="s">
        <v>157</v>
      </c>
      <c r="J221" t="s">
        <v>158</v>
      </c>
      <c r="K221">
        <v>84500000</v>
      </c>
      <c r="L221" t="s">
        <v>40</v>
      </c>
      <c r="M221" t="s">
        <v>159</v>
      </c>
      <c r="N221">
        <v>42999250064</v>
      </c>
      <c r="O221">
        <v>0</v>
      </c>
      <c r="P221">
        <v>0</v>
      </c>
      <c r="R221" t="s">
        <v>42</v>
      </c>
      <c r="S221">
        <v>15016080333</v>
      </c>
      <c r="T221" t="str">
        <f ca="1">VLOOKUP(RANDBETWEEN(1,17),'Auxiliar Vendas'!D:G,2,0)</f>
        <v>Produto 15</v>
      </c>
      <c r="U221">
        <v>40</v>
      </c>
      <c r="V221">
        <v>15.2</v>
      </c>
      <c r="W221">
        <v>0</v>
      </c>
      <c r="X221">
        <v>10.747</v>
      </c>
      <c r="Y221">
        <v>608</v>
      </c>
      <c r="Z221">
        <v>50</v>
      </c>
      <c r="AA221" t="s">
        <v>80</v>
      </c>
      <c r="AB221">
        <v>0</v>
      </c>
      <c r="AC221">
        <v>0</v>
      </c>
      <c r="AH221" s="2">
        <v>44499.362500000003</v>
      </c>
      <c r="AI221">
        <v>0</v>
      </c>
      <c r="AJ221">
        <v>0</v>
      </c>
      <c r="AK221" s="30" t="str">
        <f ca="1">VLOOKUP(T221,'Auxiliar Vendas'!E:F,2,FALSE)</f>
        <v>Produto 15</v>
      </c>
      <c r="AL221" s="31">
        <f ca="1">U221*VLOOKUP(T221,'Auxiliar Vendas'!E:G,3,FALSE)</f>
        <v>56.8</v>
      </c>
    </row>
    <row r="222" spans="1:38">
      <c r="A222">
        <v>15332219392</v>
      </c>
      <c r="B222">
        <v>119</v>
      </c>
      <c r="D222" s="1">
        <v>44499</v>
      </c>
      <c r="E222">
        <v>15293238499</v>
      </c>
      <c r="F222" t="str">
        <f ca="1">VLOOKUP(RANDBETWEEN(1,20),'DBO Compras'!AA:AC,3,0)</f>
        <v>Comprador 07</v>
      </c>
      <c r="G222" t="s">
        <v>170</v>
      </c>
      <c r="H222" t="s">
        <v>171</v>
      </c>
      <c r="I222" t="s">
        <v>172</v>
      </c>
      <c r="J222" t="s">
        <v>143</v>
      </c>
      <c r="K222" t="s">
        <v>173</v>
      </c>
      <c r="L222" t="s">
        <v>40</v>
      </c>
      <c r="O222">
        <v>0</v>
      </c>
      <c r="P222">
        <v>0</v>
      </c>
      <c r="R222" t="s">
        <v>42</v>
      </c>
      <c r="S222">
        <v>15016099089</v>
      </c>
      <c r="T222" t="str">
        <f ca="1">VLOOKUP(RANDBETWEEN(1,17),'Auxiliar Vendas'!D:G,2,0)</f>
        <v>Produto 16</v>
      </c>
      <c r="U222">
        <v>250</v>
      </c>
      <c r="V222">
        <v>21.75</v>
      </c>
      <c r="W222">
        <v>0</v>
      </c>
      <c r="X222">
        <v>16.804400000000001</v>
      </c>
      <c r="Y222" s="3">
        <v>5437.5</v>
      </c>
      <c r="Z222">
        <v>74</v>
      </c>
      <c r="AA222" t="s">
        <v>79</v>
      </c>
      <c r="AB222">
        <v>0</v>
      </c>
      <c r="AC222">
        <v>0</v>
      </c>
      <c r="AH222" s="2">
        <v>44499.362500000003</v>
      </c>
      <c r="AI222">
        <v>0</v>
      </c>
      <c r="AJ222">
        <v>0</v>
      </c>
      <c r="AK222" s="30" t="str">
        <f ca="1">VLOOKUP(T222,'Auxiliar Vendas'!E:F,2,FALSE)</f>
        <v>Produto 16</v>
      </c>
      <c r="AL222" s="31">
        <f ca="1">U222*VLOOKUP(T222,'Auxiliar Vendas'!E:G,3,FALSE)</f>
        <v>317.5</v>
      </c>
    </row>
    <row r="223" spans="1:38">
      <c r="A223">
        <v>15332219392</v>
      </c>
      <c r="B223">
        <v>119</v>
      </c>
      <c r="D223" s="1">
        <v>44499</v>
      </c>
      <c r="E223">
        <v>15293238499</v>
      </c>
      <c r="F223" t="str">
        <f ca="1">VLOOKUP(RANDBETWEEN(1,20),'DBO Compras'!AA:AC,3,0)</f>
        <v>Comprador 02</v>
      </c>
      <c r="G223" t="s">
        <v>170</v>
      </c>
      <c r="H223" t="s">
        <v>171</v>
      </c>
      <c r="I223" t="s">
        <v>172</v>
      </c>
      <c r="J223" t="s">
        <v>143</v>
      </c>
      <c r="K223" t="s">
        <v>173</v>
      </c>
      <c r="L223" t="s">
        <v>40</v>
      </c>
      <c r="O223">
        <v>0</v>
      </c>
      <c r="P223">
        <v>0</v>
      </c>
      <c r="R223" t="s">
        <v>42</v>
      </c>
      <c r="S223">
        <v>15016087271</v>
      </c>
      <c r="T223" t="str">
        <f ca="1">VLOOKUP(RANDBETWEEN(1,17),'Auxiliar Vendas'!D:G,2,0)</f>
        <v>Produto 10</v>
      </c>
      <c r="U223">
        <v>80</v>
      </c>
      <c r="V223">
        <v>18.649999999999999</v>
      </c>
      <c r="W223">
        <v>0</v>
      </c>
      <c r="X223">
        <v>14.4596</v>
      </c>
      <c r="Y223" s="3">
        <v>1492</v>
      </c>
      <c r="Z223">
        <v>74</v>
      </c>
      <c r="AA223" t="s">
        <v>64</v>
      </c>
      <c r="AB223">
        <v>0</v>
      </c>
      <c r="AC223">
        <v>0</v>
      </c>
      <c r="AH223" s="2">
        <v>44499.362500000003</v>
      </c>
      <c r="AI223">
        <v>0</v>
      </c>
      <c r="AJ223">
        <v>0</v>
      </c>
      <c r="AK223" s="30" t="str">
        <f ca="1">VLOOKUP(T223,'Auxiliar Vendas'!E:F,2,FALSE)</f>
        <v>Produto 10</v>
      </c>
      <c r="AL223" s="31">
        <f ca="1">U223*VLOOKUP(T223,'Auxiliar Vendas'!E:G,3,FALSE)</f>
        <v>88</v>
      </c>
    </row>
    <row r="224" spans="1:38">
      <c r="A224">
        <v>15332219392</v>
      </c>
      <c r="B224">
        <v>119</v>
      </c>
      <c r="D224" s="1">
        <v>44499</v>
      </c>
      <c r="E224">
        <v>15293238499</v>
      </c>
      <c r="F224" t="str">
        <f ca="1">VLOOKUP(RANDBETWEEN(1,20),'DBO Compras'!AA:AC,3,0)</f>
        <v>Comprador 15</v>
      </c>
      <c r="G224" t="s">
        <v>170</v>
      </c>
      <c r="H224" t="s">
        <v>171</v>
      </c>
      <c r="I224" t="s">
        <v>172</v>
      </c>
      <c r="J224" t="s">
        <v>143</v>
      </c>
      <c r="K224" t="s">
        <v>173</v>
      </c>
      <c r="L224" t="s">
        <v>40</v>
      </c>
      <c r="O224">
        <v>0</v>
      </c>
      <c r="P224">
        <v>0</v>
      </c>
      <c r="R224" t="s">
        <v>42</v>
      </c>
      <c r="S224">
        <v>15015918644</v>
      </c>
      <c r="T224" t="str">
        <f ca="1">VLOOKUP(RANDBETWEEN(1,17),'Auxiliar Vendas'!D:G,2,0)</f>
        <v>Produto 10</v>
      </c>
      <c r="U224">
        <v>100</v>
      </c>
      <c r="V224">
        <v>8.3800000000000008</v>
      </c>
      <c r="W224">
        <v>0</v>
      </c>
      <c r="X224">
        <v>5.61</v>
      </c>
      <c r="Y224">
        <v>838</v>
      </c>
      <c r="Z224">
        <v>74</v>
      </c>
      <c r="AA224" t="s">
        <v>59</v>
      </c>
      <c r="AB224">
        <v>0</v>
      </c>
      <c r="AC224">
        <v>0</v>
      </c>
      <c r="AH224" s="2">
        <v>44499.362500000003</v>
      </c>
      <c r="AI224">
        <v>0</v>
      </c>
      <c r="AJ224">
        <v>0</v>
      </c>
      <c r="AK224" s="30" t="str">
        <f ca="1">VLOOKUP(T224,'Auxiliar Vendas'!E:F,2,FALSE)</f>
        <v>Produto 10</v>
      </c>
      <c r="AL224" s="31">
        <f ca="1">U224*VLOOKUP(T224,'Auxiliar Vendas'!E:G,3,FALSE)</f>
        <v>110.00000000000001</v>
      </c>
    </row>
    <row r="225" spans="1:38">
      <c r="A225">
        <v>15332277486</v>
      </c>
      <c r="B225">
        <v>120</v>
      </c>
      <c r="D225" s="1">
        <v>44499</v>
      </c>
      <c r="E225">
        <v>15059073318</v>
      </c>
      <c r="F225" t="str">
        <f ca="1">VLOOKUP(RANDBETWEEN(1,20),'DBO Compras'!AA:AC,3,0)</f>
        <v>Comprador 10</v>
      </c>
      <c r="G225" t="s">
        <v>174</v>
      </c>
      <c r="H225" t="s">
        <v>473</v>
      </c>
      <c r="I225" t="s">
        <v>474</v>
      </c>
      <c r="J225" t="s">
        <v>175</v>
      </c>
      <c r="K225">
        <v>88390000</v>
      </c>
      <c r="L225" t="s">
        <v>92</v>
      </c>
      <c r="M225" t="s">
        <v>176</v>
      </c>
      <c r="N225">
        <v>47999669374</v>
      </c>
      <c r="O225">
        <v>0</v>
      </c>
      <c r="P225">
        <v>0</v>
      </c>
      <c r="R225" t="s">
        <v>42</v>
      </c>
      <c r="S225">
        <v>15016073255</v>
      </c>
      <c r="T225" t="str">
        <f ca="1">VLOOKUP(RANDBETWEEN(1,17),'Auxiliar Vendas'!D:G,2,0)</f>
        <v>Produto 16</v>
      </c>
      <c r="U225">
        <v>150</v>
      </c>
      <c r="V225">
        <v>16.2</v>
      </c>
      <c r="W225">
        <v>0</v>
      </c>
      <c r="X225">
        <v>10.747</v>
      </c>
      <c r="Y225" s="3">
        <v>2430</v>
      </c>
      <c r="Z225">
        <v>30</v>
      </c>
      <c r="AA225" t="s">
        <v>160</v>
      </c>
      <c r="AB225">
        <v>0</v>
      </c>
      <c r="AC225">
        <v>0</v>
      </c>
      <c r="AH225" s="2">
        <v>44499.362500000003</v>
      </c>
      <c r="AI225">
        <v>0</v>
      </c>
      <c r="AJ225">
        <v>0</v>
      </c>
      <c r="AK225" s="30" t="str">
        <f ca="1">VLOOKUP(T225,'Auxiliar Vendas'!E:F,2,FALSE)</f>
        <v>Produto 16</v>
      </c>
      <c r="AL225" s="31">
        <f ca="1">U225*VLOOKUP(T225,'Auxiliar Vendas'!E:G,3,FALSE)</f>
        <v>190.5</v>
      </c>
    </row>
    <row r="226" spans="1:38">
      <c r="A226">
        <v>15332277486</v>
      </c>
      <c r="B226">
        <v>120</v>
      </c>
      <c r="D226" s="1">
        <v>44499</v>
      </c>
      <c r="E226">
        <v>15059073318</v>
      </c>
      <c r="F226" t="str">
        <f ca="1">VLOOKUP(RANDBETWEEN(1,20),'DBO Compras'!AA:AC,3,0)</f>
        <v>Comprador 14</v>
      </c>
      <c r="G226" t="s">
        <v>174</v>
      </c>
      <c r="H226" t="s">
        <v>473</v>
      </c>
      <c r="I226" t="s">
        <v>474</v>
      </c>
      <c r="J226" t="s">
        <v>175</v>
      </c>
      <c r="K226">
        <v>88390000</v>
      </c>
      <c r="L226" t="s">
        <v>92</v>
      </c>
      <c r="M226" t="s">
        <v>176</v>
      </c>
      <c r="N226">
        <v>47999669374</v>
      </c>
      <c r="O226">
        <v>0</v>
      </c>
      <c r="P226">
        <v>0</v>
      </c>
      <c r="R226" t="s">
        <v>42</v>
      </c>
      <c r="S226">
        <v>15016043939</v>
      </c>
      <c r="T226" t="str">
        <f ca="1">VLOOKUP(RANDBETWEEN(1,17),'Auxiliar Vendas'!D:G,2,0)</f>
        <v>Produto 09</v>
      </c>
      <c r="U226">
        <v>150</v>
      </c>
      <c r="V226">
        <v>13.9</v>
      </c>
      <c r="W226">
        <v>0</v>
      </c>
      <c r="X226">
        <v>10.747</v>
      </c>
      <c r="Y226" s="3">
        <v>2085</v>
      </c>
      <c r="Z226">
        <v>30</v>
      </c>
      <c r="AA226" t="s">
        <v>50</v>
      </c>
      <c r="AB226">
        <v>0</v>
      </c>
      <c r="AC226">
        <v>0</v>
      </c>
      <c r="AH226" s="2">
        <v>44499.362500000003</v>
      </c>
      <c r="AI226">
        <v>0</v>
      </c>
      <c r="AJ226">
        <v>0</v>
      </c>
      <c r="AK226" s="30" t="str">
        <f ca="1">VLOOKUP(T226,'Auxiliar Vendas'!E:F,2,FALSE)</f>
        <v>Produto 09</v>
      </c>
      <c r="AL226" s="31">
        <f ca="1">U226*VLOOKUP(T226,'Auxiliar Vendas'!E:G,3,FALSE)</f>
        <v>165</v>
      </c>
    </row>
    <row r="227" spans="1:38">
      <c r="A227">
        <v>15332277486</v>
      </c>
      <c r="B227">
        <v>120</v>
      </c>
      <c r="D227" s="1">
        <v>44499</v>
      </c>
      <c r="E227">
        <v>15059073318</v>
      </c>
      <c r="F227" t="str">
        <f ca="1">VLOOKUP(RANDBETWEEN(1,20),'DBO Compras'!AA:AC,3,0)</f>
        <v>Comprador 12</v>
      </c>
      <c r="G227" t="s">
        <v>174</v>
      </c>
      <c r="H227" t="s">
        <v>473</v>
      </c>
      <c r="I227" t="s">
        <v>474</v>
      </c>
      <c r="J227" t="s">
        <v>175</v>
      </c>
      <c r="K227">
        <v>88390000</v>
      </c>
      <c r="L227" t="s">
        <v>92</v>
      </c>
      <c r="M227" t="s">
        <v>176</v>
      </c>
      <c r="N227">
        <v>47999669374</v>
      </c>
      <c r="O227">
        <v>0</v>
      </c>
      <c r="P227">
        <v>0</v>
      </c>
      <c r="R227" t="s">
        <v>42</v>
      </c>
      <c r="S227">
        <v>15016093155</v>
      </c>
      <c r="T227" t="str">
        <f ca="1">VLOOKUP(RANDBETWEEN(1,17),'Auxiliar Vendas'!D:G,2,0)</f>
        <v>Produto 07</v>
      </c>
      <c r="U227">
        <v>100</v>
      </c>
      <c r="V227">
        <v>18.399999999999999</v>
      </c>
      <c r="W227">
        <v>0</v>
      </c>
      <c r="X227">
        <v>14.4596</v>
      </c>
      <c r="Y227" s="3">
        <v>1840</v>
      </c>
      <c r="Z227">
        <v>30</v>
      </c>
      <c r="AA227" t="s">
        <v>65</v>
      </c>
      <c r="AB227">
        <v>0</v>
      </c>
      <c r="AC227">
        <v>0</v>
      </c>
      <c r="AH227" s="2">
        <v>44499.362500000003</v>
      </c>
      <c r="AI227">
        <v>0</v>
      </c>
      <c r="AJ227">
        <v>0</v>
      </c>
      <c r="AK227" s="30" t="str">
        <f ca="1">VLOOKUP(T227,'Auxiliar Vendas'!E:F,2,FALSE)</f>
        <v>Produto 07</v>
      </c>
      <c r="AL227" s="31">
        <f ca="1">U227*VLOOKUP(T227,'Auxiliar Vendas'!E:G,3,FALSE)</f>
        <v>110.00000000000001</v>
      </c>
    </row>
    <row r="228" spans="1:38">
      <c r="A228">
        <v>15332277486</v>
      </c>
      <c r="B228">
        <v>120</v>
      </c>
      <c r="D228" s="1">
        <v>44499</v>
      </c>
      <c r="E228">
        <v>15059073318</v>
      </c>
      <c r="F228" t="str">
        <f ca="1">VLOOKUP(RANDBETWEEN(1,20),'DBO Compras'!AA:AC,3,0)</f>
        <v>Comprador 11</v>
      </c>
      <c r="G228" t="s">
        <v>174</v>
      </c>
      <c r="H228" t="s">
        <v>473</v>
      </c>
      <c r="I228" t="s">
        <v>474</v>
      </c>
      <c r="J228" t="s">
        <v>175</v>
      </c>
      <c r="K228">
        <v>88390000</v>
      </c>
      <c r="L228" t="s">
        <v>92</v>
      </c>
      <c r="M228" t="s">
        <v>176</v>
      </c>
      <c r="N228">
        <v>47999669374</v>
      </c>
      <c r="O228">
        <v>0</v>
      </c>
      <c r="P228">
        <v>0</v>
      </c>
      <c r="R228" t="s">
        <v>42</v>
      </c>
      <c r="S228">
        <v>15015918644</v>
      </c>
      <c r="T228" t="str">
        <f ca="1">VLOOKUP(RANDBETWEEN(1,17),'Auxiliar Vendas'!D:G,2,0)</f>
        <v>Produto 16</v>
      </c>
      <c r="U228">
        <v>200</v>
      </c>
      <c r="V228">
        <v>8.1999999999999993</v>
      </c>
      <c r="W228">
        <v>0</v>
      </c>
      <c r="X228">
        <v>5.61</v>
      </c>
      <c r="Y228" s="3">
        <v>1640</v>
      </c>
      <c r="Z228">
        <v>30</v>
      </c>
      <c r="AA228" t="s">
        <v>59</v>
      </c>
      <c r="AB228">
        <v>0</v>
      </c>
      <c r="AC228">
        <v>0</v>
      </c>
      <c r="AH228" s="2">
        <v>44499.362500000003</v>
      </c>
      <c r="AI228">
        <v>0</v>
      </c>
      <c r="AJ228">
        <v>0</v>
      </c>
      <c r="AK228" s="30" t="str">
        <f ca="1">VLOOKUP(T228,'Auxiliar Vendas'!E:F,2,FALSE)</f>
        <v>Produto 16</v>
      </c>
      <c r="AL228" s="31">
        <f ca="1">U228*VLOOKUP(T228,'Auxiliar Vendas'!E:G,3,FALSE)</f>
        <v>254</v>
      </c>
    </row>
    <row r="229" spans="1:38">
      <c r="A229">
        <v>15332277486</v>
      </c>
      <c r="B229">
        <v>120</v>
      </c>
      <c r="D229" s="1">
        <v>44499</v>
      </c>
      <c r="E229">
        <v>15059073318</v>
      </c>
      <c r="F229" t="str">
        <f ca="1">VLOOKUP(RANDBETWEEN(1,20),'DBO Compras'!AA:AC,3,0)</f>
        <v>Comprador 12</v>
      </c>
      <c r="G229" t="s">
        <v>174</v>
      </c>
      <c r="H229" t="s">
        <v>473</v>
      </c>
      <c r="I229" t="s">
        <v>474</v>
      </c>
      <c r="J229" t="s">
        <v>175</v>
      </c>
      <c r="K229">
        <v>88390000</v>
      </c>
      <c r="L229" t="s">
        <v>92</v>
      </c>
      <c r="M229" t="s">
        <v>176</v>
      </c>
      <c r="N229">
        <v>47999669374</v>
      </c>
      <c r="O229">
        <v>0</v>
      </c>
      <c r="P229">
        <v>0</v>
      </c>
      <c r="R229" t="s">
        <v>42</v>
      </c>
      <c r="S229">
        <v>15016080333</v>
      </c>
      <c r="T229" t="str">
        <f ca="1">VLOOKUP(RANDBETWEEN(1,17),'Auxiliar Vendas'!D:G,2,0)</f>
        <v>Produto 05</v>
      </c>
      <c r="U229">
        <v>30</v>
      </c>
      <c r="V229">
        <v>15.35</v>
      </c>
      <c r="W229">
        <v>0</v>
      </c>
      <c r="X229">
        <v>10.747</v>
      </c>
      <c r="Y229">
        <v>460.5</v>
      </c>
      <c r="Z229">
        <v>30</v>
      </c>
      <c r="AA229" t="s">
        <v>80</v>
      </c>
      <c r="AB229">
        <v>0</v>
      </c>
      <c r="AC229">
        <v>0</v>
      </c>
      <c r="AH229" s="2">
        <v>44499.362500000003</v>
      </c>
      <c r="AI229">
        <v>0</v>
      </c>
      <c r="AJ229">
        <v>0</v>
      </c>
      <c r="AK229" s="30" t="str">
        <f ca="1">VLOOKUP(T229,'Auxiliar Vendas'!E:F,2,FALSE)</f>
        <v>Produto 05</v>
      </c>
      <c r="AL229" s="31">
        <f ca="1">U229*VLOOKUP(T229,'Auxiliar Vendas'!E:G,3,FALSE)</f>
        <v>18</v>
      </c>
    </row>
    <row r="230" spans="1:38">
      <c r="A230">
        <v>15341701258</v>
      </c>
      <c r="B230">
        <v>123</v>
      </c>
      <c r="D230" s="1">
        <v>44499</v>
      </c>
      <c r="E230">
        <v>15179608501</v>
      </c>
      <c r="F230" t="str">
        <f ca="1">VLOOKUP(RANDBETWEEN(1,20),'DBO Compras'!AA:AC,3,0)</f>
        <v>Comprador 05</v>
      </c>
      <c r="G230" t="s">
        <v>60</v>
      </c>
      <c r="H230" t="s">
        <v>61</v>
      </c>
      <c r="I230" t="s">
        <v>62</v>
      </c>
      <c r="J230" t="s">
        <v>39</v>
      </c>
      <c r="K230">
        <v>82720070</v>
      </c>
      <c r="L230" t="s">
        <v>40</v>
      </c>
      <c r="M230" t="s">
        <v>63</v>
      </c>
      <c r="N230">
        <v>41992354686</v>
      </c>
      <c r="O230">
        <v>0</v>
      </c>
      <c r="P230">
        <v>0</v>
      </c>
      <c r="R230" t="s">
        <v>42</v>
      </c>
      <c r="S230">
        <v>15016043939</v>
      </c>
      <c r="T230" t="str">
        <f ca="1">VLOOKUP(RANDBETWEEN(1,17),'Auxiliar Vendas'!D:G,2,0)</f>
        <v>Produto 11</v>
      </c>
      <c r="U230">
        <v>500</v>
      </c>
      <c r="V230">
        <v>13.66</v>
      </c>
      <c r="W230">
        <v>0</v>
      </c>
      <c r="X230">
        <v>10.747</v>
      </c>
      <c r="Y230" s="3">
        <v>6830</v>
      </c>
      <c r="Z230">
        <v>42</v>
      </c>
      <c r="AA230" t="s">
        <v>50</v>
      </c>
      <c r="AB230">
        <v>0</v>
      </c>
      <c r="AC230">
        <v>0</v>
      </c>
      <c r="AH230" s="2">
        <v>44499.361805555556</v>
      </c>
      <c r="AI230">
        <v>0</v>
      </c>
      <c r="AJ230">
        <v>0</v>
      </c>
      <c r="AK230" s="30" t="str">
        <f ca="1">VLOOKUP(T230,'Auxiliar Vendas'!E:F,2,FALSE)</f>
        <v>Produto 11</v>
      </c>
      <c r="AL230" s="31">
        <f ca="1">U230*VLOOKUP(T230,'Auxiliar Vendas'!E:G,3,FALSE)</f>
        <v>550</v>
      </c>
    </row>
    <row r="231" spans="1:38">
      <c r="A231">
        <v>15341701258</v>
      </c>
      <c r="B231">
        <v>123</v>
      </c>
      <c r="D231" s="1">
        <v>44499</v>
      </c>
      <c r="E231">
        <v>15179608501</v>
      </c>
      <c r="F231" t="str">
        <f ca="1">VLOOKUP(RANDBETWEEN(1,20),'DBO Compras'!AA:AC,3,0)</f>
        <v>Comprador 15</v>
      </c>
      <c r="G231" t="s">
        <v>60</v>
      </c>
      <c r="H231" t="s">
        <v>61</v>
      </c>
      <c r="I231" t="s">
        <v>62</v>
      </c>
      <c r="J231" t="s">
        <v>39</v>
      </c>
      <c r="K231">
        <v>82720070</v>
      </c>
      <c r="L231" t="s">
        <v>40</v>
      </c>
      <c r="M231" t="s">
        <v>63</v>
      </c>
      <c r="N231">
        <v>41992354686</v>
      </c>
      <c r="O231">
        <v>0</v>
      </c>
      <c r="P231">
        <v>0</v>
      </c>
      <c r="R231" t="s">
        <v>42</v>
      </c>
      <c r="S231">
        <v>15015918644</v>
      </c>
      <c r="T231" t="str">
        <f ca="1">VLOOKUP(RANDBETWEEN(1,17),'Auxiliar Vendas'!D:G,2,0)</f>
        <v>Produto 01</v>
      </c>
      <c r="U231">
        <v>500</v>
      </c>
      <c r="V231">
        <v>7.85</v>
      </c>
      <c r="W231">
        <v>0</v>
      </c>
      <c r="X231">
        <v>5.61</v>
      </c>
      <c r="Y231" s="3">
        <v>3925</v>
      </c>
      <c r="Z231">
        <v>42</v>
      </c>
      <c r="AA231" t="s">
        <v>59</v>
      </c>
      <c r="AB231">
        <v>0</v>
      </c>
      <c r="AC231">
        <v>0</v>
      </c>
      <c r="AH231" s="2">
        <v>44499.361805555556</v>
      </c>
      <c r="AI231">
        <v>0</v>
      </c>
      <c r="AJ231">
        <v>0</v>
      </c>
      <c r="AK231" s="30" t="str">
        <f ca="1">VLOOKUP(T231,'Auxiliar Vendas'!E:F,2,FALSE)</f>
        <v>Produto 01</v>
      </c>
      <c r="AL231" s="31">
        <f ca="1">U231*VLOOKUP(T231,'Auxiliar Vendas'!E:G,3,FALSE)</f>
        <v>200</v>
      </c>
    </row>
    <row r="232" spans="1:38">
      <c r="A232">
        <v>15341701258</v>
      </c>
      <c r="B232">
        <v>123</v>
      </c>
      <c r="D232" s="1">
        <v>44499</v>
      </c>
      <c r="E232">
        <v>15179608501</v>
      </c>
      <c r="F232" t="str">
        <f ca="1">VLOOKUP(RANDBETWEEN(1,20),'DBO Compras'!AA:AC,3,0)</f>
        <v>Comprador 15</v>
      </c>
      <c r="G232" t="s">
        <v>60</v>
      </c>
      <c r="H232" t="s">
        <v>61</v>
      </c>
      <c r="I232" t="s">
        <v>62</v>
      </c>
      <c r="J232" t="s">
        <v>39</v>
      </c>
      <c r="K232">
        <v>82720070</v>
      </c>
      <c r="L232" t="s">
        <v>40</v>
      </c>
      <c r="M232" t="s">
        <v>63</v>
      </c>
      <c r="N232">
        <v>41992354686</v>
      </c>
      <c r="O232">
        <v>0</v>
      </c>
      <c r="P232">
        <v>0</v>
      </c>
      <c r="R232" t="s">
        <v>42</v>
      </c>
      <c r="S232">
        <v>15016080333</v>
      </c>
      <c r="T232" t="str">
        <f ca="1">VLOOKUP(RANDBETWEEN(1,17),'Auxiliar Vendas'!D:G,2,0)</f>
        <v>Produto 02</v>
      </c>
      <c r="U232">
        <v>250</v>
      </c>
      <c r="V232">
        <v>14.5</v>
      </c>
      <c r="W232">
        <v>0</v>
      </c>
      <c r="X232">
        <v>10.747</v>
      </c>
      <c r="Y232" s="3">
        <v>3625</v>
      </c>
      <c r="Z232">
        <v>42</v>
      </c>
      <c r="AA232" t="s">
        <v>80</v>
      </c>
      <c r="AB232">
        <v>0</v>
      </c>
      <c r="AC232">
        <v>0</v>
      </c>
      <c r="AH232" s="2">
        <v>44499.361805555556</v>
      </c>
      <c r="AI232">
        <v>0</v>
      </c>
      <c r="AJ232">
        <v>0</v>
      </c>
      <c r="AK232" s="30" t="str">
        <f ca="1">VLOOKUP(T232,'Auxiliar Vendas'!E:F,2,FALSE)</f>
        <v>Produto 02</v>
      </c>
      <c r="AL232" s="31">
        <f ca="1">U232*VLOOKUP(T232,'Auxiliar Vendas'!E:G,3,FALSE)</f>
        <v>67.5</v>
      </c>
    </row>
    <row r="233" spans="1:38">
      <c r="A233">
        <v>15341701258</v>
      </c>
      <c r="B233">
        <v>123</v>
      </c>
      <c r="D233" s="1">
        <v>44499</v>
      </c>
      <c r="E233">
        <v>15179608501</v>
      </c>
      <c r="F233" t="str">
        <f ca="1">VLOOKUP(RANDBETWEEN(1,20),'DBO Compras'!AA:AC,3,0)</f>
        <v>Comprador 15</v>
      </c>
      <c r="G233" t="s">
        <v>60</v>
      </c>
      <c r="H233" t="s">
        <v>61</v>
      </c>
      <c r="I233" t="s">
        <v>62</v>
      </c>
      <c r="J233" t="s">
        <v>39</v>
      </c>
      <c r="K233">
        <v>82720070</v>
      </c>
      <c r="L233" t="s">
        <v>40</v>
      </c>
      <c r="M233" t="s">
        <v>63</v>
      </c>
      <c r="N233">
        <v>41992354686</v>
      </c>
      <c r="O233">
        <v>0</v>
      </c>
      <c r="P233">
        <v>0</v>
      </c>
      <c r="R233" t="s">
        <v>42</v>
      </c>
      <c r="S233">
        <v>15016093155</v>
      </c>
      <c r="T233" t="str">
        <f ca="1">VLOOKUP(RANDBETWEEN(1,17),'Auxiliar Vendas'!D:G,2,0)</f>
        <v>Produto 01</v>
      </c>
      <c r="U233">
        <v>350</v>
      </c>
      <c r="V233">
        <v>15.16</v>
      </c>
      <c r="W233">
        <v>0</v>
      </c>
      <c r="X233">
        <v>14.4596</v>
      </c>
      <c r="Y233" s="3">
        <v>5306</v>
      </c>
      <c r="Z233">
        <v>42</v>
      </c>
      <c r="AA233" t="s">
        <v>65</v>
      </c>
      <c r="AB233">
        <v>0</v>
      </c>
      <c r="AC233">
        <v>0</v>
      </c>
      <c r="AH233" s="2">
        <v>44499.361805555556</v>
      </c>
      <c r="AI233">
        <v>0</v>
      </c>
      <c r="AJ233">
        <v>0</v>
      </c>
      <c r="AK233" s="30" t="str">
        <f ca="1">VLOOKUP(T233,'Auxiliar Vendas'!E:F,2,FALSE)</f>
        <v>Produto 01</v>
      </c>
      <c r="AL233" s="31">
        <f ca="1">U233*VLOOKUP(T233,'Auxiliar Vendas'!E:G,3,FALSE)</f>
        <v>140</v>
      </c>
    </row>
    <row r="234" spans="1:38">
      <c r="A234">
        <v>15341701258</v>
      </c>
      <c r="B234">
        <v>123</v>
      </c>
      <c r="D234" s="1">
        <v>44499</v>
      </c>
      <c r="E234">
        <v>15179608501</v>
      </c>
      <c r="F234" t="str">
        <f ca="1">VLOOKUP(RANDBETWEEN(1,20),'DBO Compras'!AA:AC,3,0)</f>
        <v>Comprador 02</v>
      </c>
      <c r="G234" t="s">
        <v>60</v>
      </c>
      <c r="H234" t="s">
        <v>61</v>
      </c>
      <c r="I234" t="s">
        <v>62</v>
      </c>
      <c r="J234" t="s">
        <v>39</v>
      </c>
      <c r="K234">
        <v>82720070</v>
      </c>
      <c r="L234" t="s">
        <v>40</v>
      </c>
      <c r="M234" t="s">
        <v>63</v>
      </c>
      <c r="N234">
        <v>41992354686</v>
      </c>
      <c r="O234">
        <v>0</v>
      </c>
      <c r="P234">
        <v>0</v>
      </c>
      <c r="R234" t="s">
        <v>42</v>
      </c>
      <c r="S234">
        <v>15016087271</v>
      </c>
      <c r="T234" t="str">
        <f ca="1">VLOOKUP(RANDBETWEEN(1,17),'Auxiliar Vendas'!D:G,2,0)</f>
        <v>Produto 16</v>
      </c>
      <c r="U234">
        <v>230</v>
      </c>
      <c r="V234">
        <v>18</v>
      </c>
      <c r="W234">
        <v>0</v>
      </c>
      <c r="X234">
        <v>14.4596</v>
      </c>
      <c r="Y234" s="3">
        <v>4140</v>
      </c>
      <c r="Z234">
        <v>42</v>
      </c>
      <c r="AA234" t="s">
        <v>64</v>
      </c>
      <c r="AB234">
        <v>0</v>
      </c>
      <c r="AC234">
        <v>0</v>
      </c>
      <c r="AH234" s="2">
        <v>44499.361805555556</v>
      </c>
      <c r="AI234">
        <v>0</v>
      </c>
      <c r="AJ234">
        <v>0</v>
      </c>
      <c r="AK234" s="30" t="str">
        <f ca="1">VLOOKUP(T234,'Auxiliar Vendas'!E:F,2,FALSE)</f>
        <v>Produto 16</v>
      </c>
      <c r="AL234" s="31">
        <f ca="1">U234*VLOOKUP(T234,'Auxiliar Vendas'!E:G,3,FALSE)</f>
        <v>292.10000000000002</v>
      </c>
    </row>
    <row r="235" spans="1:38">
      <c r="A235">
        <v>15341701258</v>
      </c>
      <c r="B235">
        <v>123</v>
      </c>
      <c r="D235" s="1">
        <v>44499</v>
      </c>
      <c r="E235">
        <v>15179608501</v>
      </c>
      <c r="F235" t="str">
        <f ca="1">VLOOKUP(RANDBETWEEN(1,20),'DBO Compras'!AA:AC,3,0)</f>
        <v>Comprador 14</v>
      </c>
      <c r="G235" t="s">
        <v>60</v>
      </c>
      <c r="H235" t="s">
        <v>61</v>
      </c>
      <c r="I235" t="s">
        <v>62</v>
      </c>
      <c r="J235" t="s">
        <v>39</v>
      </c>
      <c r="K235">
        <v>82720070</v>
      </c>
      <c r="L235" t="s">
        <v>40</v>
      </c>
      <c r="M235" t="s">
        <v>63</v>
      </c>
      <c r="N235">
        <v>41992354686</v>
      </c>
      <c r="O235">
        <v>0</v>
      </c>
      <c r="P235">
        <v>0</v>
      </c>
      <c r="R235" t="s">
        <v>42</v>
      </c>
      <c r="S235">
        <v>15016073255</v>
      </c>
      <c r="T235" t="str">
        <f ca="1">VLOOKUP(RANDBETWEEN(1,17),'Auxiliar Vendas'!D:G,2,0)</f>
        <v>Produto 06</v>
      </c>
      <c r="U235">
        <v>350</v>
      </c>
      <c r="V235">
        <v>16.100000000000001</v>
      </c>
      <c r="W235">
        <v>0</v>
      </c>
      <c r="X235">
        <v>10.747</v>
      </c>
      <c r="Y235" s="3">
        <v>5635</v>
      </c>
      <c r="Z235">
        <v>42</v>
      </c>
      <c r="AA235" t="s">
        <v>160</v>
      </c>
      <c r="AB235">
        <v>0</v>
      </c>
      <c r="AC235">
        <v>0</v>
      </c>
      <c r="AH235" s="2">
        <v>44499.361805555556</v>
      </c>
      <c r="AI235">
        <v>0</v>
      </c>
      <c r="AJ235">
        <v>0</v>
      </c>
      <c r="AK235" s="30" t="str">
        <f ca="1">VLOOKUP(T235,'Auxiliar Vendas'!E:F,2,FALSE)</f>
        <v>Produto 06</v>
      </c>
      <c r="AL235" s="31">
        <f ca="1">U235*VLOOKUP(T235,'Auxiliar Vendas'!E:G,3,FALSE)</f>
        <v>175</v>
      </c>
    </row>
    <row r="236" spans="1:38">
      <c r="A236">
        <v>15342193270</v>
      </c>
      <c r="B236">
        <v>131</v>
      </c>
      <c r="D236" s="1">
        <v>44499</v>
      </c>
      <c r="E236">
        <v>15293435625</v>
      </c>
      <c r="F236" t="str">
        <f ca="1">VLOOKUP(RANDBETWEEN(1,20),'DBO Compras'!AA:AC,3,0)</f>
        <v>Comprador 17</v>
      </c>
      <c r="G236" t="s">
        <v>177</v>
      </c>
      <c r="H236" t="s">
        <v>178</v>
      </c>
      <c r="I236" t="s">
        <v>179</v>
      </c>
      <c r="J236" t="s">
        <v>180</v>
      </c>
      <c r="K236">
        <v>88048000</v>
      </c>
      <c r="L236" t="s">
        <v>92</v>
      </c>
      <c r="M236" t="s">
        <v>181</v>
      </c>
      <c r="N236">
        <v>4833388551</v>
      </c>
      <c r="O236">
        <v>0</v>
      </c>
      <c r="P236">
        <v>0</v>
      </c>
      <c r="R236" t="s">
        <v>42</v>
      </c>
      <c r="S236">
        <v>15139727614</v>
      </c>
      <c r="T236" t="str">
        <f ca="1">VLOOKUP(RANDBETWEEN(1,17),'Auxiliar Vendas'!D:G,2,0)</f>
        <v>Produto 06</v>
      </c>
      <c r="U236">
        <v>350</v>
      </c>
      <c r="V236">
        <v>24.15</v>
      </c>
      <c r="W236">
        <v>0</v>
      </c>
      <c r="X236">
        <v>0</v>
      </c>
      <c r="Y236" s="3">
        <v>8452.5</v>
      </c>
      <c r="Z236">
        <v>76</v>
      </c>
      <c r="AA236" t="s">
        <v>146</v>
      </c>
      <c r="AB236">
        <v>0</v>
      </c>
      <c r="AC236">
        <v>0</v>
      </c>
      <c r="AH236" s="2">
        <v>44517.355555555558</v>
      </c>
      <c r="AI236">
        <v>0</v>
      </c>
      <c r="AJ236">
        <v>0</v>
      </c>
      <c r="AK236" s="30" t="str">
        <f ca="1">VLOOKUP(T236,'Auxiliar Vendas'!E:F,2,FALSE)</f>
        <v>Produto 06</v>
      </c>
      <c r="AL236" s="31">
        <f ca="1">U236*VLOOKUP(T236,'Auxiliar Vendas'!E:G,3,FALSE)</f>
        <v>175</v>
      </c>
    </row>
    <row r="237" spans="1:38">
      <c r="A237">
        <v>15342193270</v>
      </c>
      <c r="B237">
        <v>131</v>
      </c>
      <c r="D237" s="1">
        <v>44499</v>
      </c>
      <c r="E237">
        <v>15293435625</v>
      </c>
      <c r="F237" t="str">
        <f ca="1">VLOOKUP(RANDBETWEEN(1,20),'DBO Compras'!AA:AC,3,0)</f>
        <v>Comprador 18</v>
      </c>
      <c r="G237" t="s">
        <v>177</v>
      </c>
      <c r="H237" t="s">
        <v>178</v>
      </c>
      <c r="I237" t="s">
        <v>179</v>
      </c>
      <c r="J237" t="s">
        <v>180</v>
      </c>
      <c r="K237">
        <v>88048000</v>
      </c>
      <c r="L237" t="s">
        <v>92</v>
      </c>
      <c r="M237" t="s">
        <v>181</v>
      </c>
      <c r="N237">
        <v>4833388551</v>
      </c>
      <c r="O237">
        <v>0</v>
      </c>
      <c r="P237">
        <v>0</v>
      </c>
      <c r="R237" t="s">
        <v>42</v>
      </c>
      <c r="S237">
        <v>15139667431</v>
      </c>
      <c r="T237" t="str">
        <f ca="1">VLOOKUP(RANDBETWEEN(1,17),'Auxiliar Vendas'!D:G,2,0)</f>
        <v>Produto 06</v>
      </c>
      <c r="U237">
        <v>100</v>
      </c>
      <c r="V237">
        <v>21.1</v>
      </c>
      <c r="W237">
        <v>0</v>
      </c>
      <c r="X237">
        <v>0</v>
      </c>
      <c r="Y237" s="3">
        <v>2110</v>
      </c>
      <c r="Z237">
        <v>76</v>
      </c>
      <c r="AA237" t="s">
        <v>145</v>
      </c>
      <c r="AB237">
        <v>0</v>
      </c>
      <c r="AC237">
        <v>0</v>
      </c>
      <c r="AH237" s="2">
        <v>44517.355555555558</v>
      </c>
      <c r="AI237">
        <v>0</v>
      </c>
      <c r="AJ237">
        <v>0</v>
      </c>
      <c r="AK237" s="30" t="str">
        <f ca="1">VLOOKUP(T237,'Auxiliar Vendas'!E:F,2,FALSE)</f>
        <v>Produto 06</v>
      </c>
      <c r="AL237" s="31">
        <f ca="1">U237*VLOOKUP(T237,'Auxiliar Vendas'!E:G,3,FALSE)</f>
        <v>50</v>
      </c>
    </row>
    <row r="238" spans="1:38">
      <c r="A238">
        <v>15342193270</v>
      </c>
      <c r="B238">
        <v>131</v>
      </c>
      <c r="D238" s="1">
        <v>44499</v>
      </c>
      <c r="E238">
        <v>15293435625</v>
      </c>
      <c r="F238" t="str">
        <f ca="1">VLOOKUP(RANDBETWEEN(1,20),'DBO Compras'!AA:AC,3,0)</f>
        <v>Comprador 15</v>
      </c>
      <c r="G238" t="s">
        <v>177</v>
      </c>
      <c r="H238" t="s">
        <v>178</v>
      </c>
      <c r="I238" t="s">
        <v>179</v>
      </c>
      <c r="J238" t="s">
        <v>180</v>
      </c>
      <c r="K238">
        <v>88048000</v>
      </c>
      <c r="L238" t="s">
        <v>92</v>
      </c>
      <c r="M238" t="s">
        <v>181</v>
      </c>
      <c r="N238">
        <v>4833388551</v>
      </c>
      <c r="O238">
        <v>0</v>
      </c>
      <c r="P238">
        <v>0</v>
      </c>
      <c r="R238" t="s">
        <v>42</v>
      </c>
      <c r="S238">
        <v>15015918644</v>
      </c>
      <c r="T238" t="str">
        <f ca="1">VLOOKUP(RANDBETWEEN(1,17),'Auxiliar Vendas'!D:G,2,0)</f>
        <v>Produto 06</v>
      </c>
      <c r="U238">
        <v>200</v>
      </c>
      <c r="V238">
        <v>7.7</v>
      </c>
      <c r="W238">
        <v>0</v>
      </c>
      <c r="X238">
        <v>5.61</v>
      </c>
      <c r="Y238" s="3">
        <v>1540</v>
      </c>
      <c r="Z238">
        <v>76</v>
      </c>
      <c r="AA238" t="s">
        <v>59</v>
      </c>
      <c r="AB238">
        <v>0</v>
      </c>
      <c r="AC238">
        <v>0</v>
      </c>
      <c r="AH238" s="2">
        <v>44517.355555555558</v>
      </c>
      <c r="AI238">
        <v>0</v>
      </c>
      <c r="AJ238">
        <v>0</v>
      </c>
      <c r="AK238" s="30" t="str">
        <f ca="1">VLOOKUP(T238,'Auxiliar Vendas'!E:F,2,FALSE)</f>
        <v>Produto 06</v>
      </c>
      <c r="AL238" s="31">
        <f ca="1">U238*VLOOKUP(T238,'Auxiliar Vendas'!E:G,3,FALSE)</f>
        <v>100</v>
      </c>
    </row>
    <row r="239" spans="1:38">
      <c r="A239">
        <v>15271255645</v>
      </c>
      <c r="B239">
        <v>42</v>
      </c>
      <c r="D239" s="1">
        <v>44500</v>
      </c>
      <c r="E239">
        <v>15059030423</v>
      </c>
      <c r="F239" t="str">
        <f ca="1">VLOOKUP(RANDBETWEEN(1,20),'DBO Compras'!AA:AC,3,0)</f>
        <v>Comprador 11</v>
      </c>
      <c r="G239" t="s">
        <v>182</v>
      </c>
      <c r="H239" t="s">
        <v>183</v>
      </c>
      <c r="I239" t="s">
        <v>184</v>
      </c>
      <c r="J239" t="s">
        <v>39</v>
      </c>
      <c r="K239">
        <v>80610905</v>
      </c>
      <c r="L239" t="s">
        <v>40</v>
      </c>
      <c r="O239">
        <v>0</v>
      </c>
      <c r="P239">
        <v>0</v>
      </c>
      <c r="R239" t="s">
        <v>42</v>
      </c>
      <c r="S239">
        <v>15015911944</v>
      </c>
      <c r="T239" t="str">
        <f ca="1">VLOOKUP(RANDBETWEEN(1,17),'Auxiliar Vendas'!D:G,2,0)</f>
        <v>Produto 17</v>
      </c>
      <c r="U239">
        <v>50</v>
      </c>
      <c r="V239">
        <v>13.9</v>
      </c>
      <c r="W239">
        <v>0</v>
      </c>
      <c r="X239">
        <v>10.285</v>
      </c>
      <c r="Y239">
        <v>695</v>
      </c>
      <c r="Z239">
        <v>28</v>
      </c>
      <c r="AA239" t="s">
        <v>78</v>
      </c>
      <c r="AB239">
        <v>0</v>
      </c>
      <c r="AC239">
        <v>0</v>
      </c>
      <c r="AH239" s="2">
        <v>44500.575694444444</v>
      </c>
      <c r="AI239">
        <v>0</v>
      </c>
      <c r="AJ239">
        <v>0</v>
      </c>
      <c r="AK239" s="30" t="str">
        <f ca="1">VLOOKUP(T239,'Auxiliar Vendas'!E:F,2,FALSE)</f>
        <v>Produto 17</v>
      </c>
      <c r="AL239" s="31">
        <f ca="1">U239*VLOOKUP(T239,'Auxiliar Vendas'!E:G,3,FALSE)</f>
        <v>71</v>
      </c>
    </row>
    <row r="240" spans="1:38">
      <c r="A240">
        <v>15271530754</v>
      </c>
      <c r="B240">
        <v>43</v>
      </c>
      <c r="D240" s="1">
        <v>44500</v>
      </c>
      <c r="E240">
        <v>15059049115</v>
      </c>
      <c r="F240" t="str">
        <f ca="1">VLOOKUP(RANDBETWEEN(1,20),'DBO Compras'!AA:AC,3,0)</f>
        <v>Comprador 17</v>
      </c>
      <c r="G240" t="s">
        <v>185</v>
      </c>
      <c r="H240" t="s">
        <v>186</v>
      </c>
      <c r="I240" t="s">
        <v>187</v>
      </c>
      <c r="J240" t="s">
        <v>188</v>
      </c>
      <c r="K240">
        <v>88220000</v>
      </c>
      <c r="L240" t="s">
        <v>92</v>
      </c>
      <c r="O240">
        <v>0</v>
      </c>
      <c r="P240">
        <v>0</v>
      </c>
      <c r="R240" t="s">
        <v>42</v>
      </c>
      <c r="S240">
        <v>15016099089</v>
      </c>
      <c r="T240" t="str">
        <f ca="1">VLOOKUP(RANDBETWEEN(1,17),'Auxiliar Vendas'!D:G,2,0)</f>
        <v>Produto 02</v>
      </c>
      <c r="U240">
        <v>200</v>
      </c>
      <c r="V240">
        <v>21.3</v>
      </c>
      <c r="W240">
        <v>0</v>
      </c>
      <c r="X240">
        <v>16.804400000000001</v>
      </c>
      <c r="Y240" s="3">
        <v>4260</v>
      </c>
      <c r="Z240">
        <v>29</v>
      </c>
      <c r="AA240" t="s">
        <v>79</v>
      </c>
      <c r="AB240">
        <v>0</v>
      </c>
      <c r="AC240">
        <v>0</v>
      </c>
      <c r="AD240" t="s">
        <v>189</v>
      </c>
      <c r="AH240" s="2">
        <v>44500.605555555558</v>
      </c>
      <c r="AI240">
        <v>0</v>
      </c>
      <c r="AJ240">
        <v>0</v>
      </c>
      <c r="AK240" s="30" t="str">
        <f ca="1">VLOOKUP(T240,'Auxiliar Vendas'!E:F,2,FALSE)</f>
        <v>Produto 02</v>
      </c>
      <c r="AL240" s="31">
        <f ca="1">U240*VLOOKUP(T240,'Auxiliar Vendas'!E:G,3,FALSE)</f>
        <v>54</v>
      </c>
    </row>
    <row r="241" spans="1:38">
      <c r="A241">
        <v>15271530754</v>
      </c>
      <c r="B241">
        <v>43</v>
      </c>
      <c r="D241" s="1">
        <v>44500</v>
      </c>
      <c r="E241">
        <v>15059049115</v>
      </c>
      <c r="F241" t="str">
        <f ca="1">VLOOKUP(RANDBETWEEN(1,20),'DBO Compras'!AA:AC,3,0)</f>
        <v>Comprador 15</v>
      </c>
      <c r="G241" t="s">
        <v>185</v>
      </c>
      <c r="H241" t="s">
        <v>186</v>
      </c>
      <c r="I241" t="s">
        <v>187</v>
      </c>
      <c r="J241" t="s">
        <v>188</v>
      </c>
      <c r="K241">
        <v>88220000</v>
      </c>
      <c r="L241" t="s">
        <v>92</v>
      </c>
      <c r="O241">
        <v>0</v>
      </c>
      <c r="P241">
        <v>0</v>
      </c>
      <c r="R241" t="s">
        <v>42</v>
      </c>
      <c r="S241">
        <v>15016080333</v>
      </c>
      <c r="T241" t="str">
        <f ca="1">VLOOKUP(RANDBETWEEN(1,17),'Auxiliar Vendas'!D:G,2,0)</f>
        <v>Produto 07</v>
      </c>
      <c r="U241">
        <v>200</v>
      </c>
      <c r="V241">
        <v>14</v>
      </c>
      <c r="W241">
        <v>0</v>
      </c>
      <c r="X241">
        <v>10.747</v>
      </c>
      <c r="Y241" s="3">
        <v>2800</v>
      </c>
      <c r="Z241">
        <v>29</v>
      </c>
      <c r="AA241" t="s">
        <v>80</v>
      </c>
      <c r="AB241">
        <v>0</v>
      </c>
      <c r="AC241">
        <v>0</v>
      </c>
      <c r="AD241" t="s">
        <v>189</v>
      </c>
      <c r="AH241" s="2">
        <v>44500.605555555558</v>
      </c>
      <c r="AI241">
        <v>0</v>
      </c>
      <c r="AJ241">
        <v>0</v>
      </c>
      <c r="AK241" s="30" t="str">
        <f ca="1">VLOOKUP(T241,'Auxiliar Vendas'!E:F,2,FALSE)</f>
        <v>Produto 07</v>
      </c>
      <c r="AL241" s="31">
        <f ca="1">U241*VLOOKUP(T241,'Auxiliar Vendas'!E:G,3,FALSE)</f>
        <v>220.00000000000003</v>
      </c>
    </row>
    <row r="242" spans="1:38">
      <c r="A242">
        <v>15271530754</v>
      </c>
      <c r="B242">
        <v>43</v>
      </c>
      <c r="D242" s="1">
        <v>44500</v>
      </c>
      <c r="E242">
        <v>15059049115</v>
      </c>
      <c r="F242" t="str">
        <f ca="1">VLOOKUP(RANDBETWEEN(1,20),'DBO Compras'!AA:AC,3,0)</f>
        <v>Comprador 18</v>
      </c>
      <c r="G242" t="s">
        <v>185</v>
      </c>
      <c r="H242" t="s">
        <v>186</v>
      </c>
      <c r="I242" t="s">
        <v>187</v>
      </c>
      <c r="J242" t="s">
        <v>188</v>
      </c>
      <c r="K242">
        <v>88220000</v>
      </c>
      <c r="L242" t="s">
        <v>92</v>
      </c>
      <c r="O242">
        <v>0</v>
      </c>
      <c r="P242">
        <v>0</v>
      </c>
      <c r="R242" t="s">
        <v>42</v>
      </c>
      <c r="S242">
        <v>15016093155</v>
      </c>
      <c r="T242" t="str">
        <f ca="1">VLOOKUP(RANDBETWEEN(1,17),'Auxiliar Vendas'!D:G,2,0)</f>
        <v>Produto 17</v>
      </c>
      <c r="U242">
        <v>400</v>
      </c>
      <c r="V242">
        <v>18.2</v>
      </c>
      <c r="W242">
        <v>0</v>
      </c>
      <c r="X242">
        <v>14.4596</v>
      </c>
      <c r="Y242" s="3">
        <v>7280</v>
      </c>
      <c r="Z242">
        <v>29</v>
      </c>
      <c r="AA242" t="s">
        <v>65</v>
      </c>
      <c r="AB242">
        <v>0</v>
      </c>
      <c r="AC242">
        <v>0</v>
      </c>
      <c r="AD242" t="s">
        <v>189</v>
      </c>
      <c r="AH242" s="2">
        <v>44500.605555555558</v>
      </c>
      <c r="AI242">
        <v>0</v>
      </c>
      <c r="AJ242">
        <v>0</v>
      </c>
      <c r="AK242" s="30" t="str">
        <f ca="1">VLOOKUP(T242,'Auxiliar Vendas'!E:F,2,FALSE)</f>
        <v>Produto 17</v>
      </c>
      <c r="AL242" s="31">
        <f ca="1">U242*VLOOKUP(T242,'Auxiliar Vendas'!E:G,3,FALSE)</f>
        <v>568</v>
      </c>
    </row>
    <row r="243" spans="1:38">
      <c r="A243">
        <v>15271530754</v>
      </c>
      <c r="B243">
        <v>43</v>
      </c>
      <c r="D243" s="1">
        <v>44500</v>
      </c>
      <c r="E243">
        <v>15059049115</v>
      </c>
      <c r="F243" t="str">
        <f ca="1">VLOOKUP(RANDBETWEEN(1,20),'DBO Compras'!AA:AC,3,0)</f>
        <v>Comprador 16</v>
      </c>
      <c r="G243" t="s">
        <v>185</v>
      </c>
      <c r="H243" t="s">
        <v>186</v>
      </c>
      <c r="I243" t="s">
        <v>187</v>
      </c>
      <c r="J243" t="s">
        <v>188</v>
      </c>
      <c r="K243">
        <v>88220000</v>
      </c>
      <c r="L243" t="s">
        <v>92</v>
      </c>
      <c r="O243">
        <v>0</v>
      </c>
      <c r="P243">
        <v>0</v>
      </c>
      <c r="R243" t="s">
        <v>42</v>
      </c>
      <c r="S243">
        <v>15016043939</v>
      </c>
      <c r="T243" t="str">
        <f ca="1">VLOOKUP(RANDBETWEEN(1,17),'Auxiliar Vendas'!D:G,2,0)</f>
        <v>Produto 08</v>
      </c>
      <c r="U243">
        <v>300</v>
      </c>
      <c r="V243">
        <v>13.9</v>
      </c>
      <c r="W243">
        <v>0</v>
      </c>
      <c r="X243">
        <v>10.747</v>
      </c>
      <c r="Y243" s="3">
        <v>4170</v>
      </c>
      <c r="Z243">
        <v>29</v>
      </c>
      <c r="AA243" t="s">
        <v>50</v>
      </c>
      <c r="AB243">
        <v>0</v>
      </c>
      <c r="AC243">
        <v>0</v>
      </c>
      <c r="AD243" t="s">
        <v>189</v>
      </c>
      <c r="AH243" s="2">
        <v>44500.605555555558</v>
      </c>
      <c r="AI243">
        <v>0</v>
      </c>
      <c r="AJ243">
        <v>0</v>
      </c>
      <c r="AK243" s="30" t="str">
        <f ca="1">VLOOKUP(T243,'Auxiliar Vendas'!E:F,2,FALSE)</f>
        <v>Produto 08</v>
      </c>
      <c r="AL243" s="31">
        <f ca="1">U243*VLOOKUP(T243,'Auxiliar Vendas'!E:G,3,FALSE)</f>
        <v>330</v>
      </c>
    </row>
    <row r="244" spans="1:38">
      <c r="A244">
        <v>15271530754</v>
      </c>
      <c r="B244">
        <v>43</v>
      </c>
      <c r="D244" s="1">
        <v>44500</v>
      </c>
      <c r="E244">
        <v>15059049115</v>
      </c>
      <c r="F244" t="str">
        <f ca="1">VLOOKUP(RANDBETWEEN(1,20),'DBO Compras'!AA:AC,3,0)</f>
        <v>Comprador 01</v>
      </c>
      <c r="G244" t="s">
        <v>185</v>
      </c>
      <c r="H244" t="s">
        <v>186</v>
      </c>
      <c r="I244" t="s">
        <v>187</v>
      </c>
      <c r="J244" t="s">
        <v>188</v>
      </c>
      <c r="K244">
        <v>88220000</v>
      </c>
      <c r="L244" t="s">
        <v>92</v>
      </c>
      <c r="O244">
        <v>0</v>
      </c>
      <c r="P244">
        <v>0</v>
      </c>
      <c r="R244" t="s">
        <v>42</v>
      </c>
      <c r="S244">
        <v>15015918644</v>
      </c>
      <c r="T244" t="str">
        <f ca="1">VLOOKUP(RANDBETWEEN(1,17),'Auxiliar Vendas'!D:G,2,0)</f>
        <v>Produto 13</v>
      </c>
      <c r="U244">
        <v>300</v>
      </c>
      <c r="V244">
        <v>7.95</v>
      </c>
      <c r="W244">
        <v>0</v>
      </c>
      <c r="X244">
        <v>5.61</v>
      </c>
      <c r="Y244" s="3">
        <v>2385</v>
      </c>
      <c r="Z244">
        <v>29</v>
      </c>
      <c r="AA244" t="s">
        <v>59</v>
      </c>
      <c r="AB244">
        <v>0</v>
      </c>
      <c r="AC244">
        <v>0</v>
      </c>
      <c r="AD244" t="s">
        <v>189</v>
      </c>
      <c r="AH244" s="2">
        <v>44500.605555555558</v>
      </c>
      <c r="AI244">
        <v>0</v>
      </c>
      <c r="AJ244">
        <v>0</v>
      </c>
      <c r="AK244" s="30" t="str">
        <f ca="1">VLOOKUP(T244,'Auxiliar Vendas'!E:F,2,FALSE)</f>
        <v>Produto 13</v>
      </c>
      <c r="AL244" s="31">
        <f ca="1">U244*VLOOKUP(T244,'Auxiliar Vendas'!E:G,3,FALSE)</f>
        <v>420</v>
      </c>
    </row>
    <row r="245" spans="1:38">
      <c r="A245">
        <v>15271530754</v>
      </c>
      <c r="B245">
        <v>43</v>
      </c>
      <c r="D245" s="1">
        <v>44500</v>
      </c>
      <c r="E245">
        <v>15059049115</v>
      </c>
      <c r="F245" t="str">
        <f ca="1">VLOOKUP(RANDBETWEEN(1,20),'DBO Compras'!AA:AC,3,0)</f>
        <v>Comprador 14</v>
      </c>
      <c r="G245" t="s">
        <v>185</v>
      </c>
      <c r="H245" t="s">
        <v>186</v>
      </c>
      <c r="I245" t="s">
        <v>187</v>
      </c>
      <c r="J245" t="s">
        <v>188</v>
      </c>
      <c r="K245">
        <v>88220000</v>
      </c>
      <c r="L245" t="s">
        <v>92</v>
      </c>
      <c r="O245">
        <v>0</v>
      </c>
      <c r="P245">
        <v>0</v>
      </c>
      <c r="R245" t="s">
        <v>42</v>
      </c>
      <c r="S245">
        <v>15015511068</v>
      </c>
      <c r="T245" t="str">
        <f ca="1">VLOOKUP(RANDBETWEEN(1,17),'Auxiliar Vendas'!D:G,2,0)</f>
        <v>Produto 14</v>
      </c>
      <c r="U245">
        <v>400</v>
      </c>
      <c r="V245">
        <v>16.2</v>
      </c>
      <c r="W245">
        <v>0</v>
      </c>
      <c r="X245">
        <v>10.23</v>
      </c>
      <c r="Y245" s="3">
        <v>6480</v>
      </c>
      <c r="Z245">
        <v>29</v>
      </c>
      <c r="AA245" t="s">
        <v>53</v>
      </c>
      <c r="AB245">
        <v>0</v>
      </c>
      <c r="AC245">
        <v>0</v>
      </c>
      <c r="AD245" t="s">
        <v>189</v>
      </c>
      <c r="AH245" s="2">
        <v>44500.605555555558</v>
      </c>
      <c r="AI245">
        <v>0</v>
      </c>
      <c r="AJ245">
        <v>0</v>
      </c>
      <c r="AK245" s="30" t="str">
        <f ca="1">VLOOKUP(T245,'Auxiliar Vendas'!E:F,2,FALSE)</f>
        <v>Produto 14</v>
      </c>
      <c r="AL245" s="31">
        <f ca="1">U245*VLOOKUP(T245,'Auxiliar Vendas'!E:G,3,FALSE)</f>
        <v>560</v>
      </c>
    </row>
    <row r="246" spans="1:38">
      <c r="A246">
        <v>15271761707</v>
      </c>
      <c r="B246">
        <v>44</v>
      </c>
      <c r="D246" s="1">
        <v>44500</v>
      </c>
      <c r="E246">
        <v>15059073318</v>
      </c>
      <c r="F246" t="str">
        <f ca="1">VLOOKUP(RANDBETWEEN(1,20),'DBO Compras'!AA:AC,3,0)</f>
        <v>Comprador 06</v>
      </c>
      <c r="G246" t="s">
        <v>174</v>
      </c>
      <c r="H246" t="s">
        <v>473</v>
      </c>
      <c r="I246" t="s">
        <v>474</v>
      </c>
      <c r="J246" t="s">
        <v>175</v>
      </c>
      <c r="K246">
        <v>88390000</v>
      </c>
      <c r="L246" t="s">
        <v>92</v>
      </c>
      <c r="M246" t="s">
        <v>176</v>
      </c>
      <c r="N246">
        <v>47999669374</v>
      </c>
      <c r="O246">
        <v>0</v>
      </c>
      <c r="P246">
        <v>0</v>
      </c>
      <c r="R246" t="s">
        <v>42</v>
      </c>
      <c r="S246">
        <v>15016093155</v>
      </c>
      <c r="T246" t="str">
        <f ca="1">VLOOKUP(RANDBETWEEN(1,17),'Auxiliar Vendas'!D:G,2,0)</f>
        <v>Produto 10</v>
      </c>
      <c r="U246">
        <v>100</v>
      </c>
      <c r="V246">
        <v>18.399999999999999</v>
      </c>
      <c r="W246">
        <v>0</v>
      </c>
      <c r="X246">
        <v>14.4596</v>
      </c>
      <c r="Y246" s="3">
        <v>1840</v>
      </c>
      <c r="Z246">
        <v>30</v>
      </c>
      <c r="AA246" t="s">
        <v>65</v>
      </c>
      <c r="AB246">
        <v>0</v>
      </c>
      <c r="AC246">
        <v>0</v>
      </c>
      <c r="AD246" t="s">
        <v>189</v>
      </c>
      <c r="AH246" s="2">
        <v>44500.605555555558</v>
      </c>
      <c r="AI246">
        <v>0</v>
      </c>
      <c r="AJ246">
        <v>0</v>
      </c>
      <c r="AK246" s="30" t="str">
        <f ca="1">VLOOKUP(T246,'Auxiliar Vendas'!E:F,2,FALSE)</f>
        <v>Produto 10</v>
      </c>
      <c r="AL246" s="31">
        <f ca="1">U246*VLOOKUP(T246,'Auxiliar Vendas'!E:G,3,FALSE)</f>
        <v>110.00000000000001</v>
      </c>
    </row>
    <row r="247" spans="1:38">
      <c r="A247">
        <v>15271761707</v>
      </c>
      <c r="B247">
        <v>44</v>
      </c>
      <c r="D247" s="1">
        <v>44500</v>
      </c>
      <c r="E247">
        <v>15059073318</v>
      </c>
      <c r="F247" t="str">
        <f ca="1">VLOOKUP(RANDBETWEEN(1,20),'DBO Compras'!AA:AC,3,0)</f>
        <v>Comprador 07</v>
      </c>
      <c r="G247" t="s">
        <v>174</v>
      </c>
      <c r="H247" t="s">
        <v>473</v>
      </c>
      <c r="I247" t="s">
        <v>474</v>
      </c>
      <c r="J247" t="s">
        <v>175</v>
      </c>
      <c r="K247">
        <v>88390000</v>
      </c>
      <c r="L247" t="s">
        <v>92</v>
      </c>
      <c r="M247" t="s">
        <v>176</v>
      </c>
      <c r="N247">
        <v>47999669374</v>
      </c>
      <c r="O247">
        <v>0</v>
      </c>
      <c r="P247">
        <v>0</v>
      </c>
      <c r="R247" t="s">
        <v>42</v>
      </c>
      <c r="S247">
        <v>15016080333</v>
      </c>
      <c r="T247" t="str">
        <f ca="1">VLOOKUP(RANDBETWEEN(1,17),'Auxiliar Vendas'!D:G,2,0)</f>
        <v>Produto 16</v>
      </c>
      <c r="U247">
        <v>100</v>
      </c>
      <c r="V247">
        <v>15.35</v>
      </c>
      <c r="W247">
        <v>0</v>
      </c>
      <c r="X247">
        <v>10.747</v>
      </c>
      <c r="Y247" s="3">
        <v>1535</v>
      </c>
      <c r="Z247">
        <v>30</v>
      </c>
      <c r="AA247" t="s">
        <v>80</v>
      </c>
      <c r="AB247">
        <v>0</v>
      </c>
      <c r="AC247">
        <v>0</v>
      </c>
      <c r="AD247" t="s">
        <v>189</v>
      </c>
      <c r="AH247" s="2">
        <v>44500.605555555558</v>
      </c>
      <c r="AI247">
        <v>0</v>
      </c>
      <c r="AJ247">
        <v>0</v>
      </c>
      <c r="AK247" s="30" t="str">
        <f ca="1">VLOOKUP(T247,'Auxiliar Vendas'!E:F,2,FALSE)</f>
        <v>Produto 16</v>
      </c>
      <c r="AL247" s="31">
        <f ca="1">U247*VLOOKUP(T247,'Auxiliar Vendas'!E:G,3,FALSE)</f>
        <v>127</v>
      </c>
    </row>
    <row r="248" spans="1:38">
      <c r="A248">
        <v>15271761707</v>
      </c>
      <c r="B248">
        <v>44</v>
      </c>
      <c r="D248" s="1">
        <v>44500</v>
      </c>
      <c r="E248">
        <v>15059073318</v>
      </c>
      <c r="F248" t="str">
        <f ca="1">VLOOKUP(RANDBETWEEN(1,20),'DBO Compras'!AA:AC,3,0)</f>
        <v>Comprador 07</v>
      </c>
      <c r="G248" t="s">
        <v>174</v>
      </c>
      <c r="H248" t="s">
        <v>473</v>
      </c>
      <c r="I248" t="s">
        <v>474</v>
      </c>
      <c r="J248" t="s">
        <v>175</v>
      </c>
      <c r="K248">
        <v>88390000</v>
      </c>
      <c r="L248" t="s">
        <v>92</v>
      </c>
      <c r="M248" t="s">
        <v>176</v>
      </c>
      <c r="N248">
        <v>47999669374</v>
      </c>
      <c r="O248">
        <v>0</v>
      </c>
      <c r="P248">
        <v>0</v>
      </c>
      <c r="R248" t="s">
        <v>42</v>
      </c>
      <c r="S248">
        <v>15015918644</v>
      </c>
      <c r="T248" t="str">
        <f ca="1">VLOOKUP(RANDBETWEEN(1,17),'Auxiliar Vendas'!D:G,2,0)</f>
        <v>Produto 06</v>
      </c>
      <c r="U248">
        <v>100</v>
      </c>
      <c r="V248">
        <v>8.3000000000000007</v>
      </c>
      <c r="W248">
        <v>0</v>
      </c>
      <c r="X248">
        <v>5.61</v>
      </c>
      <c r="Y248">
        <v>830</v>
      </c>
      <c r="Z248">
        <v>30</v>
      </c>
      <c r="AA248" t="s">
        <v>59</v>
      </c>
      <c r="AB248">
        <v>0</v>
      </c>
      <c r="AC248">
        <v>0</v>
      </c>
      <c r="AD248" t="s">
        <v>189</v>
      </c>
      <c r="AH248" s="2">
        <v>44500.605555555558</v>
      </c>
      <c r="AI248">
        <v>0</v>
      </c>
      <c r="AJ248">
        <v>0</v>
      </c>
      <c r="AK248" s="30" t="str">
        <f ca="1">VLOOKUP(T248,'Auxiliar Vendas'!E:F,2,FALSE)</f>
        <v>Produto 06</v>
      </c>
      <c r="AL248" s="31">
        <f ca="1">U248*VLOOKUP(T248,'Auxiliar Vendas'!E:G,3,FALSE)</f>
        <v>50</v>
      </c>
    </row>
    <row r="249" spans="1:38">
      <c r="A249">
        <v>15271761707</v>
      </c>
      <c r="B249">
        <v>44</v>
      </c>
      <c r="D249" s="1">
        <v>44500</v>
      </c>
      <c r="E249">
        <v>15059073318</v>
      </c>
      <c r="F249" t="str">
        <f ca="1">VLOOKUP(RANDBETWEEN(1,20),'DBO Compras'!AA:AC,3,0)</f>
        <v>Comprador 19</v>
      </c>
      <c r="G249" t="s">
        <v>174</v>
      </c>
      <c r="H249" t="s">
        <v>473</v>
      </c>
      <c r="I249" t="s">
        <v>474</v>
      </c>
      <c r="J249" t="s">
        <v>175</v>
      </c>
      <c r="K249">
        <v>88390000</v>
      </c>
      <c r="L249" t="s">
        <v>92</v>
      </c>
      <c r="M249" t="s">
        <v>176</v>
      </c>
      <c r="N249">
        <v>47999669374</v>
      </c>
      <c r="O249">
        <v>0</v>
      </c>
      <c r="P249">
        <v>0</v>
      </c>
      <c r="R249" t="s">
        <v>42</v>
      </c>
      <c r="S249">
        <v>15015511068</v>
      </c>
      <c r="T249" t="str">
        <f ca="1">VLOOKUP(RANDBETWEEN(1,17),'Auxiliar Vendas'!D:G,2,0)</f>
        <v>Produto 17</v>
      </c>
      <c r="U249">
        <v>100</v>
      </c>
      <c r="V249">
        <v>16.45</v>
      </c>
      <c r="W249">
        <v>0</v>
      </c>
      <c r="X249">
        <v>10.23</v>
      </c>
      <c r="Y249" s="3">
        <v>1645</v>
      </c>
      <c r="Z249">
        <v>30</v>
      </c>
      <c r="AA249" t="s">
        <v>53</v>
      </c>
      <c r="AB249">
        <v>0</v>
      </c>
      <c r="AC249">
        <v>0</v>
      </c>
      <c r="AD249" t="s">
        <v>189</v>
      </c>
      <c r="AH249" s="2">
        <v>44500.605555555558</v>
      </c>
      <c r="AI249">
        <v>0</v>
      </c>
      <c r="AJ249">
        <v>0</v>
      </c>
      <c r="AK249" s="30" t="str">
        <f ca="1">VLOOKUP(T249,'Auxiliar Vendas'!E:F,2,FALSE)</f>
        <v>Produto 17</v>
      </c>
      <c r="AL249" s="31">
        <f ca="1">U249*VLOOKUP(T249,'Auxiliar Vendas'!E:G,3,FALSE)</f>
        <v>142</v>
      </c>
    </row>
    <row r="250" spans="1:38">
      <c r="A250">
        <v>15271827772</v>
      </c>
      <c r="B250">
        <v>45</v>
      </c>
      <c r="D250" s="1">
        <v>44500</v>
      </c>
      <c r="E250">
        <v>15059089666</v>
      </c>
      <c r="F250" t="str">
        <f ca="1">VLOOKUP(RANDBETWEEN(1,20),'DBO Compras'!AA:AC,3,0)</f>
        <v>Comprador 20</v>
      </c>
      <c r="G250" t="s">
        <v>190</v>
      </c>
      <c r="H250" t="s">
        <v>191</v>
      </c>
      <c r="I250" t="s">
        <v>192</v>
      </c>
      <c r="J250" t="s">
        <v>193</v>
      </c>
      <c r="K250">
        <v>89216222</v>
      </c>
      <c r="L250" t="s">
        <v>92</v>
      </c>
      <c r="M250" t="s">
        <v>194</v>
      </c>
      <c r="N250">
        <v>4730290337</v>
      </c>
      <c r="O250">
        <v>0</v>
      </c>
      <c r="P250">
        <v>0</v>
      </c>
      <c r="R250" t="s">
        <v>42</v>
      </c>
      <c r="S250">
        <v>15016087271</v>
      </c>
      <c r="T250" t="str">
        <f ca="1">VLOOKUP(RANDBETWEEN(1,17),'Auxiliar Vendas'!D:G,2,0)</f>
        <v>Produto 17</v>
      </c>
      <c r="U250">
        <v>60</v>
      </c>
      <c r="V250">
        <v>16.633299999999998</v>
      </c>
      <c r="W250">
        <v>0</v>
      </c>
      <c r="X250">
        <v>14.4596</v>
      </c>
      <c r="Y250">
        <v>997.99800000000005</v>
      </c>
      <c r="Z250">
        <v>31</v>
      </c>
      <c r="AA250" t="s">
        <v>64</v>
      </c>
      <c r="AB250">
        <v>0</v>
      </c>
      <c r="AC250">
        <v>0</v>
      </c>
      <c r="AD250" t="s">
        <v>189</v>
      </c>
      <c r="AH250" s="2">
        <v>44500.605555555558</v>
      </c>
      <c r="AI250">
        <v>0</v>
      </c>
      <c r="AJ250">
        <v>0</v>
      </c>
      <c r="AK250" s="30" t="str">
        <f ca="1">VLOOKUP(T250,'Auxiliar Vendas'!E:F,2,FALSE)</f>
        <v>Produto 17</v>
      </c>
      <c r="AL250" s="31">
        <f ca="1">U250*VLOOKUP(T250,'Auxiliar Vendas'!E:G,3,FALSE)</f>
        <v>85.199999999999989</v>
      </c>
    </row>
    <row r="251" spans="1:38">
      <c r="A251">
        <v>15271827772</v>
      </c>
      <c r="B251">
        <v>45</v>
      </c>
      <c r="D251" s="1">
        <v>44500</v>
      </c>
      <c r="E251">
        <v>15059089666</v>
      </c>
      <c r="F251" t="str">
        <f ca="1">VLOOKUP(RANDBETWEEN(1,20),'DBO Compras'!AA:AC,3,0)</f>
        <v>Comprador 07</v>
      </c>
      <c r="G251" t="s">
        <v>190</v>
      </c>
      <c r="H251" t="s">
        <v>191</v>
      </c>
      <c r="I251" t="s">
        <v>192</v>
      </c>
      <c r="J251" t="s">
        <v>193</v>
      </c>
      <c r="K251">
        <v>89216222</v>
      </c>
      <c r="L251" t="s">
        <v>92</v>
      </c>
      <c r="M251" t="s">
        <v>194</v>
      </c>
      <c r="N251">
        <v>4730290337</v>
      </c>
      <c r="O251">
        <v>0</v>
      </c>
      <c r="P251">
        <v>0</v>
      </c>
      <c r="R251" t="s">
        <v>42</v>
      </c>
      <c r="S251">
        <v>15016099089</v>
      </c>
      <c r="T251" t="str">
        <f ca="1">VLOOKUP(RANDBETWEEN(1,17),'Auxiliar Vendas'!D:G,2,0)</f>
        <v>Produto 12</v>
      </c>
      <c r="U251">
        <v>130</v>
      </c>
      <c r="V251">
        <v>21.3</v>
      </c>
      <c r="W251">
        <v>0</v>
      </c>
      <c r="X251">
        <v>16.804400000000001</v>
      </c>
      <c r="Y251" s="3">
        <v>2769</v>
      </c>
      <c r="Z251">
        <v>31</v>
      </c>
      <c r="AA251" t="s">
        <v>79</v>
      </c>
      <c r="AB251">
        <v>0</v>
      </c>
      <c r="AC251">
        <v>0</v>
      </c>
      <c r="AD251" t="s">
        <v>189</v>
      </c>
      <c r="AH251" s="2">
        <v>44500.605555555558</v>
      </c>
      <c r="AI251">
        <v>0</v>
      </c>
      <c r="AJ251">
        <v>0</v>
      </c>
      <c r="AK251" s="30" t="str">
        <f ca="1">VLOOKUP(T251,'Auxiliar Vendas'!E:F,2,FALSE)</f>
        <v>Produto 12</v>
      </c>
      <c r="AL251" s="31">
        <f ca="1">U251*VLOOKUP(T251,'Auxiliar Vendas'!E:G,3,FALSE)</f>
        <v>182</v>
      </c>
    </row>
    <row r="252" spans="1:38">
      <c r="A252">
        <v>15271827772</v>
      </c>
      <c r="B252">
        <v>45</v>
      </c>
      <c r="D252" s="1">
        <v>44500</v>
      </c>
      <c r="E252">
        <v>15059089666</v>
      </c>
      <c r="F252" t="str">
        <f ca="1">VLOOKUP(RANDBETWEEN(1,20),'DBO Compras'!AA:AC,3,0)</f>
        <v>Comprador 05</v>
      </c>
      <c r="G252" t="s">
        <v>190</v>
      </c>
      <c r="H252" t="s">
        <v>191</v>
      </c>
      <c r="I252" t="s">
        <v>192</v>
      </c>
      <c r="J252" t="s">
        <v>193</v>
      </c>
      <c r="K252">
        <v>89216222</v>
      </c>
      <c r="L252" t="s">
        <v>92</v>
      </c>
      <c r="M252" t="s">
        <v>194</v>
      </c>
      <c r="N252">
        <v>4730290337</v>
      </c>
      <c r="O252">
        <v>0</v>
      </c>
      <c r="P252">
        <v>0</v>
      </c>
      <c r="R252" t="s">
        <v>42</v>
      </c>
      <c r="S252">
        <v>15015918644</v>
      </c>
      <c r="T252" t="str">
        <f ca="1">VLOOKUP(RANDBETWEEN(1,17),'Auxiliar Vendas'!D:G,2,0)</f>
        <v>Produto 14</v>
      </c>
      <c r="U252">
        <v>80</v>
      </c>
      <c r="V252">
        <v>8.1999999999999993</v>
      </c>
      <c r="W252">
        <v>0</v>
      </c>
      <c r="X252">
        <v>5.61</v>
      </c>
      <c r="Y252">
        <v>656</v>
      </c>
      <c r="Z252">
        <v>31</v>
      </c>
      <c r="AA252" t="s">
        <v>59</v>
      </c>
      <c r="AB252">
        <v>0</v>
      </c>
      <c r="AC252">
        <v>0</v>
      </c>
      <c r="AD252" t="s">
        <v>189</v>
      </c>
      <c r="AH252" s="2">
        <v>44500.605555555558</v>
      </c>
      <c r="AI252">
        <v>0</v>
      </c>
      <c r="AJ252">
        <v>0</v>
      </c>
      <c r="AK252" s="30" t="str">
        <f ca="1">VLOOKUP(T252,'Auxiliar Vendas'!E:F,2,FALSE)</f>
        <v>Produto 14</v>
      </c>
      <c r="AL252" s="31">
        <f ca="1">U252*VLOOKUP(T252,'Auxiliar Vendas'!E:G,3,FALSE)</f>
        <v>112</v>
      </c>
    </row>
    <row r="253" spans="1:38">
      <c r="A253">
        <v>15271827772</v>
      </c>
      <c r="B253">
        <v>45</v>
      </c>
      <c r="D253" s="1">
        <v>44500</v>
      </c>
      <c r="E253">
        <v>15059089666</v>
      </c>
      <c r="F253" t="str">
        <f ca="1">VLOOKUP(RANDBETWEEN(1,20),'DBO Compras'!AA:AC,3,0)</f>
        <v>Comprador 02</v>
      </c>
      <c r="G253" t="s">
        <v>190</v>
      </c>
      <c r="H253" t="s">
        <v>191</v>
      </c>
      <c r="I253" t="s">
        <v>192</v>
      </c>
      <c r="J253" t="s">
        <v>193</v>
      </c>
      <c r="K253">
        <v>89216222</v>
      </c>
      <c r="L253" t="s">
        <v>92</v>
      </c>
      <c r="M253" t="s">
        <v>194</v>
      </c>
      <c r="N253">
        <v>4730290337</v>
      </c>
      <c r="O253">
        <v>0</v>
      </c>
      <c r="P253">
        <v>0</v>
      </c>
      <c r="R253" t="s">
        <v>42</v>
      </c>
      <c r="S253">
        <v>15016043939</v>
      </c>
      <c r="T253" t="str">
        <f ca="1">VLOOKUP(RANDBETWEEN(1,17),'Auxiliar Vendas'!D:G,2,0)</f>
        <v>Produto 10</v>
      </c>
      <c r="U253">
        <v>130</v>
      </c>
      <c r="V253">
        <v>13.9</v>
      </c>
      <c r="W253">
        <v>0</v>
      </c>
      <c r="X253">
        <v>10.747</v>
      </c>
      <c r="Y253" s="3">
        <v>1807</v>
      </c>
      <c r="Z253">
        <v>31</v>
      </c>
      <c r="AA253" t="s">
        <v>50</v>
      </c>
      <c r="AB253">
        <v>0</v>
      </c>
      <c r="AC253">
        <v>0</v>
      </c>
      <c r="AD253" t="s">
        <v>189</v>
      </c>
      <c r="AH253" s="2">
        <v>44500.605555555558</v>
      </c>
      <c r="AI253">
        <v>0</v>
      </c>
      <c r="AJ253">
        <v>0</v>
      </c>
      <c r="AK253" s="30" t="str">
        <f ca="1">VLOOKUP(T253,'Auxiliar Vendas'!E:F,2,FALSE)</f>
        <v>Produto 10</v>
      </c>
      <c r="AL253" s="31">
        <f ca="1">U253*VLOOKUP(T253,'Auxiliar Vendas'!E:G,3,FALSE)</f>
        <v>143</v>
      </c>
    </row>
    <row r="254" spans="1:38">
      <c r="A254">
        <v>15271827772</v>
      </c>
      <c r="B254">
        <v>45</v>
      </c>
      <c r="D254" s="1">
        <v>44500</v>
      </c>
      <c r="E254">
        <v>15059089666</v>
      </c>
      <c r="F254" t="str">
        <f ca="1">VLOOKUP(RANDBETWEEN(1,20),'DBO Compras'!AA:AC,3,0)</f>
        <v>Comprador 17</v>
      </c>
      <c r="G254" t="s">
        <v>190</v>
      </c>
      <c r="H254" t="s">
        <v>191</v>
      </c>
      <c r="I254" t="s">
        <v>192</v>
      </c>
      <c r="J254" t="s">
        <v>193</v>
      </c>
      <c r="K254">
        <v>89216222</v>
      </c>
      <c r="L254" t="s">
        <v>92</v>
      </c>
      <c r="M254" t="s">
        <v>194</v>
      </c>
      <c r="N254">
        <v>4730290337</v>
      </c>
      <c r="O254">
        <v>0</v>
      </c>
      <c r="P254">
        <v>0</v>
      </c>
      <c r="R254" t="s">
        <v>42</v>
      </c>
      <c r="S254">
        <v>15015511068</v>
      </c>
      <c r="T254" t="str">
        <f ca="1">VLOOKUP(RANDBETWEEN(1,17),'Auxiliar Vendas'!D:G,2,0)</f>
        <v>Produto 05</v>
      </c>
      <c r="U254">
        <v>100</v>
      </c>
      <c r="V254">
        <v>16.2</v>
      </c>
      <c r="W254">
        <v>0</v>
      </c>
      <c r="X254">
        <v>10.23</v>
      </c>
      <c r="Y254" s="3">
        <v>1620</v>
      </c>
      <c r="Z254">
        <v>31</v>
      </c>
      <c r="AA254" t="s">
        <v>53</v>
      </c>
      <c r="AB254">
        <v>0</v>
      </c>
      <c r="AC254">
        <v>0</v>
      </c>
      <c r="AD254" t="s">
        <v>189</v>
      </c>
      <c r="AH254" s="2">
        <v>44500.605555555558</v>
      </c>
      <c r="AI254">
        <v>0</v>
      </c>
      <c r="AJ254">
        <v>0</v>
      </c>
      <c r="AK254" s="30" t="str">
        <f ca="1">VLOOKUP(T254,'Auxiliar Vendas'!E:F,2,FALSE)</f>
        <v>Produto 05</v>
      </c>
      <c r="AL254" s="31">
        <f ca="1">U254*VLOOKUP(T254,'Auxiliar Vendas'!E:G,3,FALSE)</f>
        <v>60</v>
      </c>
    </row>
    <row r="255" spans="1:38">
      <c r="A255">
        <v>15271870946</v>
      </c>
      <c r="B255">
        <v>46</v>
      </c>
      <c r="D255" s="1">
        <v>44500</v>
      </c>
      <c r="E255">
        <v>15020006032</v>
      </c>
      <c r="F255" t="str">
        <f ca="1">VLOOKUP(RANDBETWEEN(1,20),'DBO Compras'!AA:AC,3,0)</f>
        <v>Comprador 19</v>
      </c>
      <c r="G255" t="s">
        <v>36</v>
      </c>
      <c r="H255" t="s">
        <v>37</v>
      </c>
      <c r="I255" t="s">
        <v>38</v>
      </c>
      <c r="J255" t="s">
        <v>39</v>
      </c>
      <c r="K255">
        <v>82960015</v>
      </c>
      <c r="L255" t="s">
        <v>40</v>
      </c>
      <c r="M255" t="s">
        <v>41</v>
      </c>
      <c r="N255">
        <v>41996838559</v>
      </c>
      <c r="O255">
        <v>0</v>
      </c>
      <c r="P255">
        <v>0</v>
      </c>
      <c r="R255" t="s">
        <v>42</v>
      </c>
      <c r="S255">
        <v>15016093155</v>
      </c>
      <c r="T255" t="str">
        <f ca="1">VLOOKUP(RANDBETWEEN(1,17),'Auxiliar Vendas'!D:G,2,0)</f>
        <v>Produto 03</v>
      </c>
      <c r="U255">
        <v>300</v>
      </c>
      <c r="V255">
        <v>18</v>
      </c>
      <c r="W255">
        <v>0</v>
      </c>
      <c r="X255">
        <v>14.4596</v>
      </c>
      <c r="Y255" s="3">
        <v>5400</v>
      </c>
      <c r="Z255">
        <v>16</v>
      </c>
      <c r="AA255" t="s">
        <v>65</v>
      </c>
      <c r="AB255">
        <v>0</v>
      </c>
      <c r="AC255">
        <v>0</v>
      </c>
      <c r="AH255" s="2">
        <v>44500.584722222222</v>
      </c>
      <c r="AI255">
        <v>0</v>
      </c>
      <c r="AJ255">
        <v>0</v>
      </c>
      <c r="AK255" s="30" t="str">
        <f ca="1">VLOOKUP(T255,'Auxiliar Vendas'!E:F,2,FALSE)</f>
        <v>Produto 03</v>
      </c>
      <c r="AL255" s="31">
        <f ca="1">U255*VLOOKUP(T255,'Auxiliar Vendas'!E:G,3,FALSE)</f>
        <v>180</v>
      </c>
    </row>
    <row r="256" spans="1:38">
      <c r="A256">
        <v>15271919362</v>
      </c>
      <c r="B256">
        <v>47</v>
      </c>
      <c r="D256" s="1">
        <v>44500</v>
      </c>
      <c r="E256">
        <v>15059148465</v>
      </c>
      <c r="F256" t="str">
        <f ca="1">VLOOKUP(RANDBETWEEN(1,20),'DBO Compras'!AA:AC,3,0)</f>
        <v>Comprador 07</v>
      </c>
      <c r="G256" t="s">
        <v>195</v>
      </c>
      <c r="H256" t="s">
        <v>196</v>
      </c>
      <c r="I256" t="s">
        <v>197</v>
      </c>
      <c r="J256" t="s">
        <v>39</v>
      </c>
      <c r="K256">
        <v>80520200</v>
      </c>
      <c r="L256" t="s">
        <v>40</v>
      </c>
      <c r="O256">
        <v>0</v>
      </c>
      <c r="P256">
        <v>0</v>
      </c>
      <c r="R256" t="s">
        <v>42</v>
      </c>
      <c r="S256">
        <v>15015918644</v>
      </c>
      <c r="T256" t="str">
        <f ca="1">VLOOKUP(RANDBETWEEN(1,17),'Auxiliar Vendas'!D:G,2,0)</f>
        <v>Produto 17</v>
      </c>
      <c r="U256">
        <v>40</v>
      </c>
      <c r="V256">
        <v>8.3800000000000008</v>
      </c>
      <c r="W256">
        <v>0</v>
      </c>
      <c r="X256">
        <v>5.61</v>
      </c>
      <c r="Y256">
        <v>335.2</v>
      </c>
      <c r="Z256">
        <v>32</v>
      </c>
      <c r="AA256" t="s">
        <v>59</v>
      </c>
      <c r="AB256">
        <v>0</v>
      </c>
      <c r="AC256">
        <v>0</v>
      </c>
      <c r="AH256" s="2">
        <v>44500.583333333336</v>
      </c>
      <c r="AI256">
        <v>0</v>
      </c>
      <c r="AJ256">
        <v>0</v>
      </c>
      <c r="AK256" s="30" t="str">
        <f ca="1">VLOOKUP(T256,'Auxiliar Vendas'!E:F,2,FALSE)</f>
        <v>Produto 17</v>
      </c>
      <c r="AL256" s="31">
        <f ca="1">U256*VLOOKUP(T256,'Auxiliar Vendas'!E:G,3,FALSE)</f>
        <v>56.8</v>
      </c>
    </row>
    <row r="257" spans="1:38">
      <c r="A257">
        <v>15271964743</v>
      </c>
      <c r="B257">
        <v>48</v>
      </c>
      <c r="D257" s="1">
        <v>44500</v>
      </c>
      <c r="E257">
        <v>15059148465</v>
      </c>
      <c r="F257" t="str">
        <f ca="1">VLOOKUP(RANDBETWEEN(1,20),'DBO Compras'!AA:AC,3,0)</f>
        <v>Comprador 08</v>
      </c>
      <c r="G257" t="s">
        <v>195</v>
      </c>
      <c r="H257" t="s">
        <v>196</v>
      </c>
      <c r="I257" t="s">
        <v>197</v>
      </c>
      <c r="J257" t="s">
        <v>39</v>
      </c>
      <c r="K257">
        <v>80520200</v>
      </c>
      <c r="L257" t="s">
        <v>40</v>
      </c>
      <c r="O257">
        <v>0</v>
      </c>
      <c r="P257">
        <v>0</v>
      </c>
      <c r="R257" t="s">
        <v>42</v>
      </c>
      <c r="S257">
        <v>15016087271</v>
      </c>
      <c r="T257" t="str">
        <f ca="1">VLOOKUP(RANDBETWEEN(1,17),'Auxiliar Vendas'!D:G,2,0)</f>
        <v>Produto 07</v>
      </c>
      <c r="U257">
        <v>30</v>
      </c>
      <c r="V257">
        <v>18.2</v>
      </c>
      <c r="W257">
        <v>0</v>
      </c>
      <c r="X257">
        <v>14.4596</v>
      </c>
      <c r="Y257">
        <v>546</v>
      </c>
      <c r="Z257">
        <v>32</v>
      </c>
      <c r="AA257" t="s">
        <v>64</v>
      </c>
      <c r="AB257">
        <v>0</v>
      </c>
      <c r="AC257">
        <v>0</v>
      </c>
      <c r="AH257" s="2">
        <v>44500.583333333336</v>
      </c>
      <c r="AI257">
        <v>0</v>
      </c>
      <c r="AJ257">
        <v>0</v>
      </c>
      <c r="AK257" s="30" t="str">
        <f ca="1">VLOOKUP(T257,'Auxiliar Vendas'!E:F,2,FALSE)</f>
        <v>Produto 07</v>
      </c>
      <c r="AL257" s="31">
        <f ca="1">U257*VLOOKUP(T257,'Auxiliar Vendas'!E:G,3,FALSE)</f>
        <v>33</v>
      </c>
    </row>
    <row r="258" spans="1:38">
      <c r="A258">
        <v>15271964743</v>
      </c>
      <c r="B258">
        <v>48</v>
      </c>
      <c r="D258" s="1">
        <v>44500</v>
      </c>
      <c r="E258">
        <v>15059148465</v>
      </c>
      <c r="F258" t="str">
        <f ca="1">VLOOKUP(RANDBETWEEN(1,20),'DBO Compras'!AA:AC,3,0)</f>
        <v>Comprador 17</v>
      </c>
      <c r="G258" t="s">
        <v>195</v>
      </c>
      <c r="H258" t="s">
        <v>196</v>
      </c>
      <c r="I258" t="s">
        <v>197</v>
      </c>
      <c r="J258" t="s">
        <v>39</v>
      </c>
      <c r="K258">
        <v>80520200</v>
      </c>
      <c r="L258" t="s">
        <v>40</v>
      </c>
      <c r="O258">
        <v>0</v>
      </c>
      <c r="P258">
        <v>0</v>
      </c>
      <c r="R258" t="s">
        <v>42</v>
      </c>
      <c r="S258">
        <v>15016099089</v>
      </c>
      <c r="T258" t="str">
        <f ca="1">VLOOKUP(RANDBETWEEN(1,17),'Auxiliar Vendas'!D:G,2,0)</f>
        <v>Produto 05</v>
      </c>
      <c r="U258">
        <v>50</v>
      </c>
      <c r="V258">
        <v>21.3</v>
      </c>
      <c r="W258">
        <v>0</v>
      </c>
      <c r="X258">
        <v>16.804400000000001</v>
      </c>
      <c r="Y258" s="3">
        <v>1065</v>
      </c>
      <c r="Z258">
        <v>32</v>
      </c>
      <c r="AA258" t="s">
        <v>79</v>
      </c>
      <c r="AB258">
        <v>0</v>
      </c>
      <c r="AC258">
        <v>0</v>
      </c>
      <c r="AH258" s="2">
        <v>44500.583333333336</v>
      </c>
      <c r="AI258">
        <v>0</v>
      </c>
      <c r="AJ258">
        <v>0</v>
      </c>
      <c r="AK258" s="30" t="str">
        <f ca="1">VLOOKUP(T258,'Auxiliar Vendas'!E:F,2,FALSE)</f>
        <v>Produto 05</v>
      </c>
      <c r="AL258" s="31">
        <f ca="1">U258*VLOOKUP(T258,'Auxiliar Vendas'!E:G,3,FALSE)</f>
        <v>30</v>
      </c>
    </row>
    <row r="259" spans="1:38">
      <c r="A259">
        <v>15272099779</v>
      </c>
      <c r="B259">
        <v>50</v>
      </c>
      <c r="D259" s="1">
        <v>44500</v>
      </c>
      <c r="E259">
        <v>15059188280</v>
      </c>
      <c r="F259" t="str">
        <f ca="1">VLOOKUP(RANDBETWEEN(1,20),'DBO Compras'!AA:AC,3,0)</f>
        <v>Comprador 01</v>
      </c>
      <c r="G259" t="s">
        <v>198</v>
      </c>
      <c r="H259" t="s">
        <v>199</v>
      </c>
      <c r="I259" t="s">
        <v>200</v>
      </c>
      <c r="J259" t="s">
        <v>39</v>
      </c>
      <c r="K259">
        <v>80010050</v>
      </c>
      <c r="L259" t="s">
        <v>40</v>
      </c>
      <c r="O259">
        <v>0</v>
      </c>
      <c r="P259">
        <v>0</v>
      </c>
      <c r="R259" t="s">
        <v>42</v>
      </c>
      <c r="S259">
        <v>15016043939</v>
      </c>
      <c r="T259" t="str">
        <f ca="1">VLOOKUP(RANDBETWEEN(1,17),'Auxiliar Vendas'!D:G,2,0)</f>
        <v>Produto 04</v>
      </c>
      <c r="U259">
        <v>410</v>
      </c>
      <c r="V259">
        <v>22.15</v>
      </c>
      <c r="W259">
        <v>0</v>
      </c>
      <c r="X259">
        <v>10.747</v>
      </c>
      <c r="Y259" s="3">
        <v>9081.5</v>
      </c>
      <c r="Z259">
        <v>33</v>
      </c>
      <c r="AA259" t="s">
        <v>50</v>
      </c>
      <c r="AB259">
        <v>0</v>
      </c>
      <c r="AC259">
        <v>0</v>
      </c>
      <c r="AD259" t="s">
        <v>51</v>
      </c>
      <c r="AH259" s="2">
        <v>44500.584722222222</v>
      </c>
      <c r="AI259">
        <v>0</v>
      </c>
      <c r="AJ259">
        <v>0</v>
      </c>
      <c r="AK259" s="30" t="str">
        <f ca="1">VLOOKUP(T259,'Auxiliar Vendas'!E:F,2,FALSE)</f>
        <v>Produto 04</v>
      </c>
      <c r="AL259" s="31">
        <f ca="1">U259*VLOOKUP(T259,'Auxiliar Vendas'!E:G,3,FALSE)</f>
        <v>246</v>
      </c>
    </row>
    <row r="260" spans="1:38">
      <c r="A260">
        <v>15272099779</v>
      </c>
      <c r="B260">
        <v>50</v>
      </c>
      <c r="D260" s="1">
        <v>44500</v>
      </c>
      <c r="E260">
        <v>15059188280</v>
      </c>
      <c r="F260" t="str">
        <f ca="1">VLOOKUP(RANDBETWEEN(1,20),'DBO Compras'!AA:AC,3,0)</f>
        <v>Comprador 16</v>
      </c>
      <c r="G260" t="s">
        <v>198</v>
      </c>
      <c r="H260" t="s">
        <v>199</v>
      </c>
      <c r="I260" t="s">
        <v>200</v>
      </c>
      <c r="J260" t="s">
        <v>39</v>
      </c>
      <c r="K260">
        <v>80010050</v>
      </c>
      <c r="L260" t="s">
        <v>40</v>
      </c>
      <c r="O260">
        <v>0</v>
      </c>
      <c r="P260">
        <v>0</v>
      </c>
      <c r="R260" t="s">
        <v>42</v>
      </c>
      <c r="S260">
        <v>15015511068</v>
      </c>
      <c r="T260" t="str">
        <f ca="1">VLOOKUP(RANDBETWEEN(1,17),'Auxiliar Vendas'!D:G,2,0)</f>
        <v>Produto 14</v>
      </c>
      <c r="U260">
        <v>40</v>
      </c>
      <c r="V260">
        <v>26.55</v>
      </c>
      <c r="W260">
        <v>0</v>
      </c>
      <c r="X260">
        <v>10.23</v>
      </c>
      <c r="Y260" s="3">
        <v>1062</v>
      </c>
      <c r="Z260">
        <v>33</v>
      </c>
      <c r="AA260" t="s">
        <v>53</v>
      </c>
      <c r="AB260">
        <v>0</v>
      </c>
      <c r="AC260">
        <v>0</v>
      </c>
      <c r="AD260" t="s">
        <v>51</v>
      </c>
      <c r="AH260" s="2">
        <v>44500.584722222222</v>
      </c>
      <c r="AI260">
        <v>0</v>
      </c>
      <c r="AJ260">
        <v>0</v>
      </c>
      <c r="AK260" s="30" t="str">
        <f ca="1">VLOOKUP(T260,'Auxiliar Vendas'!E:F,2,FALSE)</f>
        <v>Produto 14</v>
      </c>
      <c r="AL260" s="31">
        <f ca="1">U260*VLOOKUP(T260,'Auxiliar Vendas'!E:G,3,FALSE)</f>
        <v>56</v>
      </c>
    </row>
    <row r="261" spans="1:38">
      <c r="A261">
        <v>15272099779</v>
      </c>
      <c r="B261">
        <v>50</v>
      </c>
      <c r="D261" s="1">
        <v>44500</v>
      </c>
      <c r="E261">
        <v>15059188280</v>
      </c>
      <c r="F261" t="str">
        <f ca="1">VLOOKUP(RANDBETWEEN(1,20),'DBO Compras'!AA:AC,3,0)</f>
        <v>Comprador 13</v>
      </c>
      <c r="G261" t="s">
        <v>198</v>
      </c>
      <c r="H261" t="s">
        <v>199</v>
      </c>
      <c r="I261" t="s">
        <v>200</v>
      </c>
      <c r="J261" t="s">
        <v>39</v>
      </c>
      <c r="K261">
        <v>80010050</v>
      </c>
      <c r="L261" t="s">
        <v>40</v>
      </c>
      <c r="O261">
        <v>0</v>
      </c>
      <c r="P261">
        <v>0</v>
      </c>
      <c r="R261" t="s">
        <v>42</v>
      </c>
      <c r="S261">
        <v>15015918644</v>
      </c>
      <c r="T261" t="str">
        <f ca="1">VLOOKUP(RANDBETWEEN(1,17),'Auxiliar Vendas'!D:G,2,0)</f>
        <v>Produto 17</v>
      </c>
      <c r="U261" s="3">
        <v>2510</v>
      </c>
      <c r="V261">
        <v>12.8</v>
      </c>
      <c r="W261">
        <v>0</v>
      </c>
      <c r="X261">
        <v>5.61</v>
      </c>
      <c r="Y261" s="3">
        <v>32128</v>
      </c>
      <c r="Z261">
        <v>33</v>
      </c>
      <c r="AA261" t="s">
        <v>59</v>
      </c>
      <c r="AB261">
        <v>0</v>
      </c>
      <c r="AC261">
        <v>0</v>
      </c>
      <c r="AD261" t="s">
        <v>51</v>
      </c>
      <c r="AH261" s="2">
        <v>44500.584722222222</v>
      </c>
      <c r="AI261">
        <v>0</v>
      </c>
      <c r="AJ261">
        <v>0</v>
      </c>
      <c r="AK261" s="30" t="str">
        <f ca="1">VLOOKUP(T261,'Auxiliar Vendas'!E:F,2,FALSE)</f>
        <v>Produto 17</v>
      </c>
      <c r="AL261" s="31">
        <f ca="1">U261*VLOOKUP(T261,'Auxiliar Vendas'!E:G,3,FALSE)</f>
        <v>3564.2</v>
      </c>
    </row>
    <row r="262" spans="1:38">
      <c r="A262">
        <v>15272099779</v>
      </c>
      <c r="B262">
        <v>50</v>
      </c>
      <c r="D262" s="1">
        <v>44500</v>
      </c>
      <c r="E262">
        <v>15059188280</v>
      </c>
      <c r="F262" t="str">
        <f ca="1">VLOOKUP(RANDBETWEEN(1,20),'DBO Compras'!AA:AC,3,0)</f>
        <v>Comprador 04</v>
      </c>
      <c r="G262" t="s">
        <v>198</v>
      </c>
      <c r="H262" t="s">
        <v>199</v>
      </c>
      <c r="I262" t="s">
        <v>200</v>
      </c>
      <c r="J262" t="s">
        <v>39</v>
      </c>
      <c r="K262">
        <v>80010050</v>
      </c>
      <c r="L262" t="s">
        <v>40</v>
      </c>
      <c r="O262">
        <v>0</v>
      </c>
      <c r="P262">
        <v>0</v>
      </c>
      <c r="R262" t="s">
        <v>42</v>
      </c>
      <c r="S262">
        <v>15016093155</v>
      </c>
      <c r="T262" t="str">
        <f ca="1">VLOOKUP(RANDBETWEEN(1,17),'Auxiliar Vendas'!D:G,2,0)</f>
        <v>Produto 01</v>
      </c>
      <c r="U262">
        <v>130</v>
      </c>
      <c r="V262">
        <v>29.15</v>
      </c>
      <c r="W262">
        <v>0</v>
      </c>
      <c r="X262">
        <v>14.4596</v>
      </c>
      <c r="Y262" s="3">
        <v>3789.5</v>
      </c>
      <c r="Z262">
        <v>33</v>
      </c>
      <c r="AA262" t="s">
        <v>65</v>
      </c>
      <c r="AB262">
        <v>0</v>
      </c>
      <c r="AC262">
        <v>0</v>
      </c>
      <c r="AD262" t="s">
        <v>51</v>
      </c>
      <c r="AH262" s="2">
        <v>44500.584722222222</v>
      </c>
      <c r="AI262">
        <v>0</v>
      </c>
      <c r="AJ262">
        <v>0</v>
      </c>
      <c r="AK262" s="30" t="str">
        <f ca="1">VLOOKUP(T262,'Auxiliar Vendas'!E:F,2,FALSE)</f>
        <v>Produto 01</v>
      </c>
      <c r="AL262" s="31">
        <f ca="1">U262*VLOOKUP(T262,'Auxiliar Vendas'!E:G,3,FALSE)</f>
        <v>52</v>
      </c>
    </row>
    <row r="263" spans="1:38">
      <c r="A263">
        <v>15272099779</v>
      </c>
      <c r="B263">
        <v>50</v>
      </c>
      <c r="D263" s="1">
        <v>44500</v>
      </c>
      <c r="E263">
        <v>15059188280</v>
      </c>
      <c r="F263" t="str">
        <f ca="1">VLOOKUP(RANDBETWEEN(1,20),'DBO Compras'!AA:AC,3,0)</f>
        <v>Comprador 16</v>
      </c>
      <c r="G263" t="s">
        <v>198</v>
      </c>
      <c r="H263" t="s">
        <v>199</v>
      </c>
      <c r="I263" t="s">
        <v>200</v>
      </c>
      <c r="J263" t="s">
        <v>39</v>
      </c>
      <c r="K263">
        <v>80010050</v>
      </c>
      <c r="L263" t="s">
        <v>40</v>
      </c>
      <c r="O263">
        <v>0</v>
      </c>
      <c r="P263">
        <v>0</v>
      </c>
      <c r="R263" t="s">
        <v>42</v>
      </c>
      <c r="S263">
        <v>15016080333</v>
      </c>
      <c r="T263" t="str">
        <f ca="1">VLOOKUP(RANDBETWEEN(1,17),'Auxiliar Vendas'!D:G,2,0)</f>
        <v>Produto 05</v>
      </c>
      <c r="U263">
        <v>130</v>
      </c>
      <c r="V263">
        <v>24.5</v>
      </c>
      <c r="W263">
        <v>0</v>
      </c>
      <c r="X263">
        <v>10.747</v>
      </c>
      <c r="Y263" s="3">
        <v>3185</v>
      </c>
      <c r="Z263">
        <v>33</v>
      </c>
      <c r="AA263" t="s">
        <v>80</v>
      </c>
      <c r="AB263">
        <v>0</v>
      </c>
      <c r="AC263">
        <v>0</v>
      </c>
      <c r="AD263" t="s">
        <v>51</v>
      </c>
      <c r="AH263" s="2">
        <v>44500.584722222222</v>
      </c>
      <c r="AI263">
        <v>0</v>
      </c>
      <c r="AJ263">
        <v>0</v>
      </c>
      <c r="AK263" s="30" t="str">
        <f ca="1">VLOOKUP(T263,'Auxiliar Vendas'!E:F,2,FALSE)</f>
        <v>Produto 05</v>
      </c>
      <c r="AL263" s="31">
        <f ca="1">U263*VLOOKUP(T263,'Auxiliar Vendas'!E:G,3,FALSE)</f>
        <v>78</v>
      </c>
    </row>
    <row r="264" spans="1:38">
      <c r="A264">
        <v>15272229265</v>
      </c>
      <c r="B264">
        <v>51</v>
      </c>
      <c r="D264" s="1">
        <v>44500</v>
      </c>
      <c r="E264">
        <v>15059209053</v>
      </c>
      <c r="F264" t="str">
        <f ca="1">VLOOKUP(RANDBETWEEN(1,20),'DBO Compras'!AA:AC,3,0)</f>
        <v>Comprador 01</v>
      </c>
      <c r="G264" t="s">
        <v>201</v>
      </c>
      <c r="H264" t="s">
        <v>202</v>
      </c>
      <c r="I264" t="s">
        <v>69</v>
      </c>
      <c r="J264" t="s">
        <v>203</v>
      </c>
      <c r="K264">
        <v>98700000</v>
      </c>
      <c r="L264" t="s">
        <v>204</v>
      </c>
      <c r="M264" t="s">
        <v>205</v>
      </c>
      <c r="N264">
        <v>41999473993</v>
      </c>
      <c r="O264">
        <v>0</v>
      </c>
      <c r="P264">
        <v>0</v>
      </c>
      <c r="R264" t="s">
        <v>42</v>
      </c>
      <c r="S264">
        <v>15016043939</v>
      </c>
      <c r="T264" t="str">
        <f ca="1">VLOOKUP(RANDBETWEEN(1,17),'Auxiliar Vendas'!D:G,2,0)</f>
        <v>Produto 06</v>
      </c>
      <c r="U264">
        <v>200</v>
      </c>
      <c r="V264">
        <v>13.9</v>
      </c>
      <c r="W264">
        <v>0</v>
      </c>
      <c r="X264">
        <v>10.747</v>
      </c>
      <c r="Y264" s="3">
        <v>2780</v>
      </c>
      <c r="Z264">
        <v>34</v>
      </c>
      <c r="AA264" t="s">
        <v>50</v>
      </c>
      <c r="AB264">
        <v>0</v>
      </c>
      <c r="AC264">
        <v>0</v>
      </c>
      <c r="AH264" s="2">
        <v>44500.584027777775</v>
      </c>
      <c r="AI264">
        <v>0</v>
      </c>
      <c r="AJ264">
        <v>0</v>
      </c>
      <c r="AK264" s="30" t="str">
        <f ca="1">VLOOKUP(T264,'Auxiliar Vendas'!E:F,2,FALSE)</f>
        <v>Produto 06</v>
      </c>
      <c r="AL264" s="31">
        <f ca="1">U264*VLOOKUP(T264,'Auxiliar Vendas'!E:G,3,FALSE)</f>
        <v>100</v>
      </c>
    </row>
    <row r="265" spans="1:38">
      <c r="A265">
        <v>15272229265</v>
      </c>
      <c r="B265">
        <v>51</v>
      </c>
      <c r="D265" s="1">
        <v>44500</v>
      </c>
      <c r="E265">
        <v>15059209053</v>
      </c>
      <c r="F265" t="str">
        <f ca="1">VLOOKUP(RANDBETWEEN(1,20),'DBO Compras'!AA:AC,3,0)</f>
        <v>Comprador 19</v>
      </c>
      <c r="G265" t="s">
        <v>201</v>
      </c>
      <c r="H265" t="s">
        <v>202</v>
      </c>
      <c r="I265" t="s">
        <v>69</v>
      </c>
      <c r="J265" t="s">
        <v>203</v>
      </c>
      <c r="K265">
        <v>98700000</v>
      </c>
      <c r="L265" t="s">
        <v>204</v>
      </c>
      <c r="M265" t="s">
        <v>205</v>
      </c>
      <c r="N265">
        <v>41999473993</v>
      </c>
      <c r="O265">
        <v>0</v>
      </c>
      <c r="P265">
        <v>0</v>
      </c>
      <c r="R265" t="s">
        <v>42</v>
      </c>
      <c r="S265">
        <v>15016087271</v>
      </c>
      <c r="T265" t="str">
        <f ca="1">VLOOKUP(RANDBETWEEN(1,17),'Auxiliar Vendas'!D:G,2,0)</f>
        <v>Produto 16</v>
      </c>
      <c r="U265">
        <v>150</v>
      </c>
      <c r="V265">
        <v>18.2</v>
      </c>
      <c r="W265">
        <v>0</v>
      </c>
      <c r="X265">
        <v>14.4596</v>
      </c>
      <c r="Y265" s="3">
        <v>2730</v>
      </c>
      <c r="Z265">
        <v>34</v>
      </c>
      <c r="AA265" t="s">
        <v>64</v>
      </c>
      <c r="AB265">
        <v>0</v>
      </c>
      <c r="AC265">
        <v>0</v>
      </c>
      <c r="AH265" s="2">
        <v>44500.584027777775</v>
      </c>
      <c r="AI265">
        <v>0</v>
      </c>
      <c r="AJ265">
        <v>0</v>
      </c>
      <c r="AK265" s="30" t="str">
        <f ca="1">VLOOKUP(T265,'Auxiliar Vendas'!E:F,2,FALSE)</f>
        <v>Produto 16</v>
      </c>
      <c r="AL265" s="31">
        <f ca="1">U265*VLOOKUP(T265,'Auxiliar Vendas'!E:G,3,FALSE)</f>
        <v>190.5</v>
      </c>
    </row>
    <row r="266" spans="1:38">
      <c r="A266">
        <v>15272229265</v>
      </c>
      <c r="B266">
        <v>51</v>
      </c>
      <c r="D266" s="1">
        <v>44500</v>
      </c>
      <c r="E266">
        <v>15059209053</v>
      </c>
      <c r="F266" t="str">
        <f ca="1">VLOOKUP(RANDBETWEEN(1,20),'DBO Compras'!AA:AC,3,0)</f>
        <v>Comprador 19</v>
      </c>
      <c r="G266" t="s">
        <v>201</v>
      </c>
      <c r="H266" t="s">
        <v>202</v>
      </c>
      <c r="I266" t="s">
        <v>69</v>
      </c>
      <c r="J266" t="s">
        <v>203</v>
      </c>
      <c r="K266">
        <v>98700000</v>
      </c>
      <c r="L266" t="s">
        <v>204</v>
      </c>
      <c r="M266" t="s">
        <v>205</v>
      </c>
      <c r="N266">
        <v>41999473993</v>
      </c>
      <c r="O266">
        <v>0</v>
      </c>
      <c r="P266">
        <v>0</v>
      </c>
      <c r="R266" t="s">
        <v>42</v>
      </c>
      <c r="S266">
        <v>15015918644</v>
      </c>
      <c r="T266" t="str">
        <f ca="1">VLOOKUP(RANDBETWEEN(1,17),'Auxiliar Vendas'!D:G,2,0)</f>
        <v>Produto 15</v>
      </c>
      <c r="U266">
        <v>100</v>
      </c>
      <c r="V266">
        <v>8.1999999999999993</v>
      </c>
      <c r="W266">
        <v>0</v>
      </c>
      <c r="X266">
        <v>5.61</v>
      </c>
      <c r="Y266">
        <v>820</v>
      </c>
      <c r="Z266">
        <v>34</v>
      </c>
      <c r="AA266" t="s">
        <v>59</v>
      </c>
      <c r="AB266">
        <v>0</v>
      </c>
      <c r="AC266">
        <v>0</v>
      </c>
      <c r="AH266" s="2">
        <v>44500.584027777775</v>
      </c>
      <c r="AI266">
        <v>0</v>
      </c>
      <c r="AJ266">
        <v>0</v>
      </c>
      <c r="AK266" s="30" t="str">
        <f ca="1">VLOOKUP(T266,'Auxiliar Vendas'!E:F,2,FALSE)</f>
        <v>Produto 15</v>
      </c>
      <c r="AL266" s="31">
        <f ca="1">U266*VLOOKUP(T266,'Auxiliar Vendas'!E:G,3,FALSE)</f>
        <v>142</v>
      </c>
    </row>
    <row r="267" spans="1:38">
      <c r="A267">
        <v>15272229265</v>
      </c>
      <c r="B267">
        <v>51</v>
      </c>
      <c r="D267" s="1">
        <v>44500</v>
      </c>
      <c r="E267">
        <v>15059209053</v>
      </c>
      <c r="F267" t="str">
        <f ca="1">VLOOKUP(RANDBETWEEN(1,20),'DBO Compras'!AA:AC,3,0)</f>
        <v>Comprador 05</v>
      </c>
      <c r="G267" t="s">
        <v>201</v>
      </c>
      <c r="H267" t="s">
        <v>202</v>
      </c>
      <c r="I267" t="s">
        <v>69</v>
      </c>
      <c r="J267" t="s">
        <v>203</v>
      </c>
      <c r="K267">
        <v>98700000</v>
      </c>
      <c r="L267" t="s">
        <v>204</v>
      </c>
      <c r="M267" t="s">
        <v>205</v>
      </c>
      <c r="N267">
        <v>41999473993</v>
      </c>
      <c r="O267">
        <v>0</v>
      </c>
      <c r="P267">
        <v>0</v>
      </c>
      <c r="R267" t="s">
        <v>42</v>
      </c>
      <c r="S267">
        <v>15016099089</v>
      </c>
      <c r="T267" t="str">
        <f ca="1">VLOOKUP(RANDBETWEEN(1,17),'Auxiliar Vendas'!D:G,2,0)</f>
        <v>Produto 16</v>
      </c>
      <c r="U267">
        <v>300</v>
      </c>
      <c r="V267">
        <v>21.3</v>
      </c>
      <c r="W267">
        <v>0</v>
      </c>
      <c r="X267">
        <v>16.804400000000001</v>
      </c>
      <c r="Y267" s="3">
        <v>6390</v>
      </c>
      <c r="Z267">
        <v>34</v>
      </c>
      <c r="AA267" t="s">
        <v>79</v>
      </c>
      <c r="AB267">
        <v>0</v>
      </c>
      <c r="AC267">
        <v>0</v>
      </c>
      <c r="AH267" s="2">
        <v>44500.584027777775</v>
      </c>
      <c r="AI267">
        <v>0</v>
      </c>
      <c r="AJ267">
        <v>0</v>
      </c>
      <c r="AK267" s="30" t="str">
        <f ca="1">VLOOKUP(T267,'Auxiliar Vendas'!E:F,2,FALSE)</f>
        <v>Produto 16</v>
      </c>
      <c r="AL267" s="31">
        <f ca="1">U267*VLOOKUP(T267,'Auxiliar Vendas'!E:G,3,FALSE)</f>
        <v>381</v>
      </c>
    </row>
    <row r="268" spans="1:38">
      <c r="A268">
        <v>15272350034</v>
      </c>
      <c r="B268">
        <v>52</v>
      </c>
      <c r="D268" s="1">
        <v>44500</v>
      </c>
      <c r="E268">
        <v>15059237186</v>
      </c>
      <c r="F268" t="str">
        <f ca="1">VLOOKUP(RANDBETWEEN(1,20),'DBO Compras'!AA:AC,3,0)</f>
        <v>Comprador 06</v>
      </c>
      <c r="G268" t="s">
        <v>206</v>
      </c>
      <c r="H268" t="s">
        <v>207</v>
      </c>
      <c r="I268" t="s">
        <v>208</v>
      </c>
      <c r="J268" t="s">
        <v>209</v>
      </c>
      <c r="K268">
        <v>94853120</v>
      </c>
      <c r="L268" t="s">
        <v>204</v>
      </c>
      <c r="O268">
        <v>0</v>
      </c>
      <c r="P268">
        <v>0</v>
      </c>
      <c r="R268" t="s">
        <v>42</v>
      </c>
      <c r="S268">
        <v>15016043939</v>
      </c>
      <c r="T268" t="str">
        <f ca="1">VLOOKUP(RANDBETWEEN(1,17),'Auxiliar Vendas'!D:G,2,0)</f>
        <v>Produto 17</v>
      </c>
      <c r="U268">
        <v>150</v>
      </c>
      <c r="V268">
        <v>14.25</v>
      </c>
      <c r="W268">
        <v>0</v>
      </c>
      <c r="X268">
        <v>10.747</v>
      </c>
      <c r="Y268" s="3">
        <v>2137.5</v>
      </c>
      <c r="Z268">
        <v>35</v>
      </c>
      <c r="AA268" t="s">
        <v>50</v>
      </c>
      <c r="AB268">
        <v>0</v>
      </c>
      <c r="AC268">
        <v>0</v>
      </c>
      <c r="AH268" s="2">
        <v>44500.582638888889</v>
      </c>
      <c r="AI268">
        <v>0</v>
      </c>
      <c r="AJ268">
        <v>0</v>
      </c>
      <c r="AK268" s="30" t="str">
        <f ca="1">VLOOKUP(T268,'Auxiliar Vendas'!E:F,2,FALSE)</f>
        <v>Produto 17</v>
      </c>
      <c r="AL268" s="31">
        <f ca="1">U268*VLOOKUP(T268,'Auxiliar Vendas'!E:G,3,FALSE)</f>
        <v>213</v>
      </c>
    </row>
    <row r="269" spans="1:38">
      <c r="A269">
        <v>15272350034</v>
      </c>
      <c r="B269">
        <v>52</v>
      </c>
      <c r="D269" s="1">
        <v>44500</v>
      </c>
      <c r="E269">
        <v>15059237186</v>
      </c>
      <c r="F269" t="str">
        <f ca="1">VLOOKUP(RANDBETWEEN(1,20),'DBO Compras'!AA:AC,3,0)</f>
        <v>Comprador 16</v>
      </c>
      <c r="G269" t="s">
        <v>206</v>
      </c>
      <c r="H269" t="s">
        <v>207</v>
      </c>
      <c r="I269" t="s">
        <v>208</v>
      </c>
      <c r="J269" t="s">
        <v>209</v>
      </c>
      <c r="K269">
        <v>94853120</v>
      </c>
      <c r="L269" t="s">
        <v>204</v>
      </c>
      <c r="O269">
        <v>0</v>
      </c>
      <c r="P269">
        <v>0</v>
      </c>
      <c r="R269" t="s">
        <v>42</v>
      </c>
      <c r="S269">
        <v>15015511068</v>
      </c>
      <c r="T269" t="str">
        <f ca="1">VLOOKUP(RANDBETWEEN(1,17),'Auxiliar Vendas'!D:G,2,0)</f>
        <v>Produto 09</v>
      </c>
      <c r="U269">
        <v>50</v>
      </c>
      <c r="V269">
        <v>16.7</v>
      </c>
      <c r="W269">
        <v>0</v>
      </c>
      <c r="X269">
        <v>10.23</v>
      </c>
      <c r="Y269">
        <v>835</v>
      </c>
      <c r="Z269">
        <v>35</v>
      </c>
      <c r="AA269" t="s">
        <v>53</v>
      </c>
      <c r="AB269">
        <v>0</v>
      </c>
      <c r="AC269">
        <v>0</v>
      </c>
      <c r="AH269" s="2">
        <v>44500.582638888889</v>
      </c>
      <c r="AI269">
        <v>0</v>
      </c>
      <c r="AJ269">
        <v>0</v>
      </c>
      <c r="AK269" s="30" t="str">
        <f ca="1">VLOOKUP(T269,'Auxiliar Vendas'!E:F,2,FALSE)</f>
        <v>Produto 09</v>
      </c>
      <c r="AL269" s="31">
        <f ca="1">U269*VLOOKUP(T269,'Auxiliar Vendas'!E:G,3,FALSE)</f>
        <v>55.000000000000007</v>
      </c>
    </row>
    <row r="270" spans="1:38">
      <c r="A270">
        <v>15272350034</v>
      </c>
      <c r="B270">
        <v>52</v>
      </c>
      <c r="D270" s="1">
        <v>44500</v>
      </c>
      <c r="E270">
        <v>15059237186</v>
      </c>
      <c r="F270" t="str">
        <f ca="1">VLOOKUP(RANDBETWEEN(1,20),'DBO Compras'!AA:AC,3,0)</f>
        <v>Comprador 15</v>
      </c>
      <c r="G270" t="s">
        <v>206</v>
      </c>
      <c r="H270" t="s">
        <v>207</v>
      </c>
      <c r="I270" t="s">
        <v>208</v>
      </c>
      <c r="J270" t="s">
        <v>209</v>
      </c>
      <c r="K270">
        <v>94853120</v>
      </c>
      <c r="L270" t="s">
        <v>204</v>
      </c>
      <c r="O270">
        <v>0</v>
      </c>
      <c r="P270">
        <v>0</v>
      </c>
      <c r="R270" t="s">
        <v>42</v>
      </c>
      <c r="S270">
        <v>15015746121</v>
      </c>
      <c r="T270" t="str">
        <f ca="1">VLOOKUP(RANDBETWEEN(1,17),'Auxiliar Vendas'!D:G,2,0)</f>
        <v>Produto 05</v>
      </c>
      <c r="U270">
        <v>100</v>
      </c>
      <c r="V270">
        <v>21.5</v>
      </c>
      <c r="W270">
        <v>0</v>
      </c>
      <c r="X270">
        <v>13.763999999999999</v>
      </c>
      <c r="Y270" s="3">
        <v>2150</v>
      </c>
      <c r="Z270">
        <v>35</v>
      </c>
      <c r="AA270" t="s">
        <v>81</v>
      </c>
      <c r="AB270">
        <v>0</v>
      </c>
      <c r="AC270">
        <v>0</v>
      </c>
      <c r="AH270" s="2">
        <v>44500.582638888889</v>
      </c>
      <c r="AI270">
        <v>0</v>
      </c>
      <c r="AJ270">
        <v>0</v>
      </c>
      <c r="AK270" s="30" t="str">
        <f ca="1">VLOOKUP(T270,'Auxiliar Vendas'!E:F,2,FALSE)</f>
        <v>Produto 05</v>
      </c>
      <c r="AL270" s="31">
        <f ca="1">U270*VLOOKUP(T270,'Auxiliar Vendas'!E:G,3,FALSE)</f>
        <v>60</v>
      </c>
    </row>
    <row r="271" spans="1:38">
      <c r="A271">
        <v>15272350034</v>
      </c>
      <c r="B271">
        <v>52</v>
      </c>
      <c r="D271" s="1">
        <v>44500</v>
      </c>
      <c r="E271">
        <v>15059237186</v>
      </c>
      <c r="F271" t="str">
        <f ca="1">VLOOKUP(RANDBETWEEN(1,20),'DBO Compras'!AA:AC,3,0)</f>
        <v>Comprador 15</v>
      </c>
      <c r="G271" t="s">
        <v>206</v>
      </c>
      <c r="H271" t="s">
        <v>207</v>
      </c>
      <c r="I271" t="s">
        <v>208</v>
      </c>
      <c r="J271" t="s">
        <v>209</v>
      </c>
      <c r="K271">
        <v>94853120</v>
      </c>
      <c r="L271" t="s">
        <v>204</v>
      </c>
      <c r="O271">
        <v>0</v>
      </c>
      <c r="P271">
        <v>0</v>
      </c>
      <c r="R271" t="s">
        <v>42</v>
      </c>
      <c r="S271">
        <v>15016099089</v>
      </c>
      <c r="T271" t="str">
        <f ca="1">VLOOKUP(RANDBETWEEN(1,17),'Auxiliar Vendas'!D:G,2,0)</f>
        <v>Produto 03</v>
      </c>
      <c r="U271">
        <v>100</v>
      </c>
      <c r="V271">
        <v>18.3</v>
      </c>
      <c r="W271">
        <v>0</v>
      </c>
      <c r="X271">
        <v>16.804400000000001</v>
      </c>
      <c r="Y271" s="3">
        <v>1830</v>
      </c>
      <c r="Z271">
        <v>35</v>
      </c>
      <c r="AA271" t="s">
        <v>79</v>
      </c>
      <c r="AB271">
        <v>0</v>
      </c>
      <c r="AC271">
        <v>0</v>
      </c>
      <c r="AH271" s="2">
        <v>44500.582638888889</v>
      </c>
      <c r="AI271">
        <v>0</v>
      </c>
      <c r="AJ271">
        <v>0</v>
      </c>
      <c r="AK271" s="30" t="str">
        <f ca="1">VLOOKUP(T271,'Auxiliar Vendas'!E:F,2,FALSE)</f>
        <v>Produto 03</v>
      </c>
      <c r="AL271" s="31">
        <f ca="1">U271*VLOOKUP(T271,'Auxiliar Vendas'!E:G,3,FALSE)</f>
        <v>60</v>
      </c>
    </row>
    <row r="272" spans="1:38">
      <c r="A272">
        <v>15272410659</v>
      </c>
      <c r="B272">
        <v>53</v>
      </c>
      <c r="D272" s="1">
        <v>44500</v>
      </c>
      <c r="E272">
        <v>15272395368</v>
      </c>
      <c r="F272" t="str">
        <f ca="1">VLOOKUP(RANDBETWEEN(1,20),'DBO Compras'!AA:AC,3,0)</f>
        <v>Comprador 09</v>
      </c>
      <c r="G272" t="s">
        <v>210</v>
      </c>
      <c r="H272" t="s">
        <v>211</v>
      </c>
      <c r="I272" t="s">
        <v>212</v>
      </c>
      <c r="J272" t="s">
        <v>213</v>
      </c>
      <c r="K272">
        <v>88130780</v>
      </c>
      <c r="L272" t="s">
        <v>92</v>
      </c>
      <c r="M272" t="s">
        <v>214</v>
      </c>
      <c r="N272">
        <v>4833440100</v>
      </c>
      <c r="O272">
        <v>0</v>
      </c>
      <c r="P272">
        <v>0</v>
      </c>
      <c r="R272" t="s">
        <v>42</v>
      </c>
      <c r="S272">
        <v>15016099089</v>
      </c>
      <c r="T272" t="str">
        <f ca="1">VLOOKUP(RANDBETWEEN(1,17),'Auxiliar Vendas'!D:G,2,0)</f>
        <v>Produto 04</v>
      </c>
      <c r="U272">
        <v>600</v>
      </c>
      <c r="V272">
        <v>21.3</v>
      </c>
      <c r="W272">
        <v>0</v>
      </c>
      <c r="X272">
        <v>16.804400000000001</v>
      </c>
      <c r="Y272" s="3">
        <v>12780</v>
      </c>
      <c r="Z272">
        <v>65</v>
      </c>
      <c r="AA272" t="s">
        <v>79</v>
      </c>
      <c r="AB272">
        <v>0</v>
      </c>
      <c r="AC272">
        <v>0</v>
      </c>
      <c r="AH272" s="2">
        <v>44500.583333333336</v>
      </c>
      <c r="AI272">
        <v>0</v>
      </c>
      <c r="AJ272">
        <v>0</v>
      </c>
      <c r="AK272" s="30" t="str">
        <f ca="1">VLOOKUP(T272,'Auxiliar Vendas'!E:F,2,FALSE)</f>
        <v>Produto 04</v>
      </c>
      <c r="AL272" s="31">
        <f ca="1">U272*VLOOKUP(T272,'Auxiliar Vendas'!E:G,3,FALSE)</f>
        <v>360</v>
      </c>
    </row>
    <row r="273" spans="1:38">
      <c r="A273">
        <v>15272458649</v>
      </c>
      <c r="B273">
        <v>55</v>
      </c>
      <c r="D273" s="1">
        <v>44500</v>
      </c>
      <c r="E273">
        <v>15264888160</v>
      </c>
      <c r="F273" t="str">
        <f ca="1">VLOOKUP(RANDBETWEEN(1,20),'DBO Compras'!AA:AC,3,0)</f>
        <v>Comprador 18</v>
      </c>
      <c r="G273" t="s">
        <v>215</v>
      </c>
      <c r="H273" t="s">
        <v>216</v>
      </c>
      <c r="I273" t="s">
        <v>217</v>
      </c>
      <c r="J273" t="s">
        <v>193</v>
      </c>
      <c r="K273">
        <v>89213401</v>
      </c>
      <c r="L273" t="s">
        <v>92</v>
      </c>
      <c r="M273" t="s">
        <v>218</v>
      </c>
      <c r="N273">
        <v>4734530505</v>
      </c>
      <c r="O273">
        <v>0</v>
      </c>
      <c r="P273">
        <v>0</v>
      </c>
      <c r="R273" t="s">
        <v>42</v>
      </c>
      <c r="S273">
        <v>15015918644</v>
      </c>
      <c r="T273" t="str">
        <f ca="1">VLOOKUP(RANDBETWEEN(1,17),'Auxiliar Vendas'!D:G,2,0)</f>
        <v>Produto 03</v>
      </c>
      <c r="U273">
        <v>800</v>
      </c>
      <c r="V273">
        <v>7.85</v>
      </c>
      <c r="W273">
        <v>0</v>
      </c>
      <c r="X273">
        <v>5.61</v>
      </c>
      <c r="Y273" s="3">
        <v>6280</v>
      </c>
      <c r="Z273">
        <v>57</v>
      </c>
      <c r="AA273" t="s">
        <v>59</v>
      </c>
      <c r="AB273">
        <v>0</v>
      </c>
      <c r="AC273">
        <v>0</v>
      </c>
      <c r="AD273" t="s">
        <v>189</v>
      </c>
      <c r="AH273" s="2">
        <v>44500.584722222222</v>
      </c>
      <c r="AI273">
        <v>0</v>
      </c>
      <c r="AJ273">
        <v>0</v>
      </c>
      <c r="AK273" s="30" t="str">
        <f ca="1">VLOOKUP(T273,'Auxiliar Vendas'!E:F,2,FALSE)</f>
        <v>Produto 03</v>
      </c>
      <c r="AL273" s="31">
        <f ca="1">U273*VLOOKUP(T273,'Auxiliar Vendas'!E:G,3,FALSE)</f>
        <v>480</v>
      </c>
    </row>
    <row r="274" spans="1:38">
      <c r="A274">
        <v>15272458649</v>
      </c>
      <c r="B274">
        <v>55</v>
      </c>
      <c r="D274" s="1">
        <v>44500</v>
      </c>
      <c r="E274">
        <v>15264888160</v>
      </c>
      <c r="F274" t="str">
        <f ca="1">VLOOKUP(RANDBETWEEN(1,20),'DBO Compras'!AA:AC,3,0)</f>
        <v>Comprador 12</v>
      </c>
      <c r="G274" t="s">
        <v>215</v>
      </c>
      <c r="H274" t="s">
        <v>216</v>
      </c>
      <c r="I274" t="s">
        <v>217</v>
      </c>
      <c r="J274" t="s">
        <v>193</v>
      </c>
      <c r="K274">
        <v>89213401</v>
      </c>
      <c r="L274" t="s">
        <v>92</v>
      </c>
      <c r="M274" t="s">
        <v>218</v>
      </c>
      <c r="N274">
        <v>4734530505</v>
      </c>
      <c r="O274">
        <v>0</v>
      </c>
      <c r="P274">
        <v>0</v>
      </c>
      <c r="R274" t="s">
        <v>42</v>
      </c>
      <c r="S274">
        <v>15016043939</v>
      </c>
      <c r="T274" t="str">
        <f ca="1">VLOOKUP(RANDBETWEEN(1,17),'Auxiliar Vendas'!D:G,2,0)</f>
        <v>Produto 10</v>
      </c>
      <c r="U274" s="3">
        <v>1000</v>
      </c>
      <c r="V274">
        <v>13.59</v>
      </c>
      <c r="W274">
        <v>0</v>
      </c>
      <c r="X274">
        <v>10.747</v>
      </c>
      <c r="Y274" s="3">
        <v>13590</v>
      </c>
      <c r="Z274">
        <v>57</v>
      </c>
      <c r="AA274" t="s">
        <v>50</v>
      </c>
      <c r="AB274">
        <v>0</v>
      </c>
      <c r="AC274">
        <v>0</v>
      </c>
      <c r="AD274" t="s">
        <v>189</v>
      </c>
      <c r="AH274" s="2">
        <v>44500.584722222222</v>
      </c>
      <c r="AI274">
        <v>0</v>
      </c>
      <c r="AJ274">
        <v>0</v>
      </c>
      <c r="AK274" s="30" t="str">
        <f ca="1">VLOOKUP(T274,'Auxiliar Vendas'!E:F,2,FALSE)</f>
        <v>Produto 10</v>
      </c>
      <c r="AL274" s="31">
        <f ca="1">U274*VLOOKUP(T274,'Auxiliar Vendas'!E:G,3,FALSE)</f>
        <v>1100</v>
      </c>
    </row>
    <row r="275" spans="1:38">
      <c r="A275">
        <v>15279988600</v>
      </c>
      <c r="B275">
        <v>63</v>
      </c>
      <c r="D275" s="1">
        <v>44502</v>
      </c>
      <c r="E275">
        <v>15279322250</v>
      </c>
      <c r="F275" t="str">
        <f ca="1">VLOOKUP(RANDBETWEEN(1,20),'DBO Compras'!AA:AC,3,0)</f>
        <v>Comprador 05</v>
      </c>
      <c r="G275" t="s">
        <v>83</v>
      </c>
      <c r="H275" t="s">
        <v>84</v>
      </c>
      <c r="I275" t="s">
        <v>85</v>
      </c>
      <c r="J275" t="s">
        <v>39</v>
      </c>
      <c r="K275">
        <v>80220100</v>
      </c>
      <c r="L275" t="s">
        <v>40</v>
      </c>
      <c r="M275" t="s">
        <v>86</v>
      </c>
      <c r="N275">
        <v>41993330017</v>
      </c>
      <c r="O275">
        <v>0</v>
      </c>
      <c r="P275">
        <v>0</v>
      </c>
      <c r="R275" t="s">
        <v>42</v>
      </c>
      <c r="S275">
        <v>15015911944</v>
      </c>
      <c r="T275" t="str">
        <f ca="1">VLOOKUP(RANDBETWEEN(1,17),'Auxiliar Vendas'!D:G,2,0)</f>
        <v>Produto 05</v>
      </c>
      <c r="U275">
        <v>500</v>
      </c>
      <c r="V275">
        <v>13.39</v>
      </c>
      <c r="W275">
        <v>0</v>
      </c>
      <c r="X275">
        <v>10.285</v>
      </c>
      <c r="Y275" s="3">
        <v>6695</v>
      </c>
      <c r="Z275">
        <v>68</v>
      </c>
      <c r="AA275" t="s">
        <v>78</v>
      </c>
      <c r="AB275">
        <v>0</v>
      </c>
      <c r="AC275">
        <v>0</v>
      </c>
      <c r="AH275" s="2">
        <v>44502.479861111111</v>
      </c>
      <c r="AI275">
        <v>0</v>
      </c>
      <c r="AJ275">
        <v>0</v>
      </c>
      <c r="AK275" s="30" t="str">
        <f ca="1">VLOOKUP(T275,'Auxiliar Vendas'!E:F,2,FALSE)</f>
        <v>Produto 05</v>
      </c>
      <c r="AL275" s="31">
        <f ca="1">U275*VLOOKUP(T275,'Auxiliar Vendas'!E:G,3,FALSE)</f>
        <v>300</v>
      </c>
    </row>
    <row r="276" spans="1:38">
      <c r="A276">
        <v>15279988600</v>
      </c>
      <c r="B276">
        <v>63</v>
      </c>
      <c r="D276" s="1">
        <v>44502</v>
      </c>
      <c r="E276">
        <v>15279322250</v>
      </c>
      <c r="F276" t="str">
        <f ca="1">VLOOKUP(RANDBETWEEN(1,20),'DBO Compras'!AA:AC,3,0)</f>
        <v>Comprador 04</v>
      </c>
      <c r="G276" t="s">
        <v>83</v>
      </c>
      <c r="H276" t="s">
        <v>84</v>
      </c>
      <c r="I276" t="s">
        <v>85</v>
      </c>
      <c r="J276" t="s">
        <v>39</v>
      </c>
      <c r="K276">
        <v>80220100</v>
      </c>
      <c r="L276" t="s">
        <v>40</v>
      </c>
      <c r="M276" t="s">
        <v>86</v>
      </c>
      <c r="N276">
        <v>41993330017</v>
      </c>
      <c r="O276">
        <v>0</v>
      </c>
      <c r="P276">
        <v>0</v>
      </c>
      <c r="R276" t="s">
        <v>42</v>
      </c>
      <c r="S276">
        <v>15015353721</v>
      </c>
      <c r="T276" t="str">
        <f ca="1">VLOOKUP(RANDBETWEEN(1,17),'Auxiliar Vendas'!D:G,2,0)</f>
        <v>Produto 10</v>
      </c>
      <c r="U276">
        <v>300</v>
      </c>
      <c r="V276">
        <v>7.75</v>
      </c>
      <c r="W276">
        <v>0</v>
      </c>
      <c r="X276">
        <v>5.58</v>
      </c>
      <c r="Y276" s="3">
        <v>2325</v>
      </c>
      <c r="Z276">
        <v>68</v>
      </c>
      <c r="AA276" t="s">
        <v>44</v>
      </c>
      <c r="AB276">
        <v>0</v>
      </c>
      <c r="AC276">
        <v>0</v>
      </c>
      <c r="AH276" s="2">
        <v>44502.479861111111</v>
      </c>
      <c r="AI276">
        <v>0</v>
      </c>
      <c r="AJ276">
        <v>0</v>
      </c>
      <c r="AK276" s="30" t="str">
        <f ca="1">VLOOKUP(T276,'Auxiliar Vendas'!E:F,2,FALSE)</f>
        <v>Produto 10</v>
      </c>
      <c r="AL276" s="31">
        <f ca="1">U276*VLOOKUP(T276,'Auxiliar Vendas'!E:G,3,FALSE)</f>
        <v>330</v>
      </c>
    </row>
    <row r="277" spans="1:38">
      <c r="A277">
        <v>15279988600</v>
      </c>
      <c r="B277">
        <v>63</v>
      </c>
      <c r="D277" s="1">
        <v>44502</v>
      </c>
      <c r="E277">
        <v>15279322250</v>
      </c>
      <c r="F277" t="str">
        <f ca="1">VLOOKUP(RANDBETWEEN(1,20),'DBO Compras'!AA:AC,3,0)</f>
        <v>Comprador 20</v>
      </c>
      <c r="G277" t="s">
        <v>83</v>
      </c>
      <c r="H277" t="s">
        <v>84</v>
      </c>
      <c r="I277" t="s">
        <v>85</v>
      </c>
      <c r="J277" t="s">
        <v>39</v>
      </c>
      <c r="K277">
        <v>80220100</v>
      </c>
      <c r="L277" t="s">
        <v>40</v>
      </c>
      <c r="M277" t="s">
        <v>86</v>
      </c>
      <c r="N277">
        <v>41993330017</v>
      </c>
      <c r="O277">
        <v>0</v>
      </c>
      <c r="P277">
        <v>0</v>
      </c>
      <c r="R277" t="s">
        <v>42</v>
      </c>
      <c r="S277">
        <v>15016093155</v>
      </c>
      <c r="T277" t="str">
        <f ca="1">VLOOKUP(RANDBETWEEN(1,17),'Auxiliar Vendas'!D:G,2,0)</f>
        <v>Produto 02</v>
      </c>
      <c r="U277">
        <v>100</v>
      </c>
      <c r="V277">
        <v>17.899999999999999</v>
      </c>
      <c r="W277">
        <v>0</v>
      </c>
      <c r="X277">
        <v>14.4596</v>
      </c>
      <c r="Y277" s="3">
        <v>1790</v>
      </c>
      <c r="Z277">
        <v>68</v>
      </c>
      <c r="AA277" t="s">
        <v>65</v>
      </c>
      <c r="AB277">
        <v>0</v>
      </c>
      <c r="AC277">
        <v>0</v>
      </c>
      <c r="AH277" s="2">
        <v>44502.479861111111</v>
      </c>
      <c r="AI277">
        <v>0</v>
      </c>
      <c r="AJ277">
        <v>0</v>
      </c>
      <c r="AK277" s="30" t="str">
        <f ca="1">VLOOKUP(T277,'Auxiliar Vendas'!E:F,2,FALSE)</f>
        <v>Produto 02</v>
      </c>
      <c r="AL277" s="31">
        <f ca="1">U277*VLOOKUP(T277,'Auxiliar Vendas'!E:G,3,FALSE)</f>
        <v>27</v>
      </c>
    </row>
    <row r="278" spans="1:38">
      <c r="A278">
        <v>15284426458</v>
      </c>
      <c r="B278">
        <v>69</v>
      </c>
      <c r="D278" s="1">
        <v>44502</v>
      </c>
      <c r="E278">
        <v>15179646317</v>
      </c>
      <c r="F278" t="str">
        <f ca="1">VLOOKUP(RANDBETWEEN(1,20),'DBO Compras'!AA:AC,3,0)</f>
        <v>Comprador 16</v>
      </c>
      <c r="G278" t="s">
        <v>132</v>
      </c>
      <c r="H278" t="s">
        <v>133</v>
      </c>
      <c r="I278" t="s">
        <v>134</v>
      </c>
      <c r="J278" t="s">
        <v>135</v>
      </c>
      <c r="K278">
        <v>87015440</v>
      </c>
      <c r="L278" t="s">
        <v>40</v>
      </c>
      <c r="O278">
        <v>0</v>
      </c>
      <c r="P278">
        <v>0</v>
      </c>
      <c r="R278" t="s">
        <v>42</v>
      </c>
      <c r="S278">
        <v>15015886084</v>
      </c>
      <c r="T278" t="str">
        <f ca="1">VLOOKUP(RANDBETWEEN(1,17),'Auxiliar Vendas'!D:G,2,0)</f>
        <v>Produto 09</v>
      </c>
      <c r="U278">
        <v>40</v>
      </c>
      <c r="V278">
        <v>22.6</v>
      </c>
      <c r="W278">
        <v>0</v>
      </c>
      <c r="X278">
        <v>15.996</v>
      </c>
      <c r="Y278">
        <v>904</v>
      </c>
      <c r="Z278">
        <v>44</v>
      </c>
      <c r="AA278" t="s">
        <v>66</v>
      </c>
      <c r="AB278">
        <v>0</v>
      </c>
      <c r="AC278">
        <v>0</v>
      </c>
      <c r="AH278" s="2">
        <v>44502.722222222219</v>
      </c>
      <c r="AI278">
        <v>0</v>
      </c>
      <c r="AJ278">
        <v>0</v>
      </c>
      <c r="AK278" s="30" t="str">
        <f ca="1">VLOOKUP(T278,'Auxiliar Vendas'!E:F,2,FALSE)</f>
        <v>Produto 09</v>
      </c>
      <c r="AL278" s="31">
        <f ca="1">U278*VLOOKUP(T278,'Auxiliar Vendas'!E:G,3,FALSE)</f>
        <v>44</v>
      </c>
    </row>
    <row r="279" spans="1:38">
      <c r="A279">
        <v>15284426458</v>
      </c>
      <c r="B279">
        <v>69</v>
      </c>
      <c r="D279" s="1">
        <v>44502</v>
      </c>
      <c r="E279">
        <v>15179646317</v>
      </c>
      <c r="F279" t="str">
        <f ca="1">VLOOKUP(RANDBETWEEN(1,20),'DBO Compras'!AA:AC,3,0)</f>
        <v>Comprador 14</v>
      </c>
      <c r="G279" t="s">
        <v>132</v>
      </c>
      <c r="H279" t="s">
        <v>133</v>
      </c>
      <c r="I279" t="s">
        <v>134</v>
      </c>
      <c r="J279" t="s">
        <v>135</v>
      </c>
      <c r="K279">
        <v>87015440</v>
      </c>
      <c r="L279" t="s">
        <v>40</v>
      </c>
      <c r="O279">
        <v>0</v>
      </c>
      <c r="P279">
        <v>0</v>
      </c>
      <c r="R279" t="s">
        <v>42</v>
      </c>
      <c r="S279">
        <v>15016093155</v>
      </c>
      <c r="T279" t="str">
        <f ca="1">VLOOKUP(RANDBETWEEN(1,17),'Auxiliar Vendas'!D:G,2,0)</f>
        <v>Produto 02</v>
      </c>
      <c r="U279">
        <v>40</v>
      </c>
      <c r="V279">
        <v>19.3</v>
      </c>
      <c r="W279">
        <v>0</v>
      </c>
      <c r="X279">
        <v>14.4596</v>
      </c>
      <c r="Y279">
        <v>772</v>
      </c>
      <c r="Z279">
        <v>44</v>
      </c>
      <c r="AA279" t="s">
        <v>65</v>
      </c>
      <c r="AB279">
        <v>0</v>
      </c>
      <c r="AC279">
        <v>0</v>
      </c>
      <c r="AH279" s="2">
        <v>44502.722222222219</v>
      </c>
      <c r="AI279">
        <v>0</v>
      </c>
      <c r="AJ279">
        <v>0</v>
      </c>
      <c r="AK279" s="30" t="str">
        <f ca="1">VLOOKUP(T279,'Auxiliar Vendas'!E:F,2,FALSE)</f>
        <v>Produto 02</v>
      </c>
      <c r="AL279" s="31">
        <f ca="1">U279*VLOOKUP(T279,'Auxiliar Vendas'!E:G,3,FALSE)</f>
        <v>10.8</v>
      </c>
    </row>
    <row r="280" spans="1:38">
      <c r="A280">
        <v>15284426458</v>
      </c>
      <c r="B280">
        <v>69</v>
      </c>
      <c r="D280" s="1">
        <v>44502</v>
      </c>
      <c r="E280">
        <v>15179646317</v>
      </c>
      <c r="F280" t="str">
        <f ca="1">VLOOKUP(RANDBETWEEN(1,20),'DBO Compras'!AA:AC,3,0)</f>
        <v>Comprador 01</v>
      </c>
      <c r="G280" t="s">
        <v>132</v>
      </c>
      <c r="H280" t="s">
        <v>133</v>
      </c>
      <c r="I280" t="s">
        <v>134</v>
      </c>
      <c r="J280" t="s">
        <v>135</v>
      </c>
      <c r="K280">
        <v>87015440</v>
      </c>
      <c r="L280" t="s">
        <v>40</v>
      </c>
      <c r="O280">
        <v>0</v>
      </c>
      <c r="P280">
        <v>0</v>
      </c>
      <c r="R280" t="s">
        <v>42</v>
      </c>
      <c r="S280">
        <v>15015511068</v>
      </c>
      <c r="T280" t="str">
        <f ca="1">VLOOKUP(RANDBETWEEN(1,17),'Auxiliar Vendas'!D:G,2,0)</f>
        <v>Produto 12</v>
      </c>
      <c r="U280">
        <v>10</v>
      </c>
      <c r="V280">
        <v>17.7</v>
      </c>
      <c r="W280">
        <v>0</v>
      </c>
      <c r="X280">
        <v>10.23</v>
      </c>
      <c r="Y280">
        <v>177</v>
      </c>
      <c r="Z280">
        <v>44</v>
      </c>
      <c r="AA280" t="s">
        <v>53</v>
      </c>
      <c r="AB280">
        <v>0</v>
      </c>
      <c r="AC280">
        <v>0</v>
      </c>
      <c r="AH280" s="2">
        <v>44502.722222222219</v>
      </c>
      <c r="AI280">
        <v>0</v>
      </c>
      <c r="AJ280">
        <v>0</v>
      </c>
      <c r="AK280" s="30" t="str">
        <f ca="1">VLOOKUP(T280,'Auxiliar Vendas'!E:F,2,FALSE)</f>
        <v>Produto 12</v>
      </c>
      <c r="AL280" s="31">
        <f ca="1">U280*VLOOKUP(T280,'Auxiliar Vendas'!E:G,3,FALSE)</f>
        <v>14</v>
      </c>
    </row>
    <row r="281" spans="1:38">
      <c r="A281">
        <v>15290130249</v>
      </c>
      <c r="B281">
        <v>76</v>
      </c>
      <c r="D281" s="1">
        <v>44502</v>
      </c>
      <c r="E281">
        <v>15179724225</v>
      </c>
      <c r="F281" t="str">
        <f ca="1">VLOOKUP(RANDBETWEEN(1,20),'DBO Compras'!AA:AC,3,0)</f>
        <v>Comprador 13</v>
      </c>
      <c r="G281" t="s">
        <v>147</v>
      </c>
      <c r="H281" t="s">
        <v>148</v>
      </c>
      <c r="I281" t="s">
        <v>149</v>
      </c>
      <c r="J281" t="s">
        <v>143</v>
      </c>
      <c r="K281">
        <v>84060872</v>
      </c>
      <c r="L281" t="s">
        <v>40</v>
      </c>
      <c r="M281" t="s">
        <v>150</v>
      </c>
      <c r="N281">
        <v>4299550985</v>
      </c>
      <c r="O281">
        <v>0</v>
      </c>
      <c r="P281">
        <v>0</v>
      </c>
      <c r="R281" t="s">
        <v>42</v>
      </c>
      <c r="S281">
        <v>15016043939</v>
      </c>
      <c r="T281" t="str">
        <f ca="1">VLOOKUP(RANDBETWEEN(1,17),'Auxiliar Vendas'!D:G,2,0)</f>
        <v>Produto 07</v>
      </c>
      <c r="U281">
        <v>200</v>
      </c>
      <c r="V281">
        <v>14.1</v>
      </c>
      <c r="W281">
        <v>0</v>
      </c>
      <c r="X281">
        <v>10.747</v>
      </c>
      <c r="Y281" s="3">
        <v>2820</v>
      </c>
      <c r="Z281">
        <v>47</v>
      </c>
      <c r="AA281" t="s">
        <v>50</v>
      </c>
      <c r="AB281">
        <v>0</v>
      </c>
      <c r="AC281">
        <v>0</v>
      </c>
      <c r="AH281" s="2">
        <v>44502.413888888892</v>
      </c>
      <c r="AI281">
        <v>0</v>
      </c>
      <c r="AJ281">
        <v>0</v>
      </c>
      <c r="AK281" s="30" t="str">
        <f ca="1">VLOOKUP(T281,'Auxiliar Vendas'!E:F,2,FALSE)</f>
        <v>Produto 07</v>
      </c>
      <c r="AL281" s="31">
        <f ca="1">U281*VLOOKUP(T281,'Auxiliar Vendas'!E:G,3,FALSE)</f>
        <v>220.00000000000003</v>
      </c>
    </row>
    <row r="282" spans="1:38">
      <c r="A282">
        <v>15290130249</v>
      </c>
      <c r="B282">
        <v>76</v>
      </c>
      <c r="D282" s="1">
        <v>44502</v>
      </c>
      <c r="E282">
        <v>15179724225</v>
      </c>
      <c r="F282" t="str">
        <f ca="1">VLOOKUP(RANDBETWEEN(1,20),'DBO Compras'!AA:AC,3,0)</f>
        <v>Comprador 19</v>
      </c>
      <c r="G282" t="s">
        <v>147</v>
      </c>
      <c r="H282" t="s">
        <v>148</v>
      </c>
      <c r="I282" t="s">
        <v>149</v>
      </c>
      <c r="J282" t="s">
        <v>143</v>
      </c>
      <c r="K282">
        <v>84060872</v>
      </c>
      <c r="L282" t="s">
        <v>40</v>
      </c>
      <c r="M282" t="s">
        <v>150</v>
      </c>
      <c r="N282">
        <v>4299550985</v>
      </c>
      <c r="O282">
        <v>0</v>
      </c>
      <c r="P282">
        <v>0</v>
      </c>
      <c r="R282" t="s">
        <v>42</v>
      </c>
      <c r="S282">
        <v>15015511068</v>
      </c>
      <c r="T282" t="str">
        <f ca="1">VLOOKUP(RANDBETWEEN(1,17),'Auxiliar Vendas'!D:G,2,0)</f>
        <v>Produto 15</v>
      </c>
      <c r="U282">
        <v>100</v>
      </c>
      <c r="V282">
        <v>16.7</v>
      </c>
      <c r="W282">
        <v>0</v>
      </c>
      <c r="X282">
        <v>10.23</v>
      </c>
      <c r="Y282" s="3">
        <v>1670</v>
      </c>
      <c r="Z282">
        <v>47</v>
      </c>
      <c r="AA282" t="s">
        <v>53</v>
      </c>
      <c r="AB282">
        <v>0</v>
      </c>
      <c r="AC282">
        <v>0</v>
      </c>
      <c r="AH282" s="2">
        <v>44502.413888888892</v>
      </c>
      <c r="AI282">
        <v>0</v>
      </c>
      <c r="AJ282">
        <v>0</v>
      </c>
      <c r="AK282" s="30" t="str">
        <f ca="1">VLOOKUP(T282,'Auxiliar Vendas'!E:F,2,FALSE)</f>
        <v>Produto 15</v>
      </c>
      <c r="AL282" s="31">
        <f ca="1">U282*VLOOKUP(T282,'Auxiliar Vendas'!E:G,3,FALSE)</f>
        <v>142</v>
      </c>
    </row>
    <row r="283" spans="1:38">
      <c r="A283">
        <v>15290130249</v>
      </c>
      <c r="B283">
        <v>76</v>
      </c>
      <c r="D283" s="1">
        <v>44502</v>
      </c>
      <c r="E283">
        <v>15179724225</v>
      </c>
      <c r="F283" t="str">
        <f ca="1">VLOOKUP(RANDBETWEEN(1,20),'DBO Compras'!AA:AC,3,0)</f>
        <v>Comprador 06</v>
      </c>
      <c r="G283" t="s">
        <v>147</v>
      </c>
      <c r="H283" t="s">
        <v>148</v>
      </c>
      <c r="I283" t="s">
        <v>149</v>
      </c>
      <c r="J283" t="s">
        <v>143</v>
      </c>
      <c r="K283">
        <v>84060872</v>
      </c>
      <c r="L283" t="s">
        <v>40</v>
      </c>
      <c r="M283" t="s">
        <v>150</v>
      </c>
      <c r="N283">
        <v>4299550985</v>
      </c>
      <c r="O283">
        <v>0</v>
      </c>
      <c r="P283">
        <v>0</v>
      </c>
      <c r="R283" t="s">
        <v>42</v>
      </c>
      <c r="S283">
        <v>15015886084</v>
      </c>
      <c r="T283" t="str">
        <f ca="1">VLOOKUP(RANDBETWEEN(1,17),'Auxiliar Vendas'!D:G,2,0)</f>
        <v>Produto 14</v>
      </c>
      <c r="U283">
        <v>80</v>
      </c>
      <c r="V283">
        <v>21.75</v>
      </c>
      <c r="W283">
        <v>0</v>
      </c>
      <c r="X283">
        <v>15.996</v>
      </c>
      <c r="Y283" s="3">
        <v>1740</v>
      </c>
      <c r="Z283">
        <v>47</v>
      </c>
      <c r="AA283" t="s">
        <v>66</v>
      </c>
      <c r="AB283">
        <v>0</v>
      </c>
      <c r="AC283">
        <v>0</v>
      </c>
      <c r="AH283" s="2">
        <v>44502.413888888892</v>
      </c>
      <c r="AI283">
        <v>0</v>
      </c>
      <c r="AJ283">
        <v>0</v>
      </c>
      <c r="AK283" s="30" t="str">
        <f ca="1">VLOOKUP(T283,'Auxiliar Vendas'!E:F,2,FALSE)</f>
        <v>Produto 14</v>
      </c>
      <c r="AL283" s="31">
        <f ca="1">U283*VLOOKUP(T283,'Auxiliar Vendas'!E:G,3,FALSE)</f>
        <v>112</v>
      </c>
    </row>
    <row r="284" spans="1:38">
      <c r="A284">
        <v>15290130249</v>
      </c>
      <c r="B284">
        <v>76</v>
      </c>
      <c r="D284" s="1">
        <v>44502</v>
      </c>
      <c r="E284">
        <v>15179724225</v>
      </c>
      <c r="F284" t="str">
        <f ca="1">VLOOKUP(RANDBETWEEN(1,20),'DBO Compras'!AA:AC,3,0)</f>
        <v>Comprador 10</v>
      </c>
      <c r="G284" t="s">
        <v>147</v>
      </c>
      <c r="H284" t="s">
        <v>148</v>
      </c>
      <c r="I284" t="s">
        <v>149</v>
      </c>
      <c r="J284" t="s">
        <v>143</v>
      </c>
      <c r="K284">
        <v>84060872</v>
      </c>
      <c r="L284" t="s">
        <v>40</v>
      </c>
      <c r="M284" t="s">
        <v>150</v>
      </c>
      <c r="N284">
        <v>4299550985</v>
      </c>
      <c r="O284">
        <v>0</v>
      </c>
      <c r="P284">
        <v>0</v>
      </c>
      <c r="R284" t="s">
        <v>42</v>
      </c>
      <c r="S284">
        <v>15016087271</v>
      </c>
      <c r="T284" t="str">
        <f ca="1">VLOOKUP(RANDBETWEEN(1,17),'Auxiliar Vendas'!D:G,2,0)</f>
        <v>Produto 02</v>
      </c>
      <c r="U284">
        <v>40</v>
      </c>
      <c r="V284">
        <v>18.649999999999999</v>
      </c>
      <c r="W284">
        <v>0</v>
      </c>
      <c r="X284">
        <v>14.4596</v>
      </c>
      <c r="Y284">
        <v>746</v>
      </c>
      <c r="Z284">
        <v>47</v>
      </c>
      <c r="AA284" t="s">
        <v>64</v>
      </c>
      <c r="AB284">
        <v>0</v>
      </c>
      <c r="AC284">
        <v>0</v>
      </c>
      <c r="AH284" s="2">
        <v>44502.413888888892</v>
      </c>
      <c r="AI284">
        <v>0</v>
      </c>
      <c r="AJ284">
        <v>0</v>
      </c>
      <c r="AK284" s="30" t="str">
        <f ca="1">VLOOKUP(T284,'Auxiliar Vendas'!E:F,2,FALSE)</f>
        <v>Produto 02</v>
      </c>
      <c r="AL284" s="31">
        <f ca="1">U284*VLOOKUP(T284,'Auxiliar Vendas'!E:G,3,FALSE)</f>
        <v>10.8</v>
      </c>
    </row>
    <row r="285" spans="1:38">
      <c r="A285">
        <v>15290291121</v>
      </c>
      <c r="B285">
        <v>77</v>
      </c>
      <c r="D285" s="1">
        <v>44502</v>
      </c>
      <c r="E285">
        <v>15058959920</v>
      </c>
      <c r="F285" t="str">
        <f ca="1">VLOOKUP(RANDBETWEEN(1,20),'DBO Compras'!AA:AC,3,0)</f>
        <v>Comprador 15</v>
      </c>
      <c r="G285" t="s">
        <v>119</v>
      </c>
      <c r="H285" t="s">
        <v>120</v>
      </c>
      <c r="I285" t="s">
        <v>121</v>
      </c>
      <c r="J285" t="s">
        <v>113</v>
      </c>
      <c r="K285">
        <v>87025540</v>
      </c>
      <c r="L285" t="s">
        <v>40</v>
      </c>
      <c r="M285" t="s">
        <v>98</v>
      </c>
      <c r="N285">
        <v>4441413353</v>
      </c>
      <c r="O285">
        <v>0</v>
      </c>
      <c r="P285">
        <v>0</v>
      </c>
      <c r="R285" t="s">
        <v>42</v>
      </c>
      <c r="S285">
        <v>15016043939</v>
      </c>
      <c r="T285" t="str">
        <f ca="1">VLOOKUP(RANDBETWEEN(1,17),'Auxiliar Vendas'!D:G,2,0)</f>
        <v>Produto 09</v>
      </c>
      <c r="U285">
        <v>142</v>
      </c>
      <c r="V285">
        <v>14.9</v>
      </c>
      <c r="W285">
        <v>0</v>
      </c>
      <c r="X285">
        <v>10.747</v>
      </c>
      <c r="Y285" s="3">
        <v>2115.8000000000002</v>
      </c>
      <c r="Z285">
        <v>26</v>
      </c>
      <c r="AA285" t="s">
        <v>50</v>
      </c>
      <c r="AB285">
        <v>0</v>
      </c>
      <c r="AC285">
        <v>0</v>
      </c>
      <c r="AD285" t="s">
        <v>51</v>
      </c>
      <c r="AH285" s="2">
        <v>44503.421527777777</v>
      </c>
      <c r="AI285">
        <v>0</v>
      </c>
      <c r="AJ285">
        <v>0</v>
      </c>
      <c r="AK285" s="30" t="str">
        <f ca="1">VLOOKUP(T285,'Auxiliar Vendas'!E:F,2,FALSE)</f>
        <v>Produto 09</v>
      </c>
      <c r="AL285" s="31">
        <f ca="1">U285*VLOOKUP(T285,'Auxiliar Vendas'!E:G,3,FALSE)</f>
        <v>156.20000000000002</v>
      </c>
    </row>
    <row r="286" spans="1:38">
      <c r="A286">
        <v>15290291121</v>
      </c>
      <c r="B286">
        <v>77</v>
      </c>
      <c r="D286" s="1">
        <v>44502</v>
      </c>
      <c r="E286">
        <v>15058959920</v>
      </c>
      <c r="F286" t="str">
        <f ca="1">VLOOKUP(RANDBETWEEN(1,20),'DBO Compras'!AA:AC,3,0)</f>
        <v>Comprador 06</v>
      </c>
      <c r="G286" t="s">
        <v>119</v>
      </c>
      <c r="H286" t="s">
        <v>120</v>
      </c>
      <c r="I286" t="s">
        <v>121</v>
      </c>
      <c r="J286" t="s">
        <v>113</v>
      </c>
      <c r="K286">
        <v>87025540</v>
      </c>
      <c r="L286" t="s">
        <v>40</v>
      </c>
      <c r="M286" t="s">
        <v>98</v>
      </c>
      <c r="N286">
        <v>4441413353</v>
      </c>
      <c r="O286">
        <v>0</v>
      </c>
      <c r="P286">
        <v>0</v>
      </c>
      <c r="R286" t="s">
        <v>42</v>
      </c>
      <c r="S286">
        <v>15016073255</v>
      </c>
      <c r="T286" t="str">
        <f ca="1">VLOOKUP(RANDBETWEEN(1,17),'Auxiliar Vendas'!D:G,2,0)</f>
        <v>Produto 14</v>
      </c>
      <c r="U286">
        <v>116</v>
      </c>
      <c r="V286">
        <v>17.7</v>
      </c>
      <c r="W286">
        <v>0</v>
      </c>
      <c r="X286">
        <v>10.747</v>
      </c>
      <c r="Y286" s="3">
        <v>2053.1999999999998</v>
      </c>
      <c r="Z286">
        <v>26</v>
      </c>
      <c r="AA286" t="s">
        <v>160</v>
      </c>
      <c r="AB286">
        <v>0</v>
      </c>
      <c r="AC286">
        <v>0</v>
      </c>
      <c r="AD286" t="s">
        <v>51</v>
      </c>
      <c r="AH286" s="2">
        <v>44503.421527777777</v>
      </c>
      <c r="AI286">
        <v>0</v>
      </c>
      <c r="AJ286">
        <v>0</v>
      </c>
      <c r="AK286" s="30" t="str">
        <f ca="1">VLOOKUP(T286,'Auxiliar Vendas'!E:F,2,FALSE)</f>
        <v>Produto 14</v>
      </c>
      <c r="AL286" s="31">
        <f ca="1">U286*VLOOKUP(T286,'Auxiliar Vendas'!E:G,3,FALSE)</f>
        <v>162.39999999999998</v>
      </c>
    </row>
    <row r="287" spans="1:38">
      <c r="A287">
        <v>15290370698</v>
      </c>
      <c r="B287">
        <v>78</v>
      </c>
      <c r="D287" s="1">
        <v>44502</v>
      </c>
      <c r="E287">
        <v>15179803016</v>
      </c>
      <c r="F287" t="str">
        <f ca="1">VLOOKUP(RANDBETWEEN(1,20),'DBO Compras'!AA:AC,3,0)</f>
        <v>Comprador 15</v>
      </c>
      <c r="G287" t="s">
        <v>155</v>
      </c>
      <c r="H287" t="s">
        <v>156</v>
      </c>
      <c r="I287" t="s">
        <v>157</v>
      </c>
      <c r="J287" t="s">
        <v>158</v>
      </c>
      <c r="K287">
        <v>84500000</v>
      </c>
      <c r="L287" t="s">
        <v>40</v>
      </c>
      <c r="M287" t="s">
        <v>159</v>
      </c>
      <c r="N287">
        <v>42999250064</v>
      </c>
      <c r="O287">
        <v>0</v>
      </c>
      <c r="P287">
        <v>0</v>
      </c>
      <c r="R287" t="s">
        <v>42</v>
      </c>
      <c r="S287">
        <v>15016043939</v>
      </c>
      <c r="T287" t="str">
        <f ca="1">VLOOKUP(RANDBETWEEN(1,17),'Auxiliar Vendas'!D:G,2,0)</f>
        <v>Produto 02</v>
      </c>
      <c r="U287">
        <v>120</v>
      </c>
      <c r="V287">
        <v>13.9</v>
      </c>
      <c r="W287">
        <v>0</v>
      </c>
      <c r="X287">
        <v>10.747</v>
      </c>
      <c r="Y287" s="3">
        <v>1668</v>
      </c>
      <c r="Z287">
        <v>50</v>
      </c>
      <c r="AA287" t="s">
        <v>50</v>
      </c>
      <c r="AB287">
        <v>0</v>
      </c>
      <c r="AC287">
        <v>0</v>
      </c>
      <c r="AD287" t="s">
        <v>51</v>
      </c>
      <c r="AH287" s="2">
        <v>44502.716666666667</v>
      </c>
      <c r="AI287">
        <v>0</v>
      </c>
      <c r="AJ287">
        <v>0</v>
      </c>
      <c r="AK287" s="30" t="str">
        <f ca="1">VLOOKUP(T287,'Auxiliar Vendas'!E:F,2,FALSE)</f>
        <v>Produto 02</v>
      </c>
      <c r="AL287" s="31">
        <f ca="1">U287*VLOOKUP(T287,'Auxiliar Vendas'!E:G,3,FALSE)</f>
        <v>32.400000000000006</v>
      </c>
    </row>
    <row r="288" spans="1:38">
      <c r="A288">
        <v>15290370698</v>
      </c>
      <c r="B288">
        <v>78</v>
      </c>
      <c r="D288" s="1">
        <v>44502</v>
      </c>
      <c r="E288">
        <v>15179803016</v>
      </c>
      <c r="F288" t="str">
        <f ca="1">VLOOKUP(RANDBETWEEN(1,20),'DBO Compras'!AA:AC,3,0)</f>
        <v>Comprador 13</v>
      </c>
      <c r="G288" t="s">
        <v>155</v>
      </c>
      <c r="H288" t="s">
        <v>156</v>
      </c>
      <c r="I288" t="s">
        <v>157</v>
      </c>
      <c r="J288" t="s">
        <v>158</v>
      </c>
      <c r="K288">
        <v>84500000</v>
      </c>
      <c r="L288" t="s">
        <v>40</v>
      </c>
      <c r="M288" t="s">
        <v>159</v>
      </c>
      <c r="N288">
        <v>42999250064</v>
      </c>
      <c r="O288">
        <v>0</v>
      </c>
      <c r="P288">
        <v>0</v>
      </c>
      <c r="R288" t="s">
        <v>42</v>
      </c>
      <c r="S288">
        <v>15016073255</v>
      </c>
      <c r="T288" t="str">
        <f ca="1">VLOOKUP(RANDBETWEEN(1,17),'Auxiliar Vendas'!D:G,2,0)</f>
        <v>Produto 04</v>
      </c>
      <c r="U288">
        <v>60</v>
      </c>
      <c r="V288">
        <v>16.2</v>
      </c>
      <c r="W288">
        <v>0</v>
      </c>
      <c r="X288">
        <v>10.747</v>
      </c>
      <c r="Y288">
        <v>972</v>
      </c>
      <c r="Z288">
        <v>50</v>
      </c>
      <c r="AA288" t="s">
        <v>160</v>
      </c>
      <c r="AB288">
        <v>0</v>
      </c>
      <c r="AC288">
        <v>0</v>
      </c>
      <c r="AD288" t="s">
        <v>51</v>
      </c>
      <c r="AH288" s="2">
        <v>44502.716666666667</v>
      </c>
      <c r="AI288">
        <v>0</v>
      </c>
      <c r="AJ288">
        <v>0</v>
      </c>
      <c r="AK288" s="30" t="str">
        <f ca="1">VLOOKUP(T288,'Auxiliar Vendas'!E:F,2,FALSE)</f>
        <v>Produto 04</v>
      </c>
      <c r="AL288" s="31">
        <f ca="1">U288*VLOOKUP(T288,'Auxiliar Vendas'!E:G,3,FALSE)</f>
        <v>36</v>
      </c>
    </row>
    <row r="289" spans="1:38">
      <c r="A289">
        <v>15290370698</v>
      </c>
      <c r="B289">
        <v>78</v>
      </c>
      <c r="D289" s="1">
        <v>44502</v>
      </c>
      <c r="E289">
        <v>15179803016</v>
      </c>
      <c r="F289" t="str">
        <f ca="1">VLOOKUP(RANDBETWEEN(1,20),'DBO Compras'!AA:AC,3,0)</f>
        <v>Comprador 07</v>
      </c>
      <c r="G289" t="s">
        <v>155</v>
      </c>
      <c r="H289" t="s">
        <v>156</v>
      </c>
      <c r="I289" t="s">
        <v>157</v>
      </c>
      <c r="J289" t="s">
        <v>158</v>
      </c>
      <c r="K289">
        <v>84500000</v>
      </c>
      <c r="L289" t="s">
        <v>40</v>
      </c>
      <c r="M289" t="s">
        <v>159</v>
      </c>
      <c r="N289">
        <v>42999250064</v>
      </c>
      <c r="O289">
        <v>0</v>
      </c>
      <c r="P289">
        <v>0</v>
      </c>
      <c r="R289" t="s">
        <v>42</v>
      </c>
      <c r="S289">
        <v>15016093155</v>
      </c>
      <c r="T289" t="str">
        <f ca="1">VLOOKUP(RANDBETWEEN(1,17),'Auxiliar Vendas'!D:G,2,0)</f>
        <v>Produto 05</v>
      </c>
      <c r="U289">
        <v>30</v>
      </c>
      <c r="V289">
        <v>18.2</v>
      </c>
      <c r="W289">
        <v>0</v>
      </c>
      <c r="X289">
        <v>14.4596</v>
      </c>
      <c r="Y289">
        <v>546</v>
      </c>
      <c r="Z289">
        <v>50</v>
      </c>
      <c r="AA289" t="s">
        <v>65</v>
      </c>
      <c r="AB289">
        <v>0</v>
      </c>
      <c r="AC289">
        <v>0</v>
      </c>
      <c r="AD289" t="s">
        <v>51</v>
      </c>
      <c r="AH289" s="2">
        <v>44502.716666666667</v>
      </c>
      <c r="AI289">
        <v>0</v>
      </c>
      <c r="AJ289">
        <v>0</v>
      </c>
      <c r="AK289" s="30" t="str">
        <f ca="1">VLOOKUP(T289,'Auxiliar Vendas'!E:F,2,FALSE)</f>
        <v>Produto 05</v>
      </c>
      <c r="AL289" s="31">
        <f ca="1">U289*VLOOKUP(T289,'Auxiliar Vendas'!E:G,3,FALSE)</f>
        <v>18</v>
      </c>
    </row>
    <row r="290" spans="1:38">
      <c r="A290">
        <v>15290370698</v>
      </c>
      <c r="B290">
        <v>78</v>
      </c>
      <c r="D290" s="1">
        <v>44502</v>
      </c>
      <c r="E290">
        <v>15179803016</v>
      </c>
      <c r="F290" t="str">
        <f ca="1">VLOOKUP(RANDBETWEEN(1,20),'DBO Compras'!AA:AC,3,0)</f>
        <v>Comprador 04</v>
      </c>
      <c r="G290" t="s">
        <v>155</v>
      </c>
      <c r="H290" t="s">
        <v>156</v>
      </c>
      <c r="I290" t="s">
        <v>157</v>
      </c>
      <c r="J290" t="s">
        <v>158</v>
      </c>
      <c r="K290">
        <v>84500000</v>
      </c>
      <c r="L290" t="s">
        <v>40</v>
      </c>
      <c r="M290" t="s">
        <v>159</v>
      </c>
      <c r="N290">
        <v>42999250064</v>
      </c>
      <c r="O290">
        <v>0</v>
      </c>
      <c r="P290">
        <v>0</v>
      </c>
      <c r="R290" t="s">
        <v>42</v>
      </c>
      <c r="S290">
        <v>15016080333</v>
      </c>
      <c r="T290" t="str">
        <f ca="1">VLOOKUP(RANDBETWEEN(1,17),'Auxiliar Vendas'!D:G,2,0)</f>
        <v>Produto 07</v>
      </c>
      <c r="U290">
        <v>10</v>
      </c>
      <c r="V290">
        <v>15.2</v>
      </c>
      <c r="W290">
        <v>0</v>
      </c>
      <c r="X290">
        <v>10.747</v>
      </c>
      <c r="Y290">
        <v>152</v>
      </c>
      <c r="Z290">
        <v>50</v>
      </c>
      <c r="AA290" t="s">
        <v>80</v>
      </c>
      <c r="AB290">
        <v>0</v>
      </c>
      <c r="AC290">
        <v>0</v>
      </c>
      <c r="AD290" t="s">
        <v>51</v>
      </c>
      <c r="AH290" s="2">
        <v>44502.716666666667</v>
      </c>
      <c r="AI290">
        <v>0</v>
      </c>
      <c r="AJ290">
        <v>0</v>
      </c>
      <c r="AK290" s="30" t="str">
        <f ca="1">VLOOKUP(T290,'Auxiliar Vendas'!E:F,2,FALSE)</f>
        <v>Produto 07</v>
      </c>
      <c r="AL290" s="31">
        <f ca="1">U290*VLOOKUP(T290,'Auxiliar Vendas'!E:G,3,FALSE)</f>
        <v>11</v>
      </c>
    </row>
    <row r="291" spans="1:38">
      <c r="A291">
        <v>15291035501</v>
      </c>
      <c r="B291">
        <v>86</v>
      </c>
      <c r="D291" s="1">
        <v>44502</v>
      </c>
      <c r="E291">
        <v>15058876151</v>
      </c>
      <c r="F291" t="str">
        <f ca="1">VLOOKUP(RANDBETWEEN(1,20),'DBO Compras'!AA:AC,3,0)</f>
        <v>Comprador 09</v>
      </c>
      <c r="G291" t="s">
        <v>114</v>
      </c>
      <c r="H291" t="s">
        <v>115</v>
      </c>
      <c r="I291" t="s">
        <v>116</v>
      </c>
      <c r="J291" t="s">
        <v>117</v>
      </c>
      <c r="K291">
        <v>86027620</v>
      </c>
      <c r="L291" t="s">
        <v>40</v>
      </c>
      <c r="M291" t="s">
        <v>118</v>
      </c>
      <c r="N291">
        <v>43996560102</v>
      </c>
      <c r="O291">
        <v>0</v>
      </c>
      <c r="P291">
        <v>0</v>
      </c>
      <c r="R291" t="s">
        <v>42</v>
      </c>
      <c r="S291">
        <v>15016087271</v>
      </c>
      <c r="T291" t="str">
        <f ca="1">VLOOKUP(RANDBETWEEN(1,17),'Auxiliar Vendas'!D:G,2,0)</f>
        <v>Produto 17</v>
      </c>
      <c r="U291">
        <v>150</v>
      </c>
      <c r="V291">
        <v>18.55</v>
      </c>
      <c r="W291">
        <v>0</v>
      </c>
      <c r="X291">
        <v>14.4596</v>
      </c>
      <c r="Y291" s="3">
        <v>2782.5</v>
      </c>
      <c r="Z291">
        <v>24</v>
      </c>
      <c r="AA291" t="s">
        <v>64</v>
      </c>
      <c r="AB291">
        <v>0</v>
      </c>
      <c r="AC291">
        <v>0</v>
      </c>
      <c r="AD291" t="s">
        <v>51</v>
      </c>
      <c r="AH291" s="2">
        <v>44502.71597222222</v>
      </c>
      <c r="AI291">
        <v>0</v>
      </c>
      <c r="AJ291">
        <v>0</v>
      </c>
      <c r="AK291" s="30" t="str">
        <f ca="1">VLOOKUP(T291,'Auxiliar Vendas'!E:F,2,FALSE)</f>
        <v>Produto 17</v>
      </c>
      <c r="AL291" s="31">
        <f ca="1">U291*VLOOKUP(T291,'Auxiliar Vendas'!E:G,3,FALSE)</f>
        <v>213</v>
      </c>
    </row>
    <row r="292" spans="1:38">
      <c r="A292">
        <v>15291035501</v>
      </c>
      <c r="B292">
        <v>86</v>
      </c>
      <c r="D292" s="1">
        <v>44502</v>
      </c>
      <c r="E292">
        <v>15058876151</v>
      </c>
      <c r="F292" t="str">
        <f ca="1">VLOOKUP(RANDBETWEEN(1,20),'DBO Compras'!AA:AC,3,0)</f>
        <v>Comprador 05</v>
      </c>
      <c r="G292" t="s">
        <v>114</v>
      </c>
      <c r="H292" t="s">
        <v>115</v>
      </c>
      <c r="I292" t="s">
        <v>116</v>
      </c>
      <c r="J292" t="s">
        <v>117</v>
      </c>
      <c r="K292">
        <v>86027620</v>
      </c>
      <c r="L292" t="s">
        <v>40</v>
      </c>
      <c r="M292" t="s">
        <v>118</v>
      </c>
      <c r="N292">
        <v>43996560102</v>
      </c>
      <c r="O292">
        <v>0</v>
      </c>
      <c r="P292">
        <v>0</v>
      </c>
      <c r="R292" t="s">
        <v>42</v>
      </c>
      <c r="S292">
        <v>15016043939</v>
      </c>
      <c r="T292" t="str">
        <f ca="1">VLOOKUP(RANDBETWEEN(1,17),'Auxiliar Vendas'!D:G,2,0)</f>
        <v>Produto 03</v>
      </c>
      <c r="U292">
        <v>170</v>
      </c>
      <c r="V292">
        <v>14.1</v>
      </c>
      <c r="W292">
        <v>0</v>
      </c>
      <c r="X292">
        <v>10.747</v>
      </c>
      <c r="Y292" s="3">
        <v>2397</v>
      </c>
      <c r="Z292">
        <v>24</v>
      </c>
      <c r="AA292" t="s">
        <v>50</v>
      </c>
      <c r="AB292">
        <v>0</v>
      </c>
      <c r="AC292">
        <v>0</v>
      </c>
      <c r="AD292" t="s">
        <v>51</v>
      </c>
      <c r="AH292" s="2">
        <v>44502.71597222222</v>
      </c>
      <c r="AI292">
        <v>0</v>
      </c>
      <c r="AJ292">
        <v>0</v>
      </c>
      <c r="AK292" s="30" t="str">
        <f ca="1">VLOOKUP(T292,'Auxiliar Vendas'!E:F,2,FALSE)</f>
        <v>Produto 03</v>
      </c>
      <c r="AL292" s="31">
        <f ca="1">U292*VLOOKUP(T292,'Auxiliar Vendas'!E:G,3,FALSE)</f>
        <v>102</v>
      </c>
    </row>
    <row r="293" spans="1:38">
      <c r="A293">
        <v>15291035501</v>
      </c>
      <c r="B293">
        <v>86</v>
      </c>
      <c r="D293" s="1">
        <v>44502</v>
      </c>
      <c r="E293">
        <v>15058876151</v>
      </c>
      <c r="F293" t="str">
        <f ca="1">VLOOKUP(RANDBETWEEN(1,20),'DBO Compras'!AA:AC,3,0)</f>
        <v>Comprador 18</v>
      </c>
      <c r="G293" t="s">
        <v>114</v>
      </c>
      <c r="H293" t="s">
        <v>115</v>
      </c>
      <c r="I293" t="s">
        <v>116</v>
      </c>
      <c r="J293" t="s">
        <v>117</v>
      </c>
      <c r="K293">
        <v>86027620</v>
      </c>
      <c r="L293" t="s">
        <v>40</v>
      </c>
      <c r="M293" t="s">
        <v>118</v>
      </c>
      <c r="N293">
        <v>43996560102</v>
      </c>
      <c r="O293">
        <v>0</v>
      </c>
      <c r="P293">
        <v>0</v>
      </c>
      <c r="R293" t="s">
        <v>42</v>
      </c>
      <c r="S293">
        <v>15139727614</v>
      </c>
      <c r="T293" t="str">
        <f ca="1">VLOOKUP(RANDBETWEEN(1,17),'Auxiliar Vendas'!D:G,2,0)</f>
        <v>Produto 15</v>
      </c>
      <c r="U293">
        <v>70</v>
      </c>
      <c r="V293">
        <v>23.95</v>
      </c>
      <c r="W293">
        <v>0</v>
      </c>
      <c r="X293">
        <v>0</v>
      </c>
      <c r="Y293" s="3">
        <v>1676.5</v>
      </c>
      <c r="Z293">
        <v>24</v>
      </c>
      <c r="AA293" t="s">
        <v>146</v>
      </c>
      <c r="AB293">
        <v>0</v>
      </c>
      <c r="AC293">
        <v>0</v>
      </c>
      <c r="AD293" t="s">
        <v>51</v>
      </c>
      <c r="AH293" s="2">
        <v>44502.71597222222</v>
      </c>
      <c r="AI293">
        <v>0</v>
      </c>
      <c r="AJ293">
        <v>0</v>
      </c>
      <c r="AK293" s="30" t="str">
        <f ca="1">VLOOKUP(T293,'Auxiliar Vendas'!E:F,2,FALSE)</f>
        <v>Produto 15</v>
      </c>
      <c r="AL293" s="31">
        <f ca="1">U293*VLOOKUP(T293,'Auxiliar Vendas'!E:G,3,FALSE)</f>
        <v>99.399999999999991</v>
      </c>
    </row>
    <row r="294" spans="1:38">
      <c r="A294">
        <v>15293269245</v>
      </c>
      <c r="B294">
        <v>97</v>
      </c>
      <c r="D294" s="1">
        <v>44502</v>
      </c>
      <c r="E294">
        <v>15293238499</v>
      </c>
      <c r="F294" t="str">
        <f ca="1">VLOOKUP(RANDBETWEEN(1,20),'DBO Compras'!AA:AC,3,0)</f>
        <v>Comprador 20</v>
      </c>
      <c r="G294" t="s">
        <v>170</v>
      </c>
      <c r="H294" t="s">
        <v>171</v>
      </c>
      <c r="I294" t="s">
        <v>172</v>
      </c>
      <c r="J294" t="s">
        <v>143</v>
      </c>
      <c r="K294" t="s">
        <v>173</v>
      </c>
      <c r="L294" t="s">
        <v>40</v>
      </c>
      <c r="O294">
        <v>0</v>
      </c>
      <c r="P294">
        <v>0</v>
      </c>
      <c r="R294" t="s">
        <v>42</v>
      </c>
      <c r="S294">
        <v>15016099089</v>
      </c>
      <c r="T294" t="str">
        <f ca="1">VLOOKUP(RANDBETWEEN(1,17),'Auxiliar Vendas'!D:G,2,0)</f>
        <v>Produto 05</v>
      </c>
      <c r="U294">
        <v>200</v>
      </c>
      <c r="V294">
        <v>21.75</v>
      </c>
      <c r="W294">
        <v>0</v>
      </c>
      <c r="X294">
        <v>16.804400000000001</v>
      </c>
      <c r="Y294" s="3">
        <v>4350</v>
      </c>
      <c r="Z294">
        <v>74</v>
      </c>
      <c r="AA294" t="s">
        <v>79</v>
      </c>
      <c r="AB294">
        <v>0</v>
      </c>
      <c r="AC294">
        <v>0</v>
      </c>
      <c r="AD294" t="s">
        <v>51</v>
      </c>
      <c r="AH294" s="2">
        <v>44502.585416666669</v>
      </c>
      <c r="AI294">
        <v>0</v>
      </c>
      <c r="AJ294">
        <v>0</v>
      </c>
      <c r="AK294" s="30" t="str">
        <f ca="1">VLOOKUP(T294,'Auxiliar Vendas'!E:F,2,FALSE)</f>
        <v>Produto 05</v>
      </c>
      <c r="AL294" s="31">
        <f ca="1">U294*VLOOKUP(T294,'Auxiliar Vendas'!E:G,3,FALSE)</f>
        <v>120</v>
      </c>
    </row>
    <row r="295" spans="1:38">
      <c r="A295">
        <v>15293269245</v>
      </c>
      <c r="B295">
        <v>97</v>
      </c>
      <c r="D295" s="1">
        <v>44502</v>
      </c>
      <c r="E295">
        <v>15293238499</v>
      </c>
      <c r="F295" t="str">
        <f ca="1">VLOOKUP(RANDBETWEEN(1,20),'DBO Compras'!AA:AC,3,0)</f>
        <v>Comprador 14</v>
      </c>
      <c r="G295" t="s">
        <v>170</v>
      </c>
      <c r="H295" t="s">
        <v>171</v>
      </c>
      <c r="I295" t="s">
        <v>172</v>
      </c>
      <c r="J295" t="s">
        <v>143</v>
      </c>
      <c r="K295" t="s">
        <v>173</v>
      </c>
      <c r="L295" t="s">
        <v>40</v>
      </c>
      <c r="O295">
        <v>0</v>
      </c>
      <c r="P295">
        <v>0</v>
      </c>
      <c r="R295" t="s">
        <v>42</v>
      </c>
      <c r="S295">
        <v>15016087271</v>
      </c>
      <c r="T295" t="str">
        <f ca="1">VLOOKUP(RANDBETWEEN(1,17),'Auxiliar Vendas'!D:G,2,0)</f>
        <v>Produto 15</v>
      </c>
      <c r="U295">
        <v>70</v>
      </c>
      <c r="V295">
        <v>18.649999999999999</v>
      </c>
      <c r="W295">
        <v>0</v>
      </c>
      <c r="X295">
        <v>14.4596</v>
      </c>
      <c r="Y295" s="3">
        <v>1305.5</v>
      </c>
      <c r="Z295">
        <v>74</v>
      </c>
      <c r="AA295" t="s">
        <v>64</v>
      </c>
      <c r="AB295">
        <v>0</v>
      </c>
      <c r="AC295">
        <v>0</v>
      </c>
      <c r="AD295" t="s">
        <v>51</v>
      </c>
      <c r="AH295" s="2">
        <v>44502.585416666669</v>
      </c>
      <c r="AI295">
        <v>0</v>
      </c>
      <c r="AJ295">
        <v>0</v>
      </c>
      <c r="AK295" s="30" t="str">
        <f ca="1">VLOOKUP(T295,'Auxiliar Vendas'!E:F,2,FALSE)</f>
        <v>Produto 15</v>
      </c>
      <c r="AL295" s="31">
        <f ca="1">U295*VLOOKUP(T295,'Auxiliar Vendas'!E:G,3,FALSE)</f>
        <v>99.399999999999991</v>
      </c>
    </row>
    <row r="296" spans="1:38">
      <c r="A296">
        <v>15293269245</v>
      </c>
      <c r="B296">
        <v>97</v>
      </c>
      <c r="D296" s="1">
        <v>44502</v>
      </c>
      <c r="E296">
        <v>15293238499</v>
      </c>
      <c r="F296" t="str">
        <f ca="1">VLOOKUP(RANDBETWEEN(1,20),'DBO Compras'!AA:AC,3,0)</f>
        <v>Comprador 16</v>
      </c>
      <c r="G296" t="s">
        <v>170</v>
      </c>
      <c r="H296" t="s">
        <v>171</v>
      </c>
      <c r="I296" t="s">
        <v>172</v>
      </c>
      <c r="J296" t="s">
        <v>143</v>
      </c>
      <c r="K296" t="s">
        <v>173</v>
      </c>
      <c r="L296" t="s">
        <v>40</v>
      </c>
      <c r="O296">
        <v>0</v>
      </c>
      <c r="P296">
        <v>0</v>
      </c>
      <c r="R296" t="s">
        <v>42</v>
      </c>
      <c r="S296">
        <v>15015964159</v>
      </c>
      <c r="T296" t="str">
        <f ca="1">VLOOKUP(RANDBETWEEN(1,17),'Auxiliar Vendas'!D:G,2,0)</f>
        <v>Produto 13</v>
      </c>
      <c r="U296">
        <v>100</v>
      </c>
      <c r="V296">
        <v>16.7</v>
      </c>
      <c r="W296">
        <v>0</v>
      </c>
      <c r="X296">
        <v>10.285</v>
      </c>
      <c r="Y296" s="3">
        <v>1670</v>
      </c>
      <c r="Z296">
        <v>74</v>
      </c>
      <c r="AA296" t="s">
        <v>169</v>
      </c>
      <c r="AB296">
        <v>0</v>
      </c>
      <c r="AC296">
        <v>0</v>
      </c>
      <c r="AD296" t="s">
        <v>51</v>
      </c>
      <c r="AH296" s="2">
        <v>44502.585416666669</v>
      </c>
      <c r="AI296">
        <v>0</v>
      </c>
      <c r="AJ296">
        <v>0</v>
      </c>
      <c r="AK296" s="30" t="str">
        <f ca="1">VLOOKUP(T296,'Auxiliar Vendas'!E:F,2,FALSE)</f>
        <v>Produto 13</v>
      </c>
      <c r="AL296" s="31">
        <f ca="1">U296*VLOOKUP(T296,'Auxiliar Vendas'!E:G,3,FALSE)</f>
        <v>140</v>
      </c>
    </row>
    <row r="297" spans="1:38">
      <c r="A297">
        <v>15293269245</v>
      </c>
      <c r="B297">
        <v>97</v>
      </c>
      <c r="D297" s="1">
        <v>44502</v>
      </c>
      <c r="E297">
        <v>15293238499</v>
      </c>
      <c r="F297" t="str">
        <f ca="1">VLOOKUP(RANDBETWEEN(1,20),'DBO Compras'!AA:AC,3,0)</f>
        <v>Comprador 04</v>
      </c>
      <c r="G297" t="s">
        <v>170</v>
      </c>
      <c r="H297" t="s">
        <v>171</v>
      </c>
      <c r="I297" t="s">
        <v>172</v>
      </c>
      <c r="J297" t="s">
        <v>143</v>
      </c>
      <c r="K297" t="s">
        <v>173</v>
      </c>
      <c r="L297" t="s">
        <v>40</v>
      </c>
      <c r="O297">
        <v>0</v>
      </c>
      <c r="P297">
        <v>0</v>
      </c>
      <c r="R297" t="s">
        <v>42</v>
      </c>
      <c r="S297">
        <v>15016043939</v>
      </c>
      <c r="T297" t="str">
        <f ca="1">VLOOKUP(RANDBETWEEN(1,17),'Auxiliar Vendas'!D:G,2,0)</f>
        <v>Produto 09</v>
      </c>
      <c r="U297">
        <v>200</v>
      </c>
      <c r="V297">
        <v>14.25</v>
      </c>
      <c r="W297">
        <v>0</v>
      </c>
      <c r="X297">
        <v>10.747</v>
      </c>
      <c r="Y297" s="3">
        <v>2850</v>
      </c>
      <c r="Z297">
        <v>74</v>
      </c>
      <c r="AA297" t="s">
        <v>50</v>
      </c>
      <c r="AB297">
        <v>0</v>
      </c>
      <c r="AC297">
        <v>0</v>
      </c>
      <c r="AD297" t="s">
        <v>51</v>
      </c>
      <c r="AH297" s="2">
        <v>44502.585416666669</v>
      </c>
      <c r="AI297">
        <v>0</v>
      </c>
      <c r="AJ297">
        <v>0</v>
      </c>
      <c r="AK297" s="30" t="str">
        <f ca="1">VLOOKUP(T297,'Auxiliar Vendas'!E:F,2,FALSE)</f>
        <v>Produto 09</v>
      </c>
      <c r="AL297" s="31">
        <f ca="1">U297*VLOOKUP(T297,'Auxiliar Vendas'!E:G,3,FALSE)</f>
        <v>220.00000000000003</v>
      </c>
    </row>
    <row r="298" spans="1:38">
      <c r="A298">
        <v>15267243928</v>
      </c>
      <c r="B298">
        <v>19</v>
      </c>
      <c r="D298" s="1">
        <v>44503</v>
      </c>
      <c r="E298">
        <v>15179581888</v>
      </c>
      <c r="F298" t="str">
        <f ca="1">VLOOKUP(RANDBETWEEN(1,20),'DBO Compras'!AA:AC,3,0)</f>
        <v>Comprador 18</v>
      </c>
      <c r="G298" t="s">
        <v>54</v>
      </c>
      <c r="H298" t="s">
        <v>55</v>
      </c>
      <c r="I298" t="s">
        <v>56</v>
      </c>
      <c r="J298" t="s">
        <v>39</v>
      </c>
      <c r="K298">
        <v>81350610</v>
      </c>
      <c r="L298" t="s">
        <v>40</v>
      </c>
      <c r="M298" t="s">
        <v>57</v>
      </c>
      <c r="N298">
        <v>41996849234</v>
      </c>
      <c r="O298">
        <v>0</v>
      </c>
      <c r="P298">
        <v>0</v>
      </c>
      <c r="R298" t="s">
        <v>42</v>
      </c>
      <c r="S298">
        <v>15016093155</v>
      </c>
      <c r="T298" t="str">
        <f ca="1">VLOOKUP(RANDBETWEEN(1,17),'Auxiliar Vendas'!D:G,2,0)</f>
        <v>Produto 07</v>
      </c>
      <c r="U298">
        <v>500</v>
      </c>
      <c r="V298">
        <v>17.8</v>
      </c>
      <c r="W298">
        <v>0</v>
      </c>
      <c r="X298">
        <v>14.4596</v>
      </c>
      <c r="Y298" s="3">
        <v>8900</v>
      </c>
      <c r="Z298">
        <v>41</v>
      </c>
      <c r="AA298" t="s">
        <v>65</v>
      </c>
      <c r="AB298">
        <v>0</v>
      </c>
      <c r="AC298">
        <v>0</v>
      </c>
      <c r="AH298" s="2">
        <v>44503.611111111109</v>
      </c>
      <c r="AI298">
        <v>0</v>
      </c>
      <c r="AJ298">
        <v>0</v>
      </c>
      <c r="AK298" s="30" t="str">
        <f ca="1">VLOOKUP(T298,'Auxiliar Vendas'!E:F,2,FALSE)</f>
        <v>Produto 07</v>
      </c>
      <c r="AL298" s="31">
        <f ca="1">U298*VLOOKUP(T298,'Auxiliar Vendas'!E:G,3,FALSE)</f>
        <v>550</v>
      </c>
    </row>
    <row r="299" spans="1:38">
      <c r="A299">
        <v>15267243928</v>
      </c>
      <c r="B299">
        <v>19</v>
      </c>
      <c r="D299" s="1">
        <v>44503</v>
      </c>
      <c r="E299">
        <v>15179581888</v>
      </c>
      <c r="F299" t="str">
        <f ca="1">VLOOKUP(RANDBETWEEN(1,20),'DBO Compras'!AA:AC,3,0)</f>
        <v>Comprador 20</v>
      </c>
      <c r="G299" t="s">
        <v>54</v>
      </c>
      <c r="H299" t="s">
        <v>55</v>
      </c>
      <c r="I299" t="s">
        <v>56</v>
      </c>
      <c r="J299" t="s">
        <v>39</v>
      </c>
      <c r="K299">
        <v>81350610</v>
      </c>
      <c r="L299" t="s">
        <v>40</v>
      </c>
      <c r="M299" t="s">
        <v>57</v>
      </c>
      <c r="N299">
        <v>41996849234</v>
      </c>
      <c r="O299">
        <v>0</v>
      </c>
      <c r="P299">
        <v>0</v>
      </c>
      <c r="R299" t="s">
        <v>42</v>
      </c>
      <c r="S299">
        <v>15016043939</v>
      </c>
      <c r="T299" t="str">
        <f ca="1">VLOOKUP(RANDBETWEEN(1,17),'Auxiliar Vendas'!D:G,2,0)</f>
        <v>Produto 05</v>
      </c>
      <c r="U299">
        <v>280</v>
      </c>
      <c r="V299">
        <v>12.9</v>
      </c>
      <c r="W299">
        <v>0</v>
      </c>
      <c r="X299">
        <v>10.747</v>
      </c>
      <c r="Y299" s="3">
        <v>3612</v>
      </c>
      <c r="Z299">
        <v>41</v>
      </c>
      <c r="AA299" t="s">
        <v>50</v>
      </c>
      <c r="AB299">
        <v>0</v>
      </c>
      <c r="AC299">
        <v>0</v>
      </c>
      <c r="AH299" s="2">
        <v>44503.611111111109</v>
      </c>
      <c r="AI299">
        <v>0</v>
      </c>
      <c r="AJ299">
        <v>0</v>
      </c>
      <c r="AK299" s="30" t="str">
        <f ca="1">VLOOKUP(T299,'Auxiliar Vendas'!E:F,2,FALSE)</f>
        <v>Produto 05</v>
      </c>
      <c r="AL299" s="31">
        <f ca="1">U299*VLOOKUP(T299,'Auxiliar Vendas'!E:G,3,FALSE)</f>
        <v>168</v>
      </c>
    </row>
    <row r="300" spans="1:38">
      <c r="A300">
        <v>15267243928</v>
      </c>
      <c r="B300">
        <v>19</v>
      </c>
      <c r="D300" s="1">
        <v>44503</v>
      </c>
      <c r="E300">
        <v>15179581888</v>
      </c>
      <c r="F300" t="str">
        <f ca="1">VLOOKUP(RANDBETWEEN(1,20),'DBO Compras'!AA:AC,3,0)</f>
        <v>Comprador 14</v>
      </c>
      <c r="G300" t="s">
        <v>54</v>
      </c>
      <c r="H300" t="s">
        <v>55</v>
      </c>
      <c r="I300" t="s">
        <v>56</v>
      </c>
      <c r="J300" t="s">
        <v>39</v>
      </c>
      <c r="K300">
        <v>81350610</v>
      </c>
      <c r="L300" t="s">
        <v>40</v>
      </c>
      <c r="M300" t="s">
        <v>57</v>
      </c>
      <c r="N300">
        <v>41996849234</v>
      </c>
      <c r="O300">
        <v>0</v>
      </c>
      <c r="P300">
        <v>0</v>
      </c>
      <c r="R300" t="s">
        <v>42</v>
      </c>
      <c r="S300">
        <v>15015918644</v>
      </c>
      <c r="T300" t="str">
        <f ca="1">VLOOKUP(RANDBETWEEN(1,17),'Auxiliar Vendas'!D:G,2,0)</f>
        <v>Produto 09</v>
      </c>
      <c r="U300">
        <v>500</v>
      </c>
      <c r="V300">
        <v>7.35</v>
      </c>
      <c r="W300">
        <v>0</v>
      </c>
      <c r="X300">
        <v>5.61</v>
      </c>
      <c r="Y300" s="3">
        <v>3675</v>
      </c>
      <c r="Z300">
        <v>41</v>
      </c>
      <c r="AA300" t="s">
        <v>59</v>
      </c>
      <c r="AB300">
        <v>0</v>
      </c>
      <c r="AC300">
        <v>0</v>
      </c>
      <c r="AH300" s="2">
        <v>44503.611111111109</v>
      </c>
      <c r="AI300">
        <v>0</v>
      </c>
      <c r="AJ300">
        <v>0</v>
      </c>
      <c r="AK300" s="30" t="str">
        <f ca="1">VLOOKUP(T300,'Auxiliar Vendas'!E:F,2,FALSE)</f>
        <v>Produto 09</v>
      </c>
      <c r="AL300" s="31">
        <f ca="1">U300*VLOOKUP(T300,'Auxiliar Vendas'!E:G,3,FALSE)</f>
        <v>550</v>
      </c>
    </row>
    <row r="301" spans="1:38">
      <c r="A301">
        <v>15267243928</v>
      </c>
      <c r="B301">
        <v>19</v>
      </c>
      <c r="D301" s="1">
        <v>44503</v>
      </c>
      <c r="E301">
        <v>15179581888</v>
      </c>
      <c r="F301" t="str">
        <f ca="1">VLOOKUP(RANDBETWEEN(1,20),'DBO Compras'!AA:AC,3,0)</f>
        <v>Comprador 06</v>
      </c>
      <c r="G301" t="s">
        <v>54</v>
      </c>
      <c r="H301" t="s">
        <v>55</v>
      </c>
      <c r="I301" t="s">
        <v>56</v>
      </c>
      <c r="J301" t="s">
        <v>39</v>
      </c>
      <c r="K301">
        <v>81350610</v>
      </c>
      <c r="L301" t="s">
        <v>40</v>
      </c>
      <c r="M301" t="s">
        <v>57</v>
      </c>
      <c r="N301">
        <v>41996849234</v>
      </c>
      <c r="O301">
        <v>0</v>
      </c>
      <c r="P301">
        <v>0</v>
      </c>
      <c r="R301" t="s">
        <v>42</v>
      </c>
      <c r="S301">
        <v>15015511068</v>
      </c>
      <c r="T301" t="str">
        <f ca="1">VLOOKUP(RANDBETWEEN(1,17),'Auxiliar Vendas'!D:G,2,0)</f>
        <v>Produto 17</v>
      </c>
      <c r="U301">
        <v>200</v>
      </c>
      <c r="V301">
        <v>16</v>
      </c>
      <c r="W301">
        <v>0</v>
      </c>
      <c r="X301">
        <v>10.23</v>
      </c>
      <c r="Y301" s="3">
        <v>3200</v>
      </c>
      <c r="Z301">
        <v>41</v>
      </c>
      <c r="AA301" t="s">
        <v>53</v>
      </c>
      <c r="AB301">
        <v>0</v>
      </c>
      <c r="AC301">
        <v>0</v>
      </c>
      <c r="AH301" s="2">
        <v>44503.611111111109</v>
      </c>
      <c r="AI301">
        <v>0</v>
      </c>
      <c r="AJ301">
        <v>0</v>
      </c>
      <c r="AK301" s="30" t="str">
        <f ca="1">VLOOKUP(T301,'Auxiliar Vendas'!E:F,2,FALSE)</f>
        <v>Produto 17</v>
      </c>
      <c r="AL301" s="31">
        <f ca="1">U301*VLOOKUP(T301,'Auxiliar Vendas'!E:G,3,FALSE)</f>
        <v>284</v>
      </c>
    </row>
    <row r="302" spans="1:38">
      <c r="A302">
        <v>15290595341</v>
      </c>
      <c r="B302">
        <v>81</v>
      </c>
      <c r="D302" s="1">
        <v>44504</v>
      </c>
      <c r="E302">
        <v>15179608501</v>
      </c>
      <c r="F302" t="str">
        <f ca="1">VLOOKUP(RANDBETWEEN(1,20),'DBO Compras'!AA:AC,3,0)</f>
        <v>Comprador 18</v>
      </c>
      <c r="G302" t="s">
        <v>60</v>
      </c>
      <c r="H302" t="s">
        <v>61</v>
      </c>
      <c r="I302" t="s">
        <v>62</v>
      </c>
      <c r="J302" t="s">
        <v>39</v>
      </c>
      <c r="K302">
        <v>82720070</v>
      </c>
      <c r="L302" t="s">
        <v>40</v>
      </c>
      <c r="M302" t="s">
        <v>63</v>
      </c>
      <c r="N302">
        <v>41992354686</v>
      </c>
      <c r="O302">
        <v>0</v>
      </c>
      <c r="P302">
        <v>0</v>
      </c>
      <c r="R302" t="s">
        <v>42</v>
      </c>
      <c r="S302">
        <v>15016099089</v>
      </c>
      <c r="T302" t="str">
        <f ca="1">VLOOKUP(RANDBETWEEN(1,17),'Auxiliar Vendas'!D:G,2,0)</f>
        <v>Produto 10</v>
      </c>
      <c r="U302">
        <v>150</v>
      </c>
      <c r="V302">
        <v>21.3</v>
      </c>
      <c r="W302">
        <v>0</v>
      </c>
      <c r="X302">
        <v>16.804400000000001</v>
      </c>
      <c r="Y302" s="3">
        <v>3195</v>
      </c>
      <c r="Z302">
        <v>42</v>
      </c>
      <c r="AA302" t="s">
        <v>79</v>
      </c>
      <c r="AB302">
        <v>0</v>
      </c>
      <c r="AC302">
        <v>0</v>
      </c>
      <c r="AD302" t="s">
        <v>51</v>
      </c>
      <c r="AH302" s="2">
        <v>44504.439583333333</v>
      </c>
      <c r="AI302">
        <v>0</v>
      </c>
      <c r="AJ302">
        <v>0</v>
      </c>
      <c r="AK302" s="30" t="str">
        <f ca="1">VLOOKUP(T302,'Auxiliar Vendas'!E:F,2,FALSE)</f>
        <v>Produto 10</v>
      </c>
      <c r="AL302" s="31">
        <f ca="1">U302*VLOOKUP(T302,'Auxiliar Vendas'!E:G,3,FALSE)</f>
        <v>165</v>
      </c>
    </row>
    <row r="303" spans="1:38">
      <c r="A303">
        <v>15265317233</v>
      </c>
      <c r="B303">
        <v>10</v>
      </c>
      <c r="D303" s="1">
        <v>44505</v>
      </c>
      <c r="E303">
        <v>15179701182</v>
      </c>
      <c r="F303" t="str">
        <f ca="1">VLOOKUP(RANDBETWEEN(1,20),'DBO Compras'!AA:AC,3,0)</f>
        <v>Comprador 20</v>
      </c>
      <c r="G303" t="s">
        <v>140</v>
      </c>
      <c r="H303" t="s">
        <v>141</v>
      </c>
      <c r="I303" t="s">
        <v>142</v>
      </c>
      <c r="J303" t="s">
        <v>143</v>
      </c>
      <c r="K303">
        <v>84050290</v>
      </c>
      <c r="L303" t="s">
        <v>40</v>
      </c>
      <c r="M303" t="s">
        <v>144</v>
      </c>
      <c r="N303">
        <v>42999659968</v>
      </c>
      <c r="O303">
        <v>0</v>
      </c>
      <c r="P303">
        <v>0</v>
      </c>
      <c r="R303" t="s">
        <v>42</v>
      </c>
      <c r="S303">
        <v>15015911944</v>
      </c>
      <c r="T303" t="str">
        <f ca="1">VLOOKUP(RANDBETWEEN(1,17),'Auxiliar Vendas'!D:G,2,0)</f>
        <v>Produto 10</v>
      </c>
      <c r="U303">
        <v>272</v>
      </c>
      <c r="V303">
        <v>13.5474</v>
      </c>
      <c r="W303">
        <v>0</v>
      </c>
      <c r="X303">
        <v>10.285</v>
      </c>
      <c r="Y303" s="3">
        <v>3684.8928000000001</v>
      </c>
      <c r="Z303">
        <v>46</v>
      </c>
      <c r="AA303" t="s">
        <v>78</v>
      </c>
      <c r="AB303">
        <v>0</v>
      </c>
      <c r="AC303">
        <v>0</v>
      </c>
      <c r="AD303" t="s">
        <v>51</v>
      </c>
      <c r="AH303" s="2">
        <v>44505.606944444444</v>
      </c>
      <c r="AI303">
        <v>0</v>
      </c>
      <c r="AJ303">
        <v>0</v>
      </c>
      <c r="AK303" s="30" t="str">
        <f ca="1">VLOOKUP(T303,'Auxiliar Vendas'!E:F,2,FALSE)</f>
        <v>Produto 10</v>
      </c>
      <c r="AL303" s="31">
        <f ca="1">U303*VLOOKUP(T303,'Auxiliar Vendas'!E:G,3,FALSE)</f>
        <v>299.20000000000005</v>
      </c>
    </row>
    <row r="304" spans="1:38">
      <c r="A304">
        <v>15265317233</v>
      </c>
      <c r="B304">
        <v>10</v>
      </c>
      <c r="D304" s="1">
        <v>44505</v>
      </c>
      <c r="E304">
        <v>15179701182</v>
      </c>
      <c r="F304" t="str">
        <f ca="1">VLOOKUP(RANDBETWEEN(1,20),'DBO Compras'!AA:AC,3,0)</f>
        <v>Comprador 17</v>
      </c>
      <c r="G304" t="s">
        <v>140</v>
      </c>
      <c r="H304" t="s">
        <v>141</v>
      </c>
      <c r="I304" t="s">
        <v>142</v>
      </c>
      <c r="J304" t="s">
        <v>143</v>
      </c>
      <c r="K304">
        <v>84050290</v>
      </c>
      <c r="L304" t="s">
        <v>40</v>
      </c>
      <c r="M304" t="s">
        <v>144</v>
      </c>
      <c r="N304">
        <v>42999659968</v>
      </c>
      <c r="O304">
        <v>0</v>
      </c>
      <c r="P304">
        <v>0</v>
      </c>
      <c r="R304" t="s">
        <v>42</v>
      </c>
      <c r="S304">
        <v>15016080333</v>
      </c>
      <c r="T304" t="str">
        <f ca="1">VLOOKUP(RANDBETWEEN(1,17),'Auxiliar Vendas'!D:G,2,0)</f>
        <v>Produto 04</v>
      </c>
      <c r="U304">
        <v>20</v>
      </c>
      <c r="V304">
        <v>14.6</v>
      </c>
      <c r="W304">
        <v>0</v>
      </c>
      <c r="X304">
        <v>10.747</v>
      </c>
      <c r="Y304">
        <v>292</v>
      </c>
      <c r="Z304">
        <v>46</v>
      </c>
      <c r="AA304" t="s">
        <v>80</v>
      </c>
      <c r="AB304">
        <v>0</v>
      </c>
      <c r="AC304">
        <v>0</v>
      </c>
      <c r="AD304" t="s">
        <v>51</v>
      </c>
      <c r="AH304" s="2">
        <v>44505.606944444444</v>
      </c>
      <c r="AI304">
        <v>0</v>
      </c>
      <c r="AJ304">
        <v>0</v>
      </c>
      <c r="AK304" s="30" t="str">
        <f ca="1">VLOOKUP(T304,'Auxiliar Vendas'!E:F,2,FALSE)</f>
        <v>Produto 04</v>
      </c>
      <c r="AL304" s="31">
        <f ca="1">U304*VLOOKUP(T304,'Auxiliar Vendas'!E:G,3,FALSE)</f>
        <v>12</v>
      </c>
    </row>
    <row r="305" spans="1:38">
      <c r="A305">
        <v>15265317233</v>
      </c>
      <c r="B305">
        <v>10</v>
      </c>
      <c r="D305" s="1">
        <v>44505</v>
      </c>
      <c r="E305">
        <v>15179701182</v>
      </c>
      <c r="F305" t="str">
        <f ca="1">VLOOKUP(RANDBETWEEN(1,20),'DBO Compras'!AA:AC,3,0)</f>
        <v>Comprador 20</v>
      </c>
      <c r="G305" t="s">
        <v>140</v>
      </c>
      <c r="H305" t="s">
        <v>141</v>
      </c>
      <c r="I305" t="s">
        <v>142</v>
      </c>
      <c r="J305" t="s">
        <v>143</v>
      </c>
      <c r="K305">
        <v>84050290</v>
      </c>
      <c r="L305" t="s">
        <v>40</v>
      </c>
      <c r="M305" t="s">
        <v>144</v>
      </c>
      <c r="N305">
        <v>42999659968</v>
      </c>
      <c r="O305">
        <v>0</v>
      </c>
      <c r="P305">
        <v>0</v>
      </c>
      <c r="R305" t="s">
        <v>42</v>
      </c>
      <c r="S305">
        <v>15016087271</v>
      </c>
      <c r="T305" t="str">
        <f ca="1">VLOOKUP(RANDBETWEEN(1,17),'Auxiliar Vendas'!D:G,2,0)</f>
        <v>Produto 08</v>
      </c>
      <c r="U305">
        <v>30</v>
      </c>
      <c r="V305">
        <v>18.04</v>
      </c>
      <c r="W305">
        <v>0</v>
      </c>
      <c r="X305">
        <v>14.4596</v>
      </c>
      <c r="Y305">
        <v>541.20000000000005</v>
      </c>
      <c r="Z305">
        <v>46</v>
      </c>
      <c r="AA305" t="s">
        <v>64</v>
      </c>
      <c r="AB305">
        <v>0</v>
      </c>
      <c r="AC305">
        <v>0</v>
      </c>
      <c r="AD305" t="s">
        <v>51</v>
      </c>
      <c r="AH305" s="2">
        <v>44505.606944444444</v>
      </c>
      <c r="AI305">
        <v>0</v>
      </c>
      <c r="AJ305">
        <v>0</v>
      </c>
      <c r="AK305" s="30" t="str">
        <f ca="1">VLOOKUP(T305,'Auxiliar Vendas'!E:F,2,FALSE)</f>
        <v>Produto 08</v>
      </c>
      <c r="AL305" s="31">
        <f ca="1">U305*VLOOKUP(T305,'Auxiliar Vendas'!E:G,3,FALSE)</f>
        <v>33</v>
      </c>
    </row>
    <row r="306" spans="1:38">
      <c r="A306">
        <v>15265317233</v>
      </c>
      <c r="B306">
        <v>10</v>
      </c>
      <c r="D306" s="1">
        <v>44505</v>
      </c>
      <c r="E306">
        <v>15179701182</v>
      </c>
      <c r="F306" t="str">
        <f ca="1">VLOOKUP(RANDBETWEEN(1,20),'DBO Compras'!AA:AC,3,0)</f>
        <v>Comprador 12</v>
      </c>
      <c r="G306" t="s">
        <v>140</v>
      </c>
      <c r="H306" t="s">
        <v>141</v>
      </c>
      <c r="I306" t="s">
        <v>142</v>
      </c>
      <c r="J306" t="s">
        <v>143</v>
      </c>
      <c r="K306">
        <v>84050290</v>
      </c>
      <c r="L306" t="s">
        <v>40</v>
      </c>
      <c r="M306" t="s">
        <v>144</v>
      </c>
      <c r="N306">
        <v>42999659968</v>
      </c>
      <c r="O306">
        <v>0</v>
      </c>
      <c r="P306">
        <v>0</v>
      </c>
      <c r="R306" t="s">
        <v>42</v>
      </c>
      <c r="S306">
        <v>15015886084</v>
      </c>
      <c r="T306" t="str">
        <f ca="1">VLOOKUP(RANDBETWEEN(1,17),'Auxiliar Vendas'!D:G,2,0)</f>
        <v>Produto 08</v>
      </c>
      <c r="U306">
        <v>40</v>
      </c>
      <c r="V306">
        <v>21</v>
      </c>
      <c r="W306">
        <v>0</v>
      </c>
      <c r="X306">
        <v>15.996</v>
      </c>
      <c r="Y306">
        <v>840</v>
      </c>
      <c r="Z306">
        <v>46</v>
      </c>
      <c r="AA306" t="s">
        <v>66</v>
      </c>
      <c r="AB306">
        <v>0</v>
      </c>
      <c r="AC306">
        <v>0</v>
      </c>
      <c r="AD306" t="s">
        <v>51</v>
      </c>
      <c r="AH306" s="2">
        <v>44505.606944444444</v>
      </c>
      <c r="AI306">
        <v>0</v>
      </c>
      <c r="AJ306">
        <v>0</v>
      </c>
      <c r="AK306" s="30" t="str">
        <f ca="1">VLOOKUP(T306,'Auxiliar Vendas'!E:F,2,FALSE)</f>
        <v>Produto 08</v>
      </c>
      <c r="AL306" s="31">
        <f ca="1">U306*VLOOKUP(T306,'Auxiliar Vendas'!E:G,3,FALSE)</f>
        <v>44</v>
      </c>
    </row>
    <row r="307" spans="1:38">
      <c r="A307">
        <v>15265317233</v>
      </c>
      <c r="B307">
        <v>10</v>
      </c>
      <c r="D307" s="1">
        <v>44505</v>
      </c>
      <c r="E307">
        <v>15179701182</v>
      </c>
      <c r="F307" t="str">
        <f ca="1">VLOOKUP(RANDBETWEEN(1,20),'DBO Compras'!AA:AC,3,0)</f>
        <v>Comprador 02</v>
      </c>
      <c r="G307" t="s">
        <v>140</v>
      </c>
      <c r="H307" t="s">
        <v>141</v>
      </c>
      <c r="I307" t="s">
        <v>142</v>
      </c>
      <c r="J307" t="s">
        <v>143</v>
      </c>
      <c r="K307">
        <v>84050290</v>
      </c>
      <c r="L307" t="s">
        <v>40</v>
      </c>
      <c r="M307" t="s">
        <v>144</v>
      </c>
      <c r="N307">
        <v>42999659968</v>
      </c>
      <c r="O307">
        <v>0</v>
      </c>
      <c r="P307">
        <v>0</v>
      </c>
      <c r="R307" t="s">
        <v>42</v>
      </c>
      <c r="S307">
        <v>15139667431</v>
      </c>
      <c r="T307" t="str">
        <f ca="1">VLOOKUP(RANDBETWEEN(1,17),'Auxiliar Vendas'!D:G,2,0)</f>
        <v>Produto 02</v>
      </c>
      <c r="U307">
        <v>30</v>
      </c>
      <c r="V307">
        <v>20.8</v>
      </c>
      <c r="W307">
        <v>0</v>
      </c>
      <c r="X307">
        <v>0</v>
      </c>
      <c r="Y307">
        <v>624</v>
      </c>
      <c r="Z307">
        <v>46</v>
      </c>
      <c r="AA307" t="s">
        <v>145</v>
      </c>
      <c r="AB307">
        <v>0</v>
      </c>
      <c r="AC307">
        <v>0</v>
      </c>
      <c r="AD307" t="s">
        <v>51</v>
      </c>
      <c r="AH307" s="2">
        <v>44505.606944444444</v>
      </c>
      <c r="AI307">
        <v>0</v>
      </c>
      <c r="AJ307">
        <v>0</v>
      </c>
      <c r="AK307" s="30" t="str">
        <f ca="1">VLOOKUP(T307,'Auxiliar Vendas'!E:F,2,FALSE)</f>
        <v>Produto 02</v>
      </c>
      <c r="AL307" s="31">
        <f ca="1">U307*VLOOKUP(T307,'Auxiliar Vendas'!E:G,3,FALSE)</f>
        <v>8.1000000000000014</v>
      </c>
    </row>
    <row r="308" spans="1:38">
      <c r="A308">
        <v>15265317233</v>
      </c>
      <c r="B308">
        <v>10</v>
      </c>
      <c r="D308" s="1">
        <v>44505</v>
      </c>
      <c r="E308">
        <v>15179701182</v>
      </c>
      <c r="F308" t="str">
        <f ca="1">VLOOKUP(RANDBETWEEN(1,20),'DBO Compras'!AA:AC,3,0)</f>
        <v>Comprador 15</v>
      </c>
      <c r="G308" t="s">
        <v>140</v>
      </c>
      <c r="H308" t="s">
        <v>141</v>
      </c>
      <c r="I308" t="s">
        <v>142</v>
      </c>
      <c r="J308" t="s">
        <v>143</v>
      </c>
      <c r="K308">
        <v>84050290</v>
      </c>
      <c r="L308" t="s">
        <v>40</v>
      </c>
      <c r="M308" t="s">
        <v>144</v>
      </c>
      <c r="N308">
        <v>42999659968</v>
      </c>
      <c r="O308">
        <v>0</v>
      </c>
      <c r="P308">
        <v>0</v>
      </c>
      <c r="R308" t="s">
        <v>42</v>
      </c>
      <c r="S308">
        <v>15139727614</v>
      </c>
      <c r="T308" t="str">
        <f ca="1">VLOOKUP(RANDBETWEEN(1,17),'Auxiliar Vendas'!D:G,2,0)</f>
        <v>Produto 15</v>
      </c>
      <c r="U308">
        <v>50</v>
      </c>
      <c r="V308">
        <v>23.7</v>
      </c>
      <c r="W308">
        <v>0</v>
      </c>
      <c r="X308">
        <v>0</v>
      </c>
      <c r="Y308" s="3">
        <v>1185</v>
      </c>
      <c r="Z308">
        <v>46</v>
      </c>
      <c r="AA308" t="s">
        <v>146</v>
      </c>
      <c r="AB308">
        <v>0</v>
      </c>
      <c r="AC308">
        <v>0</v>
      </c>
      <c r="AD308" t="s">
        <v>51</v>
      </c>
      <c r="AH308" s="2">
        <v>44505.606944444444</v>
      </c>
      <c r="AI308">
        <v>0</v>
      </c>
      <c r="AJ308">
        <v>0</v>
      </c>
      <c r="AK308" s="30" t="str">
        <f ca="1">VLOOKUP(T308,'Auxiliar Vendas'!E:F,2,FALSE)</f>
        <v>Produto 15</v>
      </c>
      <c r="AL308" s="31">
        <f ca="1">U308*VLOOKUP(T308,'Auxiliar Vendas'!E:G,3,FALSE)</f>
        <v>71</v>
      </c>
    </row>
    <row r="309" spans="1:38">
      <c r="A309">
        <v>15265317233</v>
      </c>
      <c r="B309">
        <v>10</v>
      </c>
      <c r="D309" s="1">
        <v>44505</v>
      </c>
      <c r="E309">
        <v>15179701182</v>
      </c>
      <c r="F309" t="str">
        <f ca="1">VLOOKUP(RANDBETWEEN(1,20),'DBO Compras'!AA:AC,3,0)</f>
        <v>Comprador 06</v>
      </c>
      <c r="G309" t="s">
        <v>140</v>
      </c>
      <c r="H309" t="s">
        <v>141</v>
      </c>
      <c r="I309" t="s">
        <v>142</v>
      </c>
      <c r="J309" t="s">
        <v>143</v>
      </c>
      <c r="K309">
        <v>84050290</v>
      </c>
      <c r="L309" t="s">
        <v>40</v>
      </c>
      <c r="M309" t="s">
        <v>144</v>
      </c>
      <c r="N309">
        <v>42999659968</v>
      </c>
      <c r="O309">
        <v>0</v>
      </c>
      <c r="P309">
        <v>0</v>
      </c>
      <c r="R309" t="s">
        <v>42</v>
      </c>
      <c r="S309">
        <v>15015353721</v>
      </c>
      <c r="T309" t="str">
        <f ca="1">VLOOKUP(RANDBETWEEN(1,17),'Auxiliar Vendas'!D:G,2,0)</f>
        <v>Produto 14</v>
      </c>
      <c r="U309">
        <v>58</v>
      </c>
      <c r="V309">
        <v>7.8</v>
      </c>
      <c r="W309">
        <v>0</v>
      </c>
      <c r="X309">
        <v>5.58</v>
      </c>
      <c r="Y309">
        <v>452.4</v>
      </c>
      <c r="Z309">
        <v>46</v>
      </c>
      <c r="AA309" t="s">
        <v>44</v>
      </c>
      <c r="AB309">
        <v>0</v>
      </c>
      <c r="AC309">
        <v>0</v>
      </c>
      <c r="AD309" t="s">
        <v>51</v>
      </c>
      <c r="AH309" s="2">
        <v>44505.606944444444</v>
      </c>
      <c r="AI309">
        <v>0</v>
      </c>
      <c r="AJ309">
        <v>0</v>
      </c>
      <c r="AK309" s="30" t="str">
        <f ca="1">VLOOKUP(T309,'Auxiliar Vendas'!E:F,2,FALSE)</f>
        <v>Produto 14</v>
      </c>
      <c r="AL309" s="31">
        <f ca="1">U309*VLOOKUP(T309,'Auxiliar Vendas'!E:G,3,FALSE)</f>
        <v>81.199999999999989</v>
      </c>
    </row>
    <row r="310" spans="1:38">
      <c r="A310">
        <v>15266549073</v>
      </c>
      <c r="B310">
        <v>15</v>
      </c>
      <c r="D310" s="1">
        <v>44505</v>
      </c>
      <c r="E310">
        <v>15266257098</v>
      </c>
      <c r="F310" t="str">
        <f ca="1">VLOOKUP(RANDBETWEEN(1,20),'DBO Compras'!AA:AC,3,0)</f>
        <v>Comprador 15</v>
      </c>
      <c r="G310" t="s">
        <v>219</v>
      </c>
      <c r="H310" t="s">
        <v>220</v>
      </c>
      <c r="I310" t="s">
        <v>221</v>
      </c>
      <c r="J310" t="s">
        <v>193</v>
      </c>
      <c r="K310">
        <v>89214600</v>
      </c>
      <c r="L310" t="s">
        <v>92</v>
      </c>
      <c r="M310" t="s">
        <v>222</v>
      </c>
      <c r="N310">
        <v>41991696565</v>
      </c>
      <c r="O310">
        <v>0</v>
      </c>
      <c r="P310">
        <v>0</v>
      </c>
      <c r="R310" t="s">
        <v>42</v>
      </c>
      <c r="S310">
        <v>15015911944</v>
      </c>
      <c r="T310" t="str">
        <f ca="1">VLOOKUP(RANDBETWEEN(1,17),'Auxiliar Vendas'!D:G,2,0)</f>
        <v>Produto 04</v>
      </c>
      <c r="U310" s="3">
        <v>6000</v>
      </c>
      <c r="V310">
        <v>12.89</v>
      </c>
      <c r="W310">
        <v>0</v>
      </c>
      <c r="X310">
        <v>10.285</v>
      </c>
      <c r="Y310" s="3">
        <v>77340</v>
      </c>
      <c r="Z310">
        <v>63</v>
      </c>
      <c r="AA310" t="s">
        <v>78</v>
      </c>
      <c r="AB310">
        <v>0</v>
      </c>
      <c r="AC310">
        <v>0</v>
      </c>
      <c r="AH310" s="2">
        <v>44505.607638888891</v>
      </c>
      <c r="AI310">
        <v>0</v>
      </c>
      <c r="AJ310">
        <v>0</v>
      </c>
      <c r="AK310" s="30" t="str">
        <f ca="1">VLOOKUP(T310,'Auxiliar Vendas'!E:F,2,FALSE)</f>
        <v>Produto 04</v>
      </c>
      <c r="AL310" s="31">
        <f ca="1">U310*VLOOKUP(T310,'Auxiliar Vendas'!E:G,3,FALSE)</f>
        <v>3600</v>
      </c>
    </row>
    <row r="311" spans="1:38">
      <c r="A311">
        <v>15266549073</v>
      </c>
      <c r="B311">
        <v>15</v>
      </c>
      <c r="D311" s="1">
        <v>44505</v>
      </c>
      <c r="E311">
        <v>15266257098</v>
      </c>
      <c r="F311" t="str">
        <f ca="1">VLOOKUP(RANDBETWEEN(1,20),'DBO Compras'!AA:AC,3,0)</f>
        <v>Comprador 03</v>
      </c>
      <c r="G311" t="s">
        <v>219</v>
      </c>
      <c r="H311" t="s">
        <v>220</v>
      </c>
      <c r="I311" t="s">
        <v>221</v>
      </c>
      <c r="J311" t="s">
        <v>193</v>
      </c>
      <c r="K311">
        <v>89214600</v>
      </c>
      <c r="L311" t="s">
        <v>92</v>
      </c>
      <c r="M311" t="s">
        <v>222</v>
      </c>
      <c r="N311">
        <v>41991696565</v>
      </c>
      <c r="O311">
        <v>0</v>
      </c>
      <c r="P311">
        <v>0</v>
      </c>
      <c r="R311" t="s">
        <v>42</v>
      </c>
      <c r="S311">
        <v>15016093155</v>
      </c>
      <c r="T311" t="str">
        <f ca="1">VLOOKUP(RANDBETWEEN(1,17),'Auxiliar Vendas'!D:G,2,0)</f>
        <v>Produto 16</v>
      </c>
      <c r="U311" s="3">
        <v>1500</v>
      </c>
      <c r="V311">
        <v>17.78</v>
      </c>
      <c r="W311">
        <v>0</v>
      </c>
      <c r="X311">
        <v>14.4596</v>
      </c>
      <c r="Y311" s="3">
        <v>26670</v>
      </c>
      <c r="Z311">
        <v>63</v>
      </c>
      <c r="AA311" t="s">
        <v>65</v>
      </c>
      <c r="AB311">
        <v>0</v>
      </c>
      <c r="AC311">
        <v>0</v>
      </c>
      <c r="AH311" s="2">
        <v>44505.607638888891</v>
      </c>
      <c r="AI311">
        <v>0</v>
      </c>
      <c r="AJ311">
        <v>0</v>
      </c>
      <c r="AK311" s="30" t="str">
        <f ca="1">VLOOKUP(T311,'Auxiliar Vendas'!E:F,2,FALSE)</f>
        <v>Produto 16</v>
      </c>
      <c r="AL311" s="31">
        <f ca="1">U311*VLOOKUP(T311,'Auxiliar Vendas'!E:G,3,FALSE)</f>
        <v>1905</v>
      </c>
    </row>
    <row r="312" spans="1:38">
      <c r="A312">
        <v>15266549073</v>
      </c>
      <c r="B312">
        <v>15</v>
      </c>
      <c r="D312" s="1">
        <v>44505</v>
      </c>
      <c r="E312">
        <v>15266257098</v>
      </c>
      <c r="F312" t="str">
        <f ca="1">VLOOKUP(RANDBETWEEN(1,20),'DBO Compras'!AA:AC,3,0)</f>
        <v>Comprador 05</v>
      </c>
      <c r="G312" t="s">
        <v>219</v>
      </c>
      <c r="H312" t="s">
        <v>220</v>
      </c>
      <c r="I312" t="s">
        <v>221</v>
      </c>
      <c r="J312" t="s">
        <v>193</v>
      </c>
      <c r="K312">
        <v>89214600</v>
      </c>
      <c r="L312" t="s">
        <v>92</v>
      </c>
      <c r="M312" t="s">
        <v>222</v>
      </c>
      <c r="N312">
        <v>41991696565</v>
      </c>
      <c r="O312">
        <v>0</v>
      </c>
      <c r="P312">
        <v>0</v>
      </c>
      <c r="R312" t="s">
        <v>42</v>
      </c>
      <c r="S312">
        <v>15016099089</v>
      </c>
      <c r="T312" t="str">
        <f ca="1">VLOOKUP(RANDBETWEEN(1,17),'Auxiliar Vendas'!D:G,2,0)</f>
        <v>Produto 04</v>
      </c>
      <c r="U312" s="3">
        <v>1500</v>
      </c>
      <c r="V312">
        <v>20.78</v>
      </c>
      <c r="W312">
        <v>0</v>
      </c>
      <c r="X312">
        <v>16.804400000000001</v>
      </c>
      <c r="Y312" s="3">
        <v>31170</v>
      </c>
      <c r="Z312">
        <v>63</v>
      </c>
      <c r="AA312" t="s">
        <v>79</v>
      </c>
      <c r="AB312">
        <v>0</v>
      </c>
      <c r="AC312">
        <v>0</v>
      </c>
      <c r="AH312" s="2">
        <v>44505.607638888891</v>
      </c>
      <c r="AI312">
        <v>0</v>
      </c>
      <c r="AJ312">
        <v>0</v>
      </c>
      <c r="AK312" s="30" t="str">
        <f ca="1">VLOOKUP(T312,'Auxiliar Vendas'!E:F,2,FALSE)</f>
        <v>Produto 04</v>
      </c>
      <c r="AL312" s="31">
        <f ca="1">U312*VLOOKUP(T312,'Auxiliar Vendas'!E:G,3,FALSE)</f>
        <v>900</v>
      </c>
    </row>
    <row r="313" spans="1:38">
      <c r="A313">
        <v>15266549073</v>
      </c>
      <c r="B313">
        <v>15</v>
      </c>
      <c r="D313" s="1">
        <v>44505</v>
      </c>
      <c r="E313">
        <v>15266257098</v>
      </c>
      <c r="F313" t="str">
        <f ca="1">VLOOKUP(RANDBETWEEN(1,20),'DBO Compras'!AA:AC,3,0)</f>
        <v>Comprador 05</v>
      </c>
      <c r="G313" t="s">
        <v>219</v>
      </c>
      <c r="H313" t="s">
        <v>220</v>
      </c>
      <c r="I313" t="s">
        <v>221</v>
      </c>
      <c r="J313" t="s">
        <v>193</v>
      </c>
      <c r="K313">
        <v>89214600</v>
      </c>
      <c r="L313" t="s">
        <v>92</v>
      </c>
      <c r="M313" t="s">
        <v>222</v>
      </c>
      <c r="N313">
        <v>41991696565</v>
      </c>
      <c r="O313">
        <v>0</v>
      </c>
      <c r="P313">
        <v>0</v>
      </c>
      <c r="R313" t="s">
        <v>42</v>
      </c>
      <c r="S313">
        <v>15015867005</v>
      </c>
      <c r="T313" t="str">
        <f ca="1">VLOOKUP(RANDBETWEEN(1,17),'Auxiliar Vendas'!D:G,2,0)</f>
        <v>Produto 05</v>
      </c>
      <c r="U313">
        <v>900</v>
      </c>
      <c r="V313">
        <v>16</v>
      </c>
      <c r="W313">
        <v>0</v>
      </c>
      <c r="X313">
        <v>13.763999999999999</v>
      </c>
      <c r="Y313" s="3">
        <v>14400</v>
      </c>
      <c r="Z313">
        <v>63</v>
      </c>
      <c r="AA313" t="s">
        <v>87</v>
      </c>
      <c r="AB313">
        <v>0</v>
      </c>
      <c r="AC313">
        <v>0</v>
      </c>
      <c r="AH313" s="2">
        <v>44505.607638888891</v>
      </c>
      <c r="AI313">
        <v>0</v>
      </c>
      <c r="AJ313">
        <v>0</v>
      </c>
      <c r="AK313" s="30" t="str">
        <f ca="1">VLOOKUP(T313,'Auxiliar Vendas'!E:F,2,FALSE)</f>
        <v>Produto 05</v>
      </c>
      <c r="AL313" s="31">
        <f ca="1">U313*VLOOKUP(T313,'Auxiliar Vendas'!E:G,3,FALSE)</f>
        <v>540</v>
      </c>
    </row>
    <row r="314" spans="1:38">
      <c r="A314">
        <v>15266549073</v>
      </c>
      <c r="B314">
        <v>15</v>
      </c>
      <c r="D314" s="1">
        <v>44505</v>
      </c>
      <c r="E314">
        <v>15266257098</v>
      </c>
      <c r="F314" t="str">
        <f ca="1">VLOOKUP(RANDBETWEEN(1,20),'DBO Compras'!AA:AC,3,0)</f>
        <v>Comprador 06</v>
      </c>
      <c r="G314" t="s">
        <v>219</v>
      </c>
      <c r="H314" t="s">
        <v>220</v>
      </c>
      <c r="I314" t="s">
        <v>221</v>
      </c>
      <c r="J314" t="s">
        <v>193</v>
      </c>
      <c r="K314">
        <v>89214600</v>
      </c>
      <c r="L314" t="s">
        <v>92</v>
      </c>
      <c r="M314" t="s">
        <v>222</v>
      </c>
      <c r="N314">
        <v>41991696565</v>
      </c>
      <c r="O314">
        <v>0</v>
      </c>
      <c r="P314">
        <v>0</v>
      </c>
      <c r="R314" t="s">
        <v>42</v>
      </c>
      <c r="S314">
        <v>15015886084</v>
      </c>
      <c r="T314" t="str">
        <f ca="1">VLOOKUP(RANDBETWEEN(1,17),'Auxiliar Vendas'!D:G,2,0)</f>
        <v>Produto 03</v>
      </c>
      <c r="U314">
        <v>900</v>
      </c>
      <c r="V314">
        <v>18.7</v>
      </c>
      <c r="W314">
        <v>0</v>
      </c>
      <c r="X314">
        <v>15.996</v>
      </c>
      <c r="Y314" s="3">
        <v>16830</v>
      </c>
      <c r="Z314">
        <v>63</v>
      </c>
      <c r="AA314" t="s">
        <v>66</v>
      </c>
      <c r="AB314">
        <v>0</v>
      </c>
      <c r="AC314">
        <v>0</v>
      </c>
      <c r="AH314" s="2">
        <v>44505.607638888891</v>
      </c>
      <c r="AI314">
        <v>0</v>
      </c>
      <c r="AJ314">
        <v>0</v>
      </c>
      <c r="AK314" s="30" t="str">
        <f ca="1">VLOOKUP(T314,'Auxiliar Vendas'!E:F,2,FALSE)</f>
        <v>Produto 03</v>
      </c>
      <c r="AL314" s="31">
        <f ca="1">U314*VLOOKUP(T314,'Auxiliar Vendas'!E:G,3,FALSE)</f>
        <v>540</v>
      </c>
    </row>
    <row r="315" spans="1:38">
      <c r="A315">
        <v>15266868549</v>
      </c>
      <c r="B315">
        <v>16</v>
      </c>
      <c r="D315" s="1">
        <v>44505</v>
      </c>
      <c r="E315">
        <v>15266819008</v>
      </c>
      <c r="F315" t="str">
        <f ca="1">VLOOKUP(RANDBETWEEN(1,20),'DBO Compras'!AA:AC,3,0)</f>
        <v>Comprador 12</v>
      </c>
      <c r="G315" t="s">
        <v>223</v>
      </c>
      <c r="H315" t="s">
        <v>224</v>
      </c>
      <c r="I315" t="s">
        <v>225</v>
      </c>
      <c r="J315" t="s">
        <v>39</v>
      </c>
      <c r="K315" t="s">
        <v>226</v>
      </c>
      <c r="L315" t="s">
        <v>40</v>
      </c>
      <c r="M315" t="s">
        <v>227</v>
      </c>
      <c r="N315">
        <v>41999473993</v>
      </c>
      <c r="O315">
        <v>0</v>
      </c>
      <c r="P315">
        <v>0</v>
      </c>
      <c r="R315" t="s">
        <v>42</v>
      </c>
      <c r="S315">
        <v>15016043939</v>
      </c>
      <c r="T315" t="str">
        <f ca="1">VLOOKUP(RANDBETWEEN(1,17),'Auxiliar Vendas'!D:G,2,0)</f>
        <v>Produto 01</v>
      </c>
      <c r="U315">
        <v>150</v>
      </c>
      <c r="V315">
        <v>13.9</v>
      </c>
      <c r="W315">
        <v>0</v>
      </c>
      <c r="X315">
        <v>10.747</v>
      </c>
      <c r="Y315" s="3">
        <v>2085</v>
      </c>
      <c r="Z315">
        <v>64</v>
      </c>
      <c r="AA315" t="s">
        <v>50</v>
      </c>
      <c r="AB315">
        <v>0</v>
      </c>
      <c r="AC315">
        <v>0</v>
      </c>
      <c r="AH315" s="2">
        <v>44505.607638888891</v>
      </c>
      <c r="AI315">
        <v>0</v>
      </c>
      <c r="AJ315">
        <v>0</v>
      </c>
      <c r="AK315" s="30" t="str">
        <f ca="1">VLOOKUP(T315,'Auxiliar Vendas'!E:F,2,FALSE)</f>
        <v>Produto 01</v>
      </c>
      <c r="AL315" s="31">
        <f ca="1">U315*VLOOKUP(T315,'Auxiliar Vendas'!E:G,3,FALSE)</f>
        <v>60</v>
      </c>
    </row>
    <row r="316" spans="1:38">
      <c r="A316">
        <v>15266868549</v>
      </c>
      <c r="B316">
        <v>16</v>
      </c>
      <c r="D316" s="1">
        <v>44505</v>
      </c>
      <c r="E316">
        <v>15266819008</v>
      </c>
      <c r="F316" t="str">
        <f ca="1">VLOOKUP(RANDBETWEEN(1,20),'DBO Compras'!AA:AC,3,0)</f>
        <v>Comprador 17</v>
      </c>
      <c r="G316" t="s">
        <v>223</v>
      </c>
      <c r="H316" t="s">
        <v>224</v>
      </c>
      <c r="I316" t="s">
        <v>225</v>
      </c>
      <c r="J316" t="s">
        <v>39</v>
      </c>
      <c r="K316" t="s">
        <v>226</v>
      </c>
      <c r="L316" t="s">
        <v>40</v>
      </c>
      <c r="M316" t="s">
        <v>227</v>
      </c>
      <c r="N316">
        <v>41999473993</v>
      </c>
      <c r="O316">
        <v>0</v>
      </c>
      <c r="P316">
        <v>0</v>
      </c>
      <c r="R316" t="s">
        <v>42</v>
      </c>
      <c r="S316">
        <v>15015918644</v>
      </c>
      <c r="T316" t="str">
        <f ca="1">VLOOKUP(RANDBETWEEN(1,17),'Auxiliar Vendas'!D:G,2,0)</f>
        <v>Produto 15</v>
      </c>
      <c r="U316">
        <v>100</v>
      </c>
      <c r="V316">
        <v>8.1999999999999993</v>
      </c>
      <c r="W316">
        <v>0</v>
      </c>
      <c r="X316">
        <v>5.61</v>
      </c>
      <c r="Y316">
        <v>820</v>
      </c>
      <c r="Z316">
        <v>64</v>
      </c>
      <c r="AA316" t="s">
        <v>59</v>
      </c>
      <c r="AB316">
        <v>0</v>
      </c>
      <c r="AC316">
        <v>0</v>
      </c>
      <c r="AH316" s="2">
        <v>44505.607638888891</v>
      </c>
      <c r="AI316">
        <v>0</v>
      </c>
      <c r="AJ316">
        <v>0</v>
      </c>
      <c r="AK316" s="30" t="str">
        <f ca="1">VLOOKUP(T316,'Auxiliar Vendas'!E:F,2,FALSE)</f>
        <v>Produto 15</v>
      </c>
      <c r="AL316" s="31">
        <f ca="1">U316*VLOOKUP(T316,'Auxiliar Vendas'!E:G,3,FALSE)</f>
        <v>142</v>
      </c>
    </row>
    <row r="317" spans="1:38">
      <c r="A317">
        <v>15266868549</v>
      </c>
      <c r="B317">
        <v>16</v>
      </c>
      <c r="D317" s="1">
        <v>44505</v>
      </c>
      <c r="E317">
        <v>15266819008</v>
      </c>
      <c r="F317" t="str">
        <f ca="1">VLOOKUP(RANDBETWEEN(1,20),'DBO Compras'!AA:AC,3,0)</f>
        <v>Comprador 09</v>
      </c>
      <c r="G317" t="s">
        <v>223</v>
      </c>
      <c r="H317" t="s">
        <v>224</v>
      </c>
      <c r="I317" t="s">
        <v>225</v>
      </c>
      <c r="J317" t="s">
        <v>39</v>
      </c>
      <c r="K317" t="s">
        <v>226</v>
      </c>
      <c r="L317" t="s">
        <v>40</v>
      </c>
      <c r="M317" t="s">
        <v>227</v>
      </c>
      <c r="N317">
        <v>41999473993</v>
      </c>
      <c r="O317">
        <v>0</v>
      </c>
      <c r="P317">
        <v>0</v>
      </c>
      <c r="R317" t="s">
        <v>42</v>
      </c>
      <c r="S317">
        <v>15015511068</v>
      </c>
      <c r="T317" t="str">
        <f ca="1">VLOOKUP(RANDBETWEEN(1,17),'Auxiliar Vendas'!D:G,2,0)</f>
        <v>Produto 11</v>
      </c>
      <c r="U317">
        <v>70</v>
      </c>
      <c r="V317">
        <v>16.2</v>
      </c>
      <c r="W317">
        <v>0</v>
      </c>
      <c r="X317">
        <v>10.23</v>
      </c>
      <c r="Y317" s="3">
        <v>1134</v>
      </c>
      <c r="Z317">
        <v>64</v>
      </c>
      <c r="AA317" t="s">
        <v>53</v>
      </c>
      <c r="AB317">
        <v>0</v>
      </c>
      <c r="AC317">
        <v>0</v>
      </c>
      <c r="AH317" s="2">
        <v>44505.607638888891</v>
      </c>
      <c r="AI317">
        <v>0</v>
      </c>
      <c r="AJ317">
        <v>0</v>
      </c>
      <c r="AK317" s="30" t="str">
        <f ca="1">VLOOKUP(T317,'Auxiliar Vendas'!E:F,2,FALSE)</f>
        <v>Produto 11</v>
      </c>
      <c r="AL317" s="31">
        <f ca="1">U317*VLOOKUP(T317,'Auxiliar Vendas'!E:G,3,FALSE)</f>
        <v>77</v>
      </c>
    </row>
    <row r="318" spans="1:38">
      <c r="A318">
        <v>15276601028</v>
      </c>
      <c r="B318">
        <v>56</v>
      </c>
      <c r="D318" s="1">
        <v>44505</v>
      </c>
      <c r="E318">
        <v>15276535450</v>
      </c>
      <c r="F318" t="str">
        <f ca="1">VLOOKUP(RANDBETWEEN(1,20),'DBO Compras'!AA:AC,3,0)</f>
        <v>Comprador 03</v>
      </c>
      <c r="G318" t="s">
        <v>228</v>
      </c>
      <c r="H318" t="s">
        <v>229</v>
      </c>
      <c r="I318" t="s">
        <v>69</v>
      </c>
      <c r="J318" t="s">
        <v>230</v>
      </c>
      <c r="K318">
        <v>98802356</v>
      </c>
      <c r="L318" t="s">
        <v>204</v>
      </c>
      <c r="O318">
        <v>0</v>
      </c>
      <c r="P318">
        <v>0</v>
      </c>
      <c r="R318" t="s">
        <v>42</v>
      </c>
      <c r="S318">
        <v>15016099089</v>
      </c>
      <c r="T318" t="str">
        <f ca="1">VLOOKUP(RANDBETWEEN(1,17),'Auxiliar Vendas'!D:G,2,0)</f>
        <v>Produto 01</v>
      </c>
      <c r="U318">
        <v>900</v>
      </c>
      <c r="V318">
        <v>21.3</v>
      </c>
      <c r="W318">
        <v>0</v>
      </c>
      <c r="X318">
        <v>16.804400000000001</v>
      </c>
      <c r="Y318" s="3">
        <v>19170</v>
      </c>
      <c r="Z318">
        <v>66</v>
      </c>
      <c r="AA318" t="s">
        <v>79</v>
      </c>
      <c r="AB318">
        <v>0</v>
      </c>
      <c r="AC318">
        <v>0</v>
      </c>
      <c r="AH318" s="2">
        <v>44505.606249999997</v>
      </c>
      <c r="AI318">
        <v>0</v>
      </c>
      <c r="AJ318">
        <v>0</v>
      </c>
      <c r="AK318" s="30" t="str">
        <f ca="1">VLOOKUP(T318,'Auxiliar Vendas'!E:F,2,FALSE)</f>
        <v>Produto 01</v>
      </c>
      <c r="AL318" s="31">
        <f ca="1">U318*VLOOKUP(T318,'Auxiliar Vendas'!E:G,3,FALSE)</f>
        <v>360</v>
      </c>
    </row>
    <row r="319" spans="1:38">
      <c r="A319">
        <v>15276601028</v>
      </c>
      <c r="B319">
        <v>56</v>
      </c>
      <c r="D319" s="1">
        <v>44505</v>
      </c>
      <c r="E319">
        <v>15276535450</v>
      </c>
      <c r="F319" t="str">
        <f ca="1">VLOOKUP(RANDBETWEEN(1,20),'DBO Compras'!AA:AC,3,0)</f>
        <v>Comprador 14</v>
      </c>
      <c r="G319" t="s">
        <v>228</v>
      </c>
      <c r="H319" t="s">
        <v>229</v>
      </c>
      <c r="I319" t="s">
        <v>69</v>
      </c>
      <c r="J319" t="s">
        <v>230</v>
      </c>
      <c r="K319">
        <v>98802356</v>
      </c>
      <c r="L319" t="s">
        <v>204</v>
      </c>
      <c r="O319">
        <v>0</v>
      </c>
      <c r="P319">
        <v>0</v>
      </c>
      <c r="R319" t="s">
        <v>42</v>
      </c>
      <c r="S319">
        <v>15016087271</v>
      </c>
      <c r="T319" t="str">
        <f ca="1">VLOOKUP(RANDBETWEEN(1,17),'Auxiliar Vendas'!D:G,2,0)</f>
        <v>Produto 16</v>
      </c>
      <c r="U319">
        <v>600</v>
      </c>
      <c r="V319">
        <v>18.2</v>
      </c>
      <c r="W319">
        <v>0</v>
      </c>
      <c r="X319">
        <v>14.4596</v>
      </c>
      <c r="Y319" s="3">
        <v>10920</v>
      </c>
      <c r="Z319">
        <v>66</v>
      </c>
      <c r="AA319" t="s">
        <v>64</v>
      </c>
      <c r="AB319">
        <v>0</v>
      </c>
      <c r="AC319">
        <v>0</v>
      </c>
      <c r="AH319" s="2">
        <v>44505.606249999997</v>
      </c>
      <c r="AI319">
        <v>0</v>
      </c>
      <c r="AJ319">
        <v>0</v>
      </c>
      <c r="AK319" s="30" t="str">
        <f ca="1">VLOOKUP(T319,'Auxiliar Vendas'!E:F,2,FALSE)</f>
        <v>Produto 16</v>
      </c>
      <c r="AL319" s="31">
        <f ca="1">U319*VLOOKUP(T319,'Auxiliar Vendas'!E:G,3,FALSE)</f>
        <v>762</v>
      </c>
    </row>
    <row r="320" spans="1:38">
      <c r="A320">
        <v>15276601028</v>
      </c>
      <c r="B320">
        <v>56</v>
      </c>
      <c r="D320" s="1">
        <v>44505</v>
      </c>
      <c r="E320">
        <v>15276535450</v>
      </c>
      <c r="F320" t="str">
        <f ca="1">VLOOKUP(RANDBETWEEN(1,20),'DBO Compras'!AA:AC,3,0)</f>
        <v>Comprador 02</v>
      </c>
      <c r="G320" t="s">
        <v>228</v>
      </c>
      <c r="H320" t="s">
        <v>229</v>
      </c>
      <c r="I320" t="s">
        <v>69</v>
      </c>
      <c r="J320" t="s">
        <v>230</v>
      </c>
      <c r="K320">
        <v>98802356</v>
      </c>
      <c r="L320" t="s">
        <v>204</v>
      </c>
      <c r="O320">
        <v>0</v>
      </c>
      <c r="P320">
        <v>0</v>
      </c>
      <c r="R320" t="s">
        <v>42</v>
      </c>
      <c r="S320">
        <v>15016080333</v>
      </c>
      <c r="T320" t="str">
        <f ca="1">VLOOKUP(RANDBETWEEN(1,17),'Auxiliar Vendas'!D:G,2,0)</f>
        <v>Produto 16</v>
      </c>
      <c r="U320">
        <v>200</v>
      </c>
      <c r="V320">
        <v>18.2</v>
      </c>
      <c r="W320">
        <v>0</v>
      </c>
      <c r="X320">
        <v>10.747</v>
      </c>
      <c r="Y320" s="3">
        <v>3640</v>
      </c>
      <c r="Z320">
        <v>66</v>
      </c>
      <c r="AA320" t="s">
        <v>80</v>
      </c>
      <c r="AB320">
        <v>0</v>
      </c>
      <c r="AC320">
        <v>0</v>
      </c>
      <c r="AH320" s="2">
        <v>44505.606249999997</v>
      </c>
      <c r="AI320">
        <v>0</v>
      </c>
      <c r="AJ320">
        <v>0</v>
      </c>
      <c r="AK320" s="30" t="str">
        <f ca="1">VLOOKUP(T320,'Auxiliar Vendas'!E:F,2,FALSE)</f>
        <v>Produto 16</v>
      </c>
      <c r="AL320" s="31">
        <f ca="1">U320*VLOOKUP(T320,'Auxiliar Vendas'!E:G,3,FALSE)</f>
        <v>254</v>
      </c>
    </row>
    <row r="321" spans="1:38">
      <c r="A321">
        <v>15276601028</v>
      </c>
      <c r="B321">
        <v>56</v>
      </c>
      <c r="D321" s="1">
        <v>44505</v>
      </c>
      <c r="E321">
        <v>15276535450</v>
      </c>
      <c r="F321" t="str">
        <f ca="1">VLOOKUP(RANDBETWEEN(1,20),'DBO Compras'!AA:AC,3,0)</f>
        <v>Comprador 04</v>
      </c>
      <c r="G321" t="s">
        <v>228</v>
      </c>
      <c r="H321" t="s">
        <v>229</v>
      </c>
      <c r="I321" t="s">
        <v>69</v>
      </c>
      <c r="J321" t="s">
        <v>230</v>
      </c>
      <c r="K321">
        <v>98802356</v>
      </c>
      <c r="L321" t="s">
        <v>204</v>
      </c>
      <c r="O321">
        <v>0</v>
      </c>
      <c r="P321">
        <v>0</v>
      </c>
      <c r="R321" t="s">
        <v>42</v>
      </c>
      <c r="S321">
        <v>15015918644</v>
      </c>
      <c r="T321" t="str">
        <f ca="1">VLOOKUP(RANDBETWEEN(1,17),'Auxiliar Vendas'!D:G,2,0)</f>
        <v>Produto 15</v>
      </c>
      <c r="U321" s="3">
        <v>1000</v>
      </c>
      <c r="V321">
        <v>8.1999999999999993</v>
      </c>
      <c r="W321">
        <v>0</v>
      </c>
      <c r="X321">
        <v>5.61</v>
      </c>
      <c r="Y321" s="3">
        <v>8200</v>
      </c>
      <c r="Z321">
        <v>66</v>
      </c>
      <c r="AA321" t="s">
        <v>59</v>
      </c>
      <c r="AB321">
        <v>0</v>
      </c>
      <c r="AC321">
        <v>0</v>
      </c>
      <c r="AH321" s="2">
        <v>44505.606249999997</v>
      </c>
      <c r="AI321">
        <v>0</v>
      </c>
      <c r="AJ321">
        <v>0</v>
      </c>
      <c r="AK321" s="30" t="str">
        <f ca="1">VLOOKUP(T321,'Auxiliar Vendas'!E:F,2,FALSE)</f>
        <v>Produto 15</v>
      </c>
      <c r="AL321" s="31">
        <f ca="1">U321*VLOOKUP(T321,'Auxiliar Vendas'!E:G,3,FALSE)</f>
        <v>1420</v>
      </c>
    </row>
    <row r="322" spans="1:38">
      <c r="A322">
        <v>15276601028</v>
      </c>
      <c r="B322">
        <v>56</v>
      </c>
      <c r="D322" s="1">
        <v>44505</v>
      </c>
      <c r="E322">
        <v>15276535450</v>
      </c>
      <c r="F322" t="str">
        <f ca="1">VLOOKUP(RANDBETWEEN(1,20),'DBO Compras'!AA:AC,3,0)</f>
        <v>Comprador 10</v>
      </c>
      <c r="G322" t="s">
        <v>228</v>
      </c>
      <c r="H322" t="s">
        <v>229</v>
      </c>
      <c r="I322" t="s">
        <v>69</v>
      </c>
      <c r="J322" t="s">
        <v>230</v>
      </c>
      <c r="K322">
        <v>98802356</v>
      </c>
      <c r="L322" t="s">
        <v>204</v>
      </c>
      <c r="O322">
        <v>0</v>
      </c>
      <c r="P322">
        <v>0</v>
      </c>
      <c r="R322" t="s">
        <v>42</v>
      </c>
      <c r="S322">
        <v>15015511068</v>
      </c>
      <c r="T322" t="str">
        <f ca="1">VLOOKUP(RANDBETWEEN(1,17),'Auxiliar Vendas'!D:G,2,0)</f>
        <v>Produto 02</v>
      </c>
      <c r="U322">
        <v>600</v>
      </c>
      <c r="V322">
        <v>16.2</v>
      </c>
      <c r="W322">
        <v>0</v>
      </c>
      <c r="X322">
        <v>10.23</v>
      </c>
      <c r="Y322" s="3">
        <v>9720</v>
      </c>
      <c r="Z322">
        <v>66</v>
      </c>
      <c r="AA322" t="s">
        <v>53</v>
      </c>
      <c r="AB322">
        <v>0</v>
      </c>
      <c r="AC322">
        <v>0</v>
      </c>
      <c r="AH322" s="2">
        <v>44505.606249999997</v>
      </c>
      <c r="AI322">
        <v>0</v>
      </c>
      <c r="AJ322">
        <v>0</v>
      </c>
      <c r="AK322" s="30" t="str">
        <f ca="1">VLOOKUP(T322,'Auxiliar Vendas'!E:F,2,FALSE)</f>
        <v>Produto 02</v>
      </c>
      <c r="AL322" s="31">
        <f ca="1">U322*VLOOKUP(T322,'Auxiliar Vendas'!E:G,3,FALSE)</f>
        <v>162</v>
      </c>
    </row>
    <row r="323" spans="1:38">
      <c r="A323">
        <v>15290616139</v>
      </c>
      <c r="B323">
        <v>82</v>
      </c>
      <c r="D323" s="1">
        <v>44505</v>
      </c>
      <c r="E323">
        <v>15179608501</v>
      </c>
      <c r="F323" t="str">
        <f ca="1">VLOOKUP(RANDBETWEEN(1,20),'DBO Compras'!AA:AC,3,0)</f>
        <v>Comprador 16</v>
      </c>
      <c r="G323" t="s">
        <v>60</v>
      </c>
      <c r="H323" t="s">
        <v>61</v>
      </c>
      <c r="I323" t="s">
        <v>62</v>
      </c>
      <c r="J323" t="s">
        <v>39</v>
      </c>
      <c r="K323">
        <v>82720070</v>
      </c>
      <c r="L323" t="s">
        <v>40</v>
      </c>
      <c r="M323" t="s">
        <v>63</v>
      </c>
      <c r="N323">
        <v>41992354686</v>
      </c>
      <c r="O323">
        <v>0</v>
      </c>
      <c r="P323">
        <v>0</v>
      </c>
      <c r="R323" t="s">
        <v>42</v>
      </c>
      <c r="S323">
        <v>15016099089</v>
      </c>
      <c r="T323" t="str">
        <f ca="1">VLOOKUP(RANDBETWEEN(1,17),'Auxiliar Vendas'!D:G,2,0)</f>
        <v>Produto 10</v>
      </c>
      <c r="U323">
        <v>150</v>
      </c>
      <c r="V323">
        <v>17.75</v>
      </c>
      <c r="W323">
        <v>0</v>
      </c>
      <c r="X323">
        <v>16.804400000000001</v>
      </c>
      <c r="Y323" s="3">
        <v>2662.5</v>
      </c>
      <c r="Z323">
        <v>42</v>
      </c>
      <c r="AA323" t="s">
        <v>79</v>
      </c>
      <c r="AB323">
        <v>0</v>
      </c>
      <c r="AC323">
        <v>0</v>
      </c>
      <c r="AD323" t="s">
        <v>51</v>
      </c>
      <c r="AH323" s="2">
        <v>44505.439583333333</v>
      </c>
      <c r="AI323">
        <v>0</v>
      </c>
      <c r="AJ323">
        <v>0</v>
      </c>
      <c r="AK323" s="30" t="str">
        <f ca="1">VLOOKUP(T323,'Auxiliar Vendas'!E:F,2,FALSE)</f>
        <v>Produto 10</v>
      </c>
      <c r="AL323" s="31">
        <f ca="1">U323*VLOOKUP(T323,'Auxiliar Vendas'!E:G,3,FALSE)</f>
        <v>165</v>
      </c>
    </row>
    <row r="324" spans="1:38">
      <c r="A324">
        <v>15267394942</v>
      </c>
      <c r="B324">
        <v>20</v>
      </c>
      <c r="D324" s="1">
        <v>44508</v>
      </c>
      <c r="E324">
        <v>15179581888</v>
      </c>
      <c r="F324" t="str">
        <f ca="1">VLOOKUP(RANDBETWEEN(1,20),'DBO Compras'!AA:AC,3,0)</f>
        <v>Comprador 16</v>
      </c>
      <c r="G324" t="s">
        <v>54</v>
      </c>
      <c r="H324" t="s">
        <v>55</v>
      </c>
      <c r="I324" t="s">
        <v>56</v>
      </c>
      <c r="J324" t="s">
        <v>39</v>
      </c>
      <c r="K324">
        <v>81350610</v>
      </c>
      <c r="L324" t="s">
        <v>40</v>
      </c>
      <c r="M324" t="s">
        <v>57</v>
      </c>
      <c r="N324">
        <v>41996849234</v>
      </c>
      <c r="O324">
        <v>0</v>
      </c>
      <c r="P324">
        <v>0</v>
      </c>
      <c r="R324" t="s">
        <v>42</v>
      </c>
      <c r="S324">
        <v>15016099089</v>
      </c>
      <c r="T324" t="str">
        <f ca="1">VLOOKUP(RANDBETWEEN(1,17),'Auxiliar Vendas'!D:G,2,0)</f>
        <v>Produto 13</v>
      </c>
      <c r="U324">
        <v>150</v>
      </c>
      <c r="V324">
        <v>20.6</v>
      </c>
      <c r="W324">
        <v>0</v>
      </c>
      <c r="X324">
        <v>16.804400000000001</v>
      </c>
      <c r="Y324" s="3">
        <v>3090</v>
      </c>
      <c r="Z324">
        <v>41</v>
      </c>
      <c r="AA324" t="s">
        <v>79</v>
      </c>
      <c r="AB324">
        <v>0</v>
      </c>
      <c r="AC324">
        <v>0</v>
      </c>
      <c r="AH324" s="2">
        <v>44508.611111111109</v>
      </c>
      <c r="AI324">
        <v>0</v>
      </c>
      <c r="AJ324">
        <v>0</v>
      </c>
      <c r="AK324" s="30" t="str">
        <f ca="1">VLOOKUP(T324,'Auxiliar Vendas'!E:F,2,FALSE)</f>
        <v>Produto 13</v>
      </c>
      <c r="AL324" s="31">
        <f ca="1">U324*VLOOKUP(T324,'Auxiliar Vendas'!E:G,3,FALSE)</f>
        <v>210</v>
      </c>
    </row>
    <row r="325" spans="1:38">
      <c r="A325">
        <v>15267394942</v>
      </c>
      <c r="B325">
        <v>20</v>
      </c>
      <c r="D325" s="1">
        <v>44508</v>
      </c>
      <c r="E325">
        <v>15179581888</v>
      </c>
      <c r="F325" t="str">
        <f ca="1">VLOOKUP(RANDBETWEEN(1,20),'DBO Compras'!AA:AC,3,0)</f>
        <v>Comprador 09</v>
      </c>
      <c r="G325" t="s">
        <v>54</v>
      </c>
      <c r="H325" t="s">
        <v>55</v>
      </c>
      <c r="I325" t="s">
        <v>56</v>
      </c>
      <c r="J325" t="s">
        <v>39</v>
      </c>
      <c r="K325">
        <v>81350610</v>
      </c>
      <c r="L325" t="s">
        <v>40</v>
      </c>
      <c r="M325" t="s">
        <v>57</v>
      </c>
      <c r="N325">
        <v>41996849234</v>
      </c>
      <c r="O325">
        <v>0</v>
      </c>
      <c r="P325">
        <v>0</v>
      </c>
      <c r="R325" t="s">
        <v>42</v>
      </c>
      <c r="S325">
        <v>15016093155</v>
      </c>
      <c r="T325" t="str">
        <f ca="1">VLOOKUP(RANDBETWEEN(1,17),'Auxiliar Vendas'!D:G,2,0)</f>
        <v>Produto 10</v>
      </c>
      <c r="U325">
        <v>150</v>
      </c>
      <c r="V325">
        <v>17.8</v>
      </c>
      <c r="W325">
        <v>0</v>
      </c>
      <c r="X325">
        <v>14.4596</v>
      </c>
      <c r="Y325" s="3">
        <v>2670</v>
      </c>
      <c r="Z325">
        <v>41</v>
      </c>
      <c r="AA325" t="s">
        <v>65</v>
      </c>
      <c r="AB325">
        <v>0</v>
      </c>
      <c r="AC325">
        <v>0</v>
      </c>
      <c r="AH325" s="2">
        <v>44508.611111111109</v>
      </c>
      <c r="AI325">
        <v>0</v>
      </c>
      <c r="AJ325">
        <v>0</v>
      </c>
      <c r="AK325" s="30" t="str">
        <f ca="1">VLOOKUP(T325,'Auxiliar Vendas'!E:F,2,FALSE)</f>
        <v>Produto 10</v>
      </c>
      <c r="AL325" s="31">
        <f ca="1">U325*VLOOKUP(T325,'Auxiliar Vendas'!E:G,3,FALSE)</f>
        <v>165</v>
      </c>
    </row>
    <row r="326" spans="1:38">
      <c r="A326">
        <v>15267394942</v>
      </c>
      <c r="B326">
        <v>20</v>
      </c>
      <c r="D326" s="1">
        <v>44508</v>
      </c>
      <c r="E326">
        <v>15179581888</v>
      </c>
      <c r="F326" t="str">
        <f ca="1">VLOOKUP(RANDBETWEEN(1,20),'DBO Compras'!AA:AC,3,0)</f>
        <v>Comprador 07</v>
      </c>
      <c r="G326" t="s">
        <v>54</v>
      </c>
      <c r="H326" t="s">
        <v>55</v>
      </c>
      <c r="I326" t="s">
        <v>56</v>
      </c>
      <c r="J326" t="s">
        <v>39</v>
      </c>
      <c r="K326">
        <v>81350610</v>
      </c>
      <c r="L326" t="s">
        <v>40</v>
      </c>
      <c r="M326" t="s">
        <v>57</v>
      </c>
      <c r="N326">
        <v>41996849234</v>
      </c>
      <c r="O326">
        <v>0</v>
      </c>
      <c r="P326">
        <v>0</v>
      </c>
      <c r="R326" t="s">
        <v>42</v>
      </c>
      <c r="S326">
        <v>15016087271</v>
      </c>
      <c r="T326" t="str">
        <f ca="1">VLOOKUP(RANDBETWEEN(1,17),'Auxiliar Vendas'!D:G,2,0)</f>
        <v>Produto 14</v>
      </c>
      <c r="U326">
        <v>100</v>
      </c>
      <c r="V326">
        <v>17.8</v>
      </c>
      <c r="W326">
        <v>0</v>
      </c>
      <c r="X326">
        <v>14.4596</v>
      </c>
      <c r="Y326" s="3">
        <v>1780</v>
      </c>
      <c r="Z326">
        <v>41</v>
      </c>
      <c r="AA326" t="s">
        <v>64</v>
      </c>
      <c r="AB326">
        <v>0</v>
      </c>
      <c r="AC326">
        <v>0</v>
      </c>
      <c r="AH326" s="2">
        <v>44508.611111111109</v>
      </c>
      <c r="AI326">
        <v>0</v>
      </c>
      <c r="AJ326">
        <v>0</v>
      </c>
      <c r="AK326" s="30" t="str">
        <f ca="1">VLOOKUP(T326,'Auxiliar Vendas'!E:F,2,FALSE)</f>
        <v>Produto 14</v>
      </c>
      <c r="AL326" s="31">
        <f ca="1">U326*VLOOKUP(T326,'Auxiliar Vendas'!E:G,3,FALSE)</f>
        <v>140</v>
      </c>
    </row>
    <row r="327" spans="1:38">
      <c r="A327">
        <v>15267394942</v>
      </c>
      <c r="B327">
        <v>20</v>
      </c>
      <c r="D327" s="1">
        <v>44508</v>
      </c>
      <c r="E327">
        <v>15179581888</v>
      </c>
      <c r="F327" t="str">
        <f ca="1">VLOOKUP(RANDBETWEEN(1,20),'DBO Compras'!AA:AC,3,0)</f>
        <v>Comprador 13</v>
      </c>
      <c r="G327" t="s">
        <v>54</v>
      </c>
      <c r="H327" t="s">
        <v>55</v>
      </c>
      <c r="I327" t="s">
        <v>56</v>
      </c>
      <c r="J327" t="s">
        <v>39</v>
      </c>
      <c r="K327">
        <v>81350610</v>
      </c>
      <c r="L327" t="s">
        <v>40</v>
      </c>
      <c r="M327" t="s">
        <v>57</v>
      </c>
      <c r="N327">
        <v>41996849234</v>
      </c>
      <c r="O327">
        <v>0</v>
      </c>
      <c r="P327">
        <v>0</v>
      </c>
      <c r="R327" t="s">
        <v>42</v>
      </c>
      <c r="S327">
        <v>15016080333</v>
      </c>
      <c r="T327" t="str">
        <f ca="1">VLOOKUP(RANDBETWEEN(1,17),'Auxiliar Vendas'!D:G,2,0)</f>
        <v>Produto 05</v>
      </c>
      <c r="U327">
        <v>100</v>
      </c>
      <c r="V327">
        <v>14</v>
      </c>
      <c r="W327">
        <v>0</v>
      </c>
      <c r="X327">
        <v>10.747</v>
      </c>
      <c r="Y327" s="3">
        <v>1400</v>
      </c>
      <c r="Z327">
        <v>41</v>
      </c>
      <c r="AA327" t="s">
        <v>80</v>
      </c>
      <c r="AB327">
        <v>0</v>
      </c>
      <c r="AC327">
        <v>0</v>
      </c>
      <c r="AH327" s="2">
        <v>44508.611111111109</v>
      </c>
      <c r="AI327">
        <v>0</v>
      </c>
      <c r="AJ327">
        <v>0</v>
      </c>
      <c r="AK327" s="30" t="str">
        <f ca="1">VLOOKUP(T327,'Auxiliar Vendas'!E:F,2,FALSE)</f>
        <v>Produto 05</v>
      </c>
      <c r="AL327" s="31">
        <f ca="1">U327*VLOOKUP(T327,'Auxiliar Vendas'!E:G,3,FALSE)</f>
        <v>60</v>
      </c>
    </row>
    <row r="328" spans="1:38">
      <c r="A328">
        <v>15267394942</v>
      </c>
      <c r="B328">
        <v>20</v>
      </c>
      <c r="D328" s="1">
        <v>44508</v>
      </c>
      <c r="E328">
        <v>15179581888</v>
      </c>
      <c r="F328" t="str">
        <f ca="1">VLOOKUP(RANDBETWEEN(1,20),'DBO Compras'!AA:AC,3,0)</f>
        <v>Comprador 16</v>
      </c>
      <c r="G328" t="s">
        <v>54</v>
      </c>
      <c r="H328" t="s">
        <v>55</v>
      </c>
      <c r="I328" t="s">
        <v>56</v>
      </c>
      <c r="J328" t="s">
        <v>39</v>
      </c>
      <c r="K328">
        <v>81350610</v>
      </c>
      <c r="L328" t="s">
        <v>40</v>
      </c>
      <c r="M328" t="s">
        <v>57</v>
      </c>
      <c r="N328">
        <v>41996849234</v>
      </c>
      <c r="O328">
        <v>0</v>
      </c>
      <c r="P328">
        <v>0</v>
      </c>
      <c r="R328" t="s">
        <v>42</v>
      </c>
      <c r="S328">
        <v>15016043939</v>
      </c>
      <c r="T328" t="str">
        <f ca="1">VLOOKUP(RANDBETWEEN(1,17),'Auxiliar Vendas'!D:G,2,0)</f>
        <v>Produto 02</v>
      </c>
      <c r="U328">
        <v>200</v>
      </c>
      <c r="V328">
        <v>12.9</v>
      </c>
      <c r="W328">
        <v>0</v>
      </c>
      <c r="X328">
        <v>10.747</v>
      </c>
      <c r="Y328" s="3">
        <v>2580</v>
      </c>
      <c r="Z328">
        <v>41</v>
      </c>
      <c r="AA328" t="s">
        <v>50</v>
      </c>
      <c r="AB328">
        <v>0</v>
      </c>
      <c r="AC328">
        <v>0</v>
      </c>
      <c r="AH328" s="2">
        <v>44508.611111111109</v>
      </c>
      <c r="AI328">
        <v>0</v>
      </c>
      <c r="AJ328">
        <v>0</v>
      </c>
      <c r="AK328" s="30" t="str">
        <f ca="1">VLOOKUP(T328,'Auxiliar Vendas'!E:F,2,FALSE)</f>
        <v>Produto 02</v>
      </c>
      <c r="AL328" s="31">
        <f ca="1">U328*VLOOKUP(T328,'Auxiliar Vendas'!E:G,3,FALSE)</f>
        <v>54</v>
      </c>
    </row>
    <row r="329" spans="1:38">
      <c r="A329">
        <v>15267394942</v>
      </c>
      <c r="B329">
        <v>20</v>
      </c>
      <c r="D329" s="1">
        <v>44508</v>
      </c>
      <c r="E329">
        <v>15179581888</v>
      </c>
      <c r="F329" t="str">
        <f ca="1">VLOOKUP(RANDBETWEEN(1,20),'DBO Compras'!AA:AC,3,0)</f>
        <v>Comprador 17</v>
      </c>
      <c r="G329" t="s">
        <v>54</v>
      </c>
      <c r="H329" t="s">
        <v>55</v>
      </c>
      <c r="I329" t="s">
        <v>56</v>
      </c>
      <c r="J329" t="s">
        <v>39</v>
      </c>
      <c r="K329">
        <v>81350610</v>
      </c>
      <c r="L329" t="s">
        <v>40</v>
      </c>
      <c r="M329" t="s">
        <v>57</v>
      </c>
      <c r="N329">
        <v>41996849234</v>
      </c>
      <c r="O329">
        <v>0</v>
      </c>
      <c r="P329">
        <v>0</v>
      </c>
      <c r="R329" t="s">
        <v>42</v>
      </c>
      <c r="S329">
        <v>15015867005</v>
      </c>
      <c r="T329" t="str">
        <f ca="1">VLOOKUP(RANDBETWEEN(1,17),'Auxiliar Vendas'!D:G,2,0)</f>
        <v>Produto 14</v>
      </c>
      <c r="U329">
        <v>80</v>
      </c>
      <c r="V329">
        <v>9.33</v>
      </c>
      <c r="W329">
        <v>0</v>
      </c>
      <c r="X329">
        <v>13.763999999999999</v>
      </c>
      <c r="Y329">
        <v>746.4</v>
      </c>
      <c r="Z329">
        <v>41</v>
      </c>
      <c r="AA329" t="s">
        <v>87</v>
      </c>
      <c r="AB329">
        <v>0</v>
      </c>
      <c r="AC329">
        <v>0</v>
      </c>
      <c r="AH329" s="2">
        <v>44508.611111111109</v>
      </c>
      <c r="AI329">
        <v>0</v>
      </c>
      <c r="AJ329">
        <v>0</v>
      </c>
      <c r="AK329" s="30" t="str">
        <f ca="1">VLOOKUP(T329,'Auxiliar Vendas'!E:F,2,FALSE)</f>
        <v>Produto 14</v>
      </c>
      <c r="AL329" s="31">
        <f ca="1">U329*VLOOKUP(T329,'Auxiliar Vendas'!E:G,3,FALSE)</f>
        <v>112</v>
      </c>
    </row>
    <row r="330" spans="1:38">
      <c r="A330">
        <v>15267394942</v>
      </c>
      <c r="B330">
        <v>20</v>
      </c>
      <c r="D330" s="1">
        <v>44508</v>
      </c>
      <c r="E330">
        <v>15179581888</v>
      </c>
      <c r="F330" t="str">
        <f ca="1">VLOOKUP(RANDBETWEEN(1,20),'DBO Compras'!AA:AC,3,0)</f>
        <v>Comprador 20</v>
      </c>
      <c r="G330" t="s">
        <v>54</v>
      </c>
      <c r="H330" t="s">
        <v>55</v>
      </c>
      <c r="I330" t="s">
        <v>56</v>
      </c>
      <c r="J330" t="s">
        <v>39</v>
      </c>
      <c r="K330">
        <v>81350610</v>
      </c>
      <c r="L330" t="s">
        <v>40</v>
      </c>
      <c r="M330" t="s">
        <v>57</v>
      </c>
      <c r="N330">
        <v>41996849234</v>
      </c>
      <c r="O330">
        <v>0</v>
      </c>
      <c r="P330">
        <v>0</v>
      </c>
      <c r="R330" t="s">
        <v>42</v>
      </c>
      <c r="S330">
        <v>15015886084</v>
      </c>
      <c r="T330" t="str">
        <f ca="1">VLOOKUP(RANDBETWEEN(1,17),'Auxiliar Vendas'!D:G,2,0)</f>
        <v>Produto 01</v>
      </c>
      <c r="U330">
        <v>197</v>
      </c>
      <c r="V330">
        <v>10.88</v>
      </c>
      <c r="W330">
        <v>0</v>
      </c>
      <c r="X330">
        <v>15.996</v>
      </c>
      <c r="Y330" s="3">
        <v>2143.36</v>
      </c>
      <c r="Z330">
        <v>41</v>
      </c>
      <c r="AA330" t="s">
        <v>66</v>
      </c>
      <c r="AB330">
        <v>0</v>
      </c>
      <c r="AC330">
        <v>0</v>
      </c>
      <c r="AH330" s="2">
        <v>44508.611111111109</v>
      </c>
      <c r="AI330">
        <v>0</v>
      </c>
      <c r="AJ330">
        <v>0</v>
      </c>
      <c r="AK330" s="30" t="str">
        <f ca="1">VLOOKUP(T330,'Auxiliar Vendas'!E:F,2,FALSE)</f>
        <v>Produto 01</v>
      </c>
      <c r="AL330" s="31">
        <f ca="1">U330*VLOOKUP(T330,'Auxiliar Vendas'!E:G,3,FALSE)</f>
        <v>78.800000000000011</v>
      </c>
    </row>
    <row r="331" spans="1:38">
      <c r="A331">
        <v>15267394942</v>
      </c>
      <c r="B331">
        <v>20</v>
      </c>
      <c r="D331" s="1">
        <v>44508</v>
      </c>
      <c r="E331">
        <v>15179581888</v>
      </c>
      <c r="F331" t="str">
        <f ca="1">VLOOKUP(RANDBETWEEN(1,20),'DBO Compras'!AA:AC,3,0)</f>
        <v>Comprador 09</v>
      </c>
      <c r="G331" t="s">
        <v>54</v>
      </c>
      <c r="H331" t="s">
        <v>55</v>
      </c>
      <c r="I331" t="s">
        <v>56</v>
      </c>
      <c r="J331" t="s">
        <v>39</v>
      </c>
      <c r="K331">
        <v>81350610</v>
      </c>
      <c r="L331" t="s">
        <v>40</v>
      </c>
      <c r="M331" t="s">
        <v>57</v>
      </c>
      <c r="N331">
        <v>41996849234</v>
      </c>
      <c r="O331">
        <v>0</v>
      </c>
      <c r="P331">
        <v>0</v>
      </c>
      <c r="R331" t="s">
        <v>42</v>
      </c>
      <c r="S331">
        <v>15015085610</v>
      </c>
      <c r="T331" t="str">
        <f ca="1">VLOOKUP(RANDBETWEEN(1,17),'Auxiliar Vendas'!D:G,2,0)</f>
        <v>Produto 07</v>
      </c>
      <c r="U331">
        <v>10</v>
      </c>
      <c r="V331">
        <v>7.12</v>
      </c>
      <c r="W331">
        <v>0</v>
      </c>
      <c r="X331">
        <v>10.23</v>
      </c>
      <c r="Y331">
        <v>71.2</v>
      </c>
      <c r="Z331">
        <v>41</v>
      </c>
      <c r="AA331" t="s">
        <v>43</v>
      </c>
      <c r="AB331">
        <v>0</v>
      </c>
      <c r="AC331">
        <v>0</v>
      </c>
      <c r="AH331" s="2">
        <v>44508.611111111109</v>
      </c>
      <c r="AI331">
        <v>0</v>
      </c>
      <c r="AJ331">
        <v>0</v>
      </c>
      <c r="AK331" s="30" t="str">
        <f ca="1">VLOOKUP(T331,'Auxiliar Vendas'!E:F,2,FALSE)</f>
        <v>Produto 07</v>
      </c>
      <c r="AL331" s="31">
        <f ca="1">U331*VLOOKUP(T331,'Auxiliar Vendas'!E:G,3,FALSE)</f>
        <v>11</v>
      </c>
    </row>
    <row r="332" spans="1:38">
      <c r="A332">
        <v>15267394942</v>
      </c>
      <c r="B332">
        <v>20</v>
      </c>
      <c r="D332" s="1">
        <v>44508</v>
      </c>
      <c r="E332">
        <v>15179581888</v>
      </c>
      <c r="F332" t="str">
        <f ca="1">VLOOKUP(RANDBETWEEN(1,20),'DBO Compras'!AA:AC,3,0)</f>
        <v>Comprador 20</v>
      </c>
      <c r="G332" t="s">
        <v>54</v>
      </c>
      <c r="H332" t="s">
        <v>55</v>
      </c>
      <c r="I332" t="s">
        <v>56</v>
      </c>
      <c r="J332" t="s">
        <v>39</v>
      </c>
      <c r="K332">
        <v>81350610</v>
      </c>
      <c r="L332" t="s">
        <v>40</v>
      </c>
      <c r="M332" t="s">
        <v>57</v>
      </c>
      <c r="N332">
        <v>41996849234</v>
      </c>
      <c r="O332">
        <v>0</v>
      </c>
      <c r="P332">
        <v>0</v>
      </c>
      <c r="R332" t="s">
        <v>42</v>
      </c>
      <c r="S332">
        <v>15016066088</v>
      </c>
      <c r="T332" t="str">
        <f ca="1">VLOOKUP(RANDBETWEEN(1,17),'Auxiliar Vendas'!D:G,2,0)</f>
        <v>Produto 08</v>
      </c>
      <c r="U332">
        <v>75</v>
      </c>
      <c r="V332">
        <v>8.35</v>
      </c>
      <c r="W332">
        <v>0</v>
      </c>
      <c r="X332">
        <v>10.747</v>
      </c>
      <c r="Y332">
        <v>626.25</v>
      </c>
      <c r="Z332">
        <v>41</v>
      </c>
      <c r="AA332" t="s">
        <v>126</v>
      </c>
      <c r="AB332">
        <v>0</v>
      </c>
      <c r="AC332">
        <v>0</v>
      </c>
      <c r="AH332" s="2">
        <v>44508.611111111109</v>
      </c>
      <c r="AI332">
        <v>0</v>
      </c>
      <c r="AJ332">
        <v>0</v>
      </c>
      <c r="AK332" s="30" t="str">
        <f ca="1">VLOOKUP(T332,'Auxiliar Vendas'!E:F,2,FALSE)</f>
        <v>Produto 08</v>
      </c>
      <c r="AL332" s="31">
        <f ca="1">U332*VLOOKUP(T332,'Auxiliar Vendas'!E:G,3,FALSE)</f>
        <v>82.5</v>
      </c>
    </row>
    <row r="333" spans="1:38">
      <c r="A333">
        <v>15267394942</v>
      </c>
      <c r="B333">
        <v>20</v>
      </c>
      <c r="D333" s="1">
        <v>44508</v>
      </c>
      <c r="E333">
        <v>15179581888</v>
      </c>
      <c r="F333" t="str">
        <f ca="1">VLOOKUP(RANDBETWEEN(1,20),'DBO Compras'!AA:AC,3,0)</f>
        <v>Comprador 09</v>
      </c>
      <c r="G333" t="s">
        <v>54</v>
      </c>
      <c r="H333" t="s">
        <v>55</v>
      </c>
      <c r="I333" t="s">
        <v>56</v>
      </c>
      <c r="J333" t="s">
        <v>39</v>
      </c>
      <c r="K333">
        <v>81350610</v>
      </c>
      <c r="L333" t="s">
        <v>40</v>
      </c>
      <c r="M333" t="s">
        <v>57</v>
      </c>
      <c r="N333">
        <v>41996849234</v>
      </c>
      <c r="O333">
        <v>0</v>
      </c>
      <c r="P333">
        <v>0</v>
      </c>
      <c r="R333" t="s">
        <v>42</v>
      </c>
      <c r="S333">
        <v>15015918644</v>
      </c>
      <c r="T333" t="str">
        <f ca="1">VLOOKUP(RANDBETWEEN(1,17),'Auxiliar Vendas'!D:G,2,0)</f>
        <v>Produto 04</v>
      </c>
      <c r="U333">
        <v>2</v>
      </c>
      <c r="V333">
        <v>4.1900000000000004</v>
      </c>
      <c r="W333">
        <v>0</v>
      </c>
      <c r="X333">
        <v>5.61</v>
      </c>
      <c r="Y333">
        <v>8.3800000000000008</v>
      </c>
      <c r="Z333">
        <v>41</v>
      </c>
      <c r="AA333" t="s">
        <v>59</v>
      </c>
      <c r="AB333">
        <v>0</v>
      </c>
      <c r="AC333">
        <v>0</v>
      </c>
      <c r="AH333" s="2">
        <v>44508.611111111109</v>
      </c>
      <c r="AI333">
        <v>0</v>
      </c>
      <c r="AJ333">
        <v>0</v>
      </c>
      <c r="AK333" s="30" t="str">
        <f ca="1">VLOOKUP(T333,'Auxiliar Vendas'!E:F,2,FALSE)</f>
        <v>Produto 04</v>
      </c>
      <c r="AL333" s="31">
        <f ca="1">U333*VLOOKUP(T333,'Auxiliar Vendas'!E:G,3,FALSE)</f>
        <v>1.2</v>
      </c>
    </row>
    <row r="334" spans="1:38">
      <c r="A334">
        <v>15293297297</v>
      </c>
      <c r="B334">
        <v>99</v>
      </c>
      <c r="D334" s="1">
        <v>44508</v>
      </c>
      <c r="E334">
        <v>15291803674</v>
      </c>
      <c r="F334" t="str">
        <f ca="1">VLOOKUP(RANDBETWEEN(1,20),'DBO Compras'!AA:AC,3,0)</f>
        <v>Comprador 12</v>
      </c>
      <c r="G334" t="s">
        <v>88</v>
      </c>
      <c r="H334" t="s">
        <v>89</v>
      </c>
      <c r="I334" t="s">
        <v>90</v>
      </c>
      <c r="J334" t="s">
        <v>91</v>
      </c>
      <c r="K334">
        <v>88337440</v>
      </c>
      <c r="L334" t="s">
        <v>92</v>
      </c>
      <c r="M334" t="s">
        <v>93</v>
      </c>
      <c r="N334">
        <v>47996529345</v>
      </c>
      <c r="O334">
        <v>0</v>
      </c>
      <c r="P334">
        <v>0</v>
      </c>
      <c r="R334" t="s">
        <v>42</v>
      </c>
      <c r="S334">
        <v>15016080333</v>
      </c>
      <c r="T334" t="str">
        <f ca="1">VLOOKUP(RANDBETWEEN(1,17),'Auxiliar Vendas'!D:G,2,0)</f>
        <v>Produto 08</v>
      </c>
      <c r="U334">
        <v>600</v>
      </c>
      <c r="V334">
        <v>14.1</v>
      </c>
      <c r="W334">
        <v>0</v>
      </c>
      <c r="X334">
        <v>10.747</v>
      </c>
      <c r="Y334" s="3">
        <v>8460</v>
      </c>
      <c r="Z334">
        <v>73</v>
      </c>
      <c r="AA334" t="s">
        <v>80</v>
      </c>
      <c r="AB334">
        <v>0</v>
      </c>
      <c r="AC334">
        <v>0</v>
      </c>
      <c r="AH334" s="2">
        <v>44508.715277777781</v>
      </c>
      <c r="AI334">
        <v>0</v>
      </c>
      <c r="AJ334">
        <v>0</v>
      </c>
      <c r="AK334" s="30" t="str">
        <f ca="1">VLOOKUP(T334,'Auxiliar Vendas'!E:F,2,FALSE)</f>
        <v>Produto 08</v>
      </c>
      <c r="AL334" s="31">
        <f ca="1">U334*VLOOKUP(T334,'Auxiliar Vendas'!E:G,3,FALSE)</f>
        <v>660</v>
      </c>
    </row>
    <row r="335" spans="1:38">
      <c r="A335">
        <v>15265690123</v>
      </c>
      <c r="B335">
        <v>12</v>
      </c>
      <c r="D335" s="1">
        <v>44509</v>
      </c>
      <c r="E335">
        <v>15265449061</v>
      </c>
      <c r="F335" t="str">
        <f ca="1">VLOOKUP(RANDBETWEEN(1,20),'DBO Compras'!AA:AC,3,0)</f>
        <v>Comprador 17</v>
      </c>
      <c r="G335" t="s">
        <v>231</v>
      </c>
      <c r="H335" t="s">
        <v>232</v>
      </c>
      <c r="I335" t="s">
        <v>233</v>
      </c>
      <c r="J335" t="s">
        <v>234</v>
      </c>
      <c r="K335">
        <v>89249000</v>
      </c>
      <c r="L335" t="s">
        <v>235</v>
      </c>
      <c r="M335" t="s">
        <v>236</v>
      </c>
      <c r="N335">
        <v>47996022520</v>
      </c>
      <c r="O335">
        <v>0</v>
      </c>
      <c r="P335">
        <v>0</v>
      </c>
      <c r="R335" t="s">
        <v>42</v>
      </c>
      <c r="S335">
        <v>15015911944</v>
      </c>
      <c r="T335" t="str">
        <f ca="1">VLOOKUP(RANDBETWEEN(1,17),'Auxiliar Vendas'!D:G,2,0)</f>
        <v>Produto 04</v>
      </c>
      <c r="U335">
        <v>200</v>
      </c>
      <c r="V335">
        <v>13.65</v>
      </c>
      <c r="W335">
        <v>0</v>
      </c>
      <c r="X335">
        <v>10.285</v>
      </c>
      <c r="Y335" s="3">
        <v>2730</v>
      </c>
      <c r="Z335">
        <v>60</v>
      </c>
      <c r="AA335" t="s">
        <v>78</v>
      </c>
      <c r="AB335">
        <v>0</v>
      </c>
      <c r="AC335">
        <v>0</v>
      </c>
      <c r="AD335" t="s">
        <v>189</v>
      </c>
      <c r="AH335" s="2">
        <v>44509.60833333333</v>
      </c>
      <c r="AI335">
        <v>0</v>
      </c>
      <c r="AJ335">
        <v>0</v>
      </c>
      <c r="AK335" s="30" t="str">
        <f ca="1">VLOOKUP(T335,'Auxiliar Vendas'!E:F,2,FALSE)</f>
        <v>Produto 04</v>
      </c>
      <c r="AL335" s="31">
        <f ca="1">U335*VLOOKUP(T335,'Auxiliar Vendas'!E:G,3,FALSE)</f>
        <v>120</v>
      </c>
    </row>
    <row r="336" spans="1:38">
      <c r="A336">
        <v>15265690123</v>
      </c>
      <c r="B336">
        <v>12</v>
      </c>
      <c r="D336" s="1">
        <v>44509</v>
      </c>
      <c r="E336">
        <v>15265449061</v>
      </c>
      <c r="F336" t="str">
        <f ca="1">VLOOKUP(RANDBETWEEN(1,20),'DBO Compras'!AA:AC,3,0)</f>
        <v>Comprador 18</v>
      </c>
      <c r="G336" t="s">
        <v>231</v>
      </c>
      <c r="H336" t="s">
        <v>232</v>
      </c>
      <c r="I336" t="s">
        <v>233</v>
      </c>
      <c r="J336" t="s">
        <v>234</v>
      </c>
      <c r="K336">
        <v>89249000</v>
      </c>
      <c r="L336" t="s">
        <v>235</v>
      </c>
      <c r="M336" t="s">
        <v>236</v>
      </c>
      <c r="N336">
        <v>47996022520</v>
      </c>
      <c r="O336">
        <v>0</v>
      </c>
      <c r="P336">
        <v>0</v>
      </c>
      <c r="R336" t="s">
        <v>42</v>
      </c>
      <c r="S336">
        <v>15015918644</v>
      </c>
      <c r="T336" t="str">
        <f ca="1">VLOOKUP(RANDBETWEEN(1,17),'Auxiliar Vendas'!D:G,2,0)</f>
        <v>Produto 08</v>
      </c>
      <c r="U336">
        <v>200</v>
      </c>
      <c r="V336">
        <v>7.9</v>
      </c>
      <c r="W336">
        <v>0</v>
      </c>
      <c r="X336">
        <v>5.61</v>
      </c>
      <c r="Y336" s="3">
        <v>1580</v>
      </c>
      <c r="Z336">
        <v>60</v>
      </c>
      <c r="AA336" t="s">
        <v>59</v>
      </c>
      <c r="AB336">
        <v>0</v>
      </c>
      <c r="AC336">
        <v>0</v>
      </c>
      <c r="AD336" t="s">
        <v>189</v>
      </c>
      <c r="AH336" s="2">
        <v>44509.60833333333</v>
      </c>
      <c r="AI336">
        <v>0</v>
      </c>
      <c r="AJ336">
        <v>0</v>
      </c>
      <c r="AK336" s="30" t="str">
        <f ca="1">VLOOKUP(T336,'Auxiliar Vendas'!E:F,2,FALSE)</f>
        <v>Produto 08</v>
      </c>
      <c r="AL336" s="31">
        <f ca="1">U336*VLOOKUP(T336,'Auxiliar Vendas'!E:G,3,FALSE)</f>
        <v>220.00000000000003</v>
      </c>
    </row>
    <row r="337" spans="1:38">
      <c r="A337">
        <v>15265690123</v>
      </c>
      <c r="B337">
        <v>12</v>
      </c>
      <c r="D337" s="1">
        <v>44509</v>
      </c>
      <c r="E337">
        <v>15265449061</v>
      </c>
      <c r="F337" t="str">
        <f ca="1">VLOOKUP(RANDBETWEEN(1,20),'DBO Compras'!AA:AC,3,0)</f>
        <v>Comprador 20</v>
      </c>
      <c r="G337" t="s">
        <v>231</v>
      </c>
      <c r="H337" t="s">
        <v>232</v>
      </c>
      <c r="I337" t="s">
        <v>233</v>
      </c>
      <c r="J337" t="s">
        <v>234</v>
      </c>
      <c r="K337">
        <v>89249000</v>
      </c>
      <c r="L337" t="s">
        <v>235</v>
      </c>
      <c r="M337" t="s">
        <v>236</v>
      </c>
      <c r="N337">
        <v>47996022520</v>
      </c>
      <c r="O337">
        <v>0</v>
      </c>
      <c r="P337">
        <v>0</v>
      </c>
      <c r="R337" t="s">
        <v>42</v>
      </c>
      <c r="S337">
        <v>15016093155</v>
      </c>
      <c r="T337" t="str">
        <f ca="1">VLOOKUP(RANDBETWEEN(1,17),'Auxiliar Vendas'!D:G,2,0)</f>
        <v>Produto 05</v>
      </c>
      <c r="U337">
        <v>100</v>
      </c>
      <c r="V337">
        <v>18.14</v>
      </c>
      <c r="W337">
        <v>0</v>
      </c>
      <c r="X337">
        <v>14.4596</v>
      </c>
      <c r="Y337" s="3">
        <v>1814</v>
      </c>
      <c r="Z337">
        <v>60</v>
      </c>
      <c r="AA337" t="s">
        <v>65</v>
      </c>
      <c r="AB337">
        <v>0</v>
      </c>
      <c r="AC337">
        <v>0</v>
      </c>
      <c r="AD337" t="s">
        <v>189</v>
      </c>
      <c r="AH337" s="2">
        <v>44509.60833333333</v>
      </c>
      <c r="AI337">
        <v>0</v>
      </c>
      <c r="AJ337">
        <v>0</v>
      </c>
      <c r="AK337" s="30" t="str">
        <f ca="1">VLOOKUP(T337,'Auxiliar Vendas'!E:F,2,FALSE)</f>
        <v>Produto 05</v>
      </c>
      <c r="AL337" s="31">
        <f ca="1">U337*VLOOKUP(T337,'Auxiliar Vendas'!E:G,3,FALSE)</f>
        <v>60</v>
      </c>
    </row>
    <row r="338" spans="1:38">
      <c r="A338">
        <v>15265690123</v>
      </c>
      <c r="B338">
        <v>12</v>
      </c>
      <c r="D338" s="1">
        <v>44509</v>
      </c>
      <c r="E338">
        <v>15265449061</v>
      </c>
      <c r="F338" t="str">
        <f ca="1">VLOOKUP(RANDBETWEEN(1,20),'DBO Compras'!AA:AC,3,0)</f>
        <v>Comprador 03</v>
      </c>
      <c r="G338" t="s">
        <v>231</v>
      </c>
      <c r="H338" t="s">
        <v>232</v>
      </c>
      <c r="I338" t="s">
        <v>233</v>
      </c>
      <c r="J338" t="s">
        <v>234</v>
      </c>
      <c r="K338">
        <v>89249000</v>
      </c>
      <c r="L338" t="s">
        <v>235</v>
      </c>
      <c r="M338" t="s">
        <v>236</v>
      </c>
      <c r="N338">
        <v>47996022520</v>
      </c>
      <c r="O338">
        <v>0</v>
      </c>
      <c r="P338">
        <v>0</v>
      </c>
      <c r="R338" t="s">
        <v>42</v>
      </c>
      <c r="S338">
        <v>15016080333</v>
      </c>
      <c r="T338" t="str">
        <f ca="1">VLOOKUP(RANDBETWEEN(1,17),'Auxiliar Vendas'!D:G,2,0)</f>
        <v>Produto 01</v>
      </c>
      <c r="U338">
        <v>50</v>
      </c>
      <c r="V338">
        <v>14.7</v>
      </c>
      <c r="W338">
        <v>0</v>
      </c>
      <c r="X338">
        <v>10.747</v>
      </c>
      <c r="Y338">
        <v>735</v>
      </c>
      <c r="Z338">
        <v>60</v>
      </c>
      <c r="AA338" t="s">
        <v>80</v>
      </c>
      <c r="AB338">
        <v>0</v>
      </c>
      <c r="AC338">
        <v>0</v>
      </c>
      <c r="AD338" t="s">
        <v>189</v>
      </c>
      <c r="AH338" s="2">
        <v>44509.60833333333</v>
      </c>
      <c r="AI338">
        <v>0</v>
      </c>
      <c r="AJ338">
        <v>0</v>
      </c>
      <c r="AK338" s="30" t="str">
        <f ca="1">VLOOKUP(T338,'Auxiliar Vendas'!E:F,2,FALSE)</f>
        <v>Produto 01</v>
      </c>
      <c r="AL338" s="31">
        <f ca="1">U338*VLOOKUP(T338,'Auxiliar Vendas'!E:G,3,FALSE)</f>
        <v>20</v>
      </c>
    </row>
    <row r="339" spans="1:38">
      <c r="A339">
        <v>15290413167</v>
      </c>
      <c r="B339">
        <v>79</v>
      </c>
      <c r="D339" s="1">
        <v>44509</v>
      </c>
      <c r="E339">
        <v>15179803016</v>
      </c>
      <c r="F339" t="str">
        <f ca="1">VLOOKUP(RANDBETWEEN(1,20),'DBO Compras'!AA:AC,3,0)</f>
        <v>Comprador 12</v>
      </c>
      <c r="G339" t="s">
        <v>155</v>
      </c>
      <c r="H339" t="s">
        <v>156</v>
      </c>
      <c r="I339" t="s">
        <v>157</v>
      </c>
      <c r="J339" t="s">
        <v>158</v>
      </c>
      <c r="K339">
        <v>84500000</v>
      </c>
      <c r="L339" t="s">
        <v>40</v>
      </c>
      <c r="M339" t="s">
        <v>159</v>
      </c>
      <c r="N339">
        <v>42999250064</v>
      </c>
      <c r="O339">
        <v>0</v>
      </c>
      <c r="P339">
        <v>0</v>
      </c>
      <c r="R339" t="s">
        <v>42</v>
      </c>
      <c r="S339">
        <v>15016043939</v>
      </c>
      <c r="T339" t="str">
        <f ca="1">VLOOKUP(RANDBETWEEN(1,17),'Auxiliar Vendas'!D:G,2,0)</f>
        <v>Produto 12</v>
      </c>
      <c r="U339">
        <v>150</v>
      </c>
      <c r="V339">
        <v>13.9</v>
      </c>
      <c r="W339">
        <v>0</v>
      </c>
      <c r="X339">
        <v>10.747</v>
      </c>
      <c r="Y339" s="3">
        <v>2085</v>
      </c>
      <c r="Z339">
        <v>50</v>
      </c>
      <c r="AA339" t="s">
        <v>50</v>
      </c>
      <c r="AB339">
        <v>0</v>
      </c>
      <c r="AC339">
        <v>0</v>
      </c>
      <c r="AD339" t="s">
        <v>51</v>
      </c>
      <c r="AH339" s="2">
        <v>44510.427083333336</v>
      </c>
      <c r="AI339">
        <v>0</v>
      </c>
      <c r="AJ339">
        <v>0</v>
      </c>
      <c r="AK339" s="30" t="str">
        <f ca="1">VLOOKUP(T339,'Auxiliar Vendas'!E:F,2,FALSE)</f>
        <v>Produto 12</v>
      </c>
      <c r="AL339" s="31">
        <f ca="1">U339*VLOOKUP(T339,'Auxiliar Vendas'!E:G,3,FALSE)</f>
        <v>210</v>
      </c>
    </row>
    <row r="340" spans="1:38">
      <c r="A340">
        <v>15290413167</v>
      </c>
      <c r="B340">
        <v>79</v>
      </c>
      <c r="D340" s="1">
        <v>44509</v>
      </c>
      <c r="E340">
        <v>15179803016</v>
      </c>
      <c r="F340" t="str">
        <f ca="1">VLOOKUP(RANDBETWEEN(1,20),'DBO Compras'!AA:AC,3,0)</f>
        <v>Comprador 12</v>
      </c>
      <c r="G340" t="s">
        <v>155</v>
      </c>
      <c r="H340" t="s">
        <v>156</v>
      </c>
      <c r="I340" t="s">
        <v>157</v>
      </c>
      <c r="J340" t="s">
        <v>158</v>
      </c>
      <c r="K340">
        <v>84500000</v>
      </c>
      <c r="L340" t="s">
        <v>40</v>
      </c>
      <c r="M340" t="s">
        <v>159</v>
      </c>
      <c r="N340">
        <v>42999250064</v>
      </c>
      <c r="O340">
        <v>0</v>
      </c>
      <c r="P340">
        <v>0</v>
      </c>
      <c r="R340" t="s">
        <v>42</v>
      </c>
      <c r="S340">
        <v>15016073255</v>
      </c>
      <c r="T340" t="str">
        <f ca="1">VLOOKUP(RANDBETWEEN(1,17),'Auxiliar Vendas'!D:G,2,0)</f>
        <v>Produto 01</v>
      </c>
      <c r="U340">
        <v>100</v>
      </c>
      <c r="V340">
        <v>16.2</v>
      </c>
      <c r="W340">
        <v>0</v>
      </c>
      <c r="X340">
        <v>10.747</v>
      </c>
      <c r="Y340" s="3">
        <v>1620</v>
      </c>
      <c r="Z340">
        <v>50</v>
      </c>
      <c r="AA340" t="s">
        <v>160</v>
      </c>
      <c r="AB340">
        <v>0</v>
      </c>
      <c r="AC340">
        <v>0</v>
      </c>
      <c r="AD340" t="s">
        <v>51</v>
      </c>
      <c r="AH340" s="2">
        <v>44510.427083333336</v>
      </c>
      <c r="AI340">
        <v>0</v>
      </c>
      <c r="AJ340">
        <v>0</v>
      </c>
      <c r="AK340" s="30" t="str">
        <f ca="1">VLOOKUP(T340,'Auxiliar Vendas'!E:F,2,FALSE)</f>
        <v>Produto 01</v>
      </c>
      <c r="AL340" s="31">
        <f ca="1">U340*VLOOKUP(T340,'Auxiliar Vendas'!E:G,3,FALSE)</f>
        <v>40</v>
      </c>
    </row>
    <row r="341" spans="1:38">
      <c r="A341">
        <v>15290413167</v>
      </c>
      <c r="B341">
        <v>79</v>
      </c>
      <c r="D341" s="1">
        <v>44509</v>
      </c>
      <c r="E341">
        <v>15179803016</v>
      </c>
      <c r="F341" t="str">
        <f ca="1">VLOOKUP(RANDBETWEEN(1,20),'DBO Compras'!AA:AC,3,0)</f>
        <v>Comprador 15</v>
      </c>
      <c r="G341" t="s">
        <v>155</v>
      </c>
      <c r="H341" t="s">
        <v>156</v>
      </c>
      <c r="I341" t="s">
        <v>157</v>
      </c>
      <c r="J341" t="s">
        <v>158</v>
      </c>
      <c r="K341">
        <v>84500000</v>
      </c>
      <c r="L341" t="s">
        <v>40</v>
      </c>
      <c r="M341" t="s">
        <v>159</v>
      </c>
      <c r="N341">
        <v>42999250064</v>
      </c>
      <c r="O341">
        <v>0</v>
      </c>
      <c r="P341">
        <v>0</v>
      </c>
      <c r="R341" t="s">
        <v>42</v>
      </c>
      <c r="S341">
        <v>15015353721</v>
      </c>
      <c r="T341" t="str">
        <f ca="1">VLOOKUP(RANDBETWEEN(1,17),'Auxiliar Vendas'!D:G,2,0)</f>
        <v>Produto 15</v>
      </c>
      <c r="U341">
        <v>60</v>
      </c>
      <c r="V341">
        <v>8.3000000000000007</v>
      </c>
      <c r="W341">
        <v>0</v>
      </c>
      <c r="X341">
        <v>5.58</v>
      </c>
      <c r="Y341">
        <v>498</v>
      </c>
      <c r="Z341">
        <v>50</v>
      </c>
      <c r="AA341" t="s">
        <v>44</v>
      </c>
      <c r="AB341">
        <v>0</v>
      </c>
      <c r="AC341">
        <v>0</v>
      </c>
      <c r="AD341" t="s">
        <v>51</v>
      </c>
      <c r="AH341" s="2">
        <v>44510.427083333336</v>
      </c>
      <c r="AI341">
        <v>0</v>
      </c>
      <c r="AJ341">
        <v>0</v>
      </c>
      <c r="AK341" s="30" t="str">
        <f ca="1">VLOOKUP(T341,'Auxiliar Vendas'!E:F,2,FALSE)</f>
        <v>Produto 15</v>
      </c>
      <c r="AL341" s="31">
        <f ca="1">U341*VLOOKUP(T341,'Auxiliar Vendas'!E:G,3,FALSE)</f>
        <v>85.199999999999989</v>
      </c>
    </row>
    <row r="342" spans="1:38">
      <c r="A342">
        <v>15290848133</v>
      </c>
      <c r="B342">
        <v>84</v>
      </c>
      <c r="D342" s="1">
        <v>44509</v>
      </c>
      <c r="E342">
        <v>15179746175</v>
      </c>
      <c r="F342" t="str">
        <f ca="1">VLOOKUP(RANDBETWEEN(1,20),'DBO Compras'!AA:AC,3,0)</f>
        <v>Comprador 10</v>
      </c>
      <c r="G342" t="s">
        <v>151</v>
      </c>
      <c r="H342" t="s">
        <v>152</v>
      </c>
      <c r="I342" t="s">
        <v>153</v>
      </c>
      <c r="J342" t="s">
        <v>154</v>
      </c>
      <c r="K342">
        <v>84266280</v>
      </c>
      <c r="L342" t="s">
        <v>40</v>
      </c>
      <c r="O342">
        <v>0</v>
      </c>
      <c r="P342">
        <v>0</v>
      </c>
      <c r="R342" t="s">
        <v>42</v>
      </c>
      <c r="S342">
        <v>15016043939</v>
      </c>
      <c r="T342" t="str">
        <f ca="1">VLOOKUP(RANDBETWEEN(1,17),'Auxiliar Vendas'!D:G,2,0)</f>
        <v>Produto 06</v>
      </c>
      <c r="U342">
        <v>150</v>
      </c>
      <c r="V342">
        <v>13.6</v>
      </c>
      <c r="W342">
        <v>0</v>
      </c>
      <c r="X342">
        <v>10.747</v>
      </c>
      <c r="Y342" s="3">
        <v>2040</v>
      </c>
      <c r="Z342">
        <v>48</v>
      </c>
      <c r="AA342" t="s">
        <v>50</v>
      </c>
      <c r="AB342">
        <v>0</v>
      </c>
      <c r="AC342">
        <v>0</v>
      </c>
      <c r="AD342" t="s">
        <v>51</v>
      </c>
      <c r="AH342" s="2">
        <v>44509.714583333334</v>
      </c>
      <c r="AI342">
        <v>0</v>
      </c>
      <c r="AJ342">
        <v>0</v>
      </c>
      <c r="AK342" s="30" t="str">
        <f ca="1">VLOOKUP(T342,'Auxiliar Vendas'!E:F,2,FALSE)</f>
        <v>Produto 06</v>
      </c>
      <c r="AL342" s="31">
        <f ca="1">U342*VLOOKUP(T342,'Auxiliar Vendas'!E:G,3,FALSE)</f>
        <v>75</v>
      </c>
    </row>
    <row r="343" spans="1:38">
      <c r="A343">
        <v>15290848133</v>
      </c>
      <c r="B343">
        <v>84</v>
      </c>
      <c r="D343" s="1">
        <v>44509</v>
      </c>
      <c r="E343">
        <v>15179746175</v>
      </c>
      <c r="F343" t="str">
        <f ca="1">VLOOKUP(RANDBETWEEN(1,20),'DBO Compras'!AA:AC,3,0)</f>
        <v>Comprador 11</v>
      </c>
      <c r="G343" t="s">
        <v>151</v>
      </c>
      <c r="H343" t="s">
        <v>152</v>
      </c>
      <c r="I343" t="s">
        <v>153</v>
      </c>
      <c r="J343" t="s">
        <v>154</v>
      </c>
      <c r="K343">
        <v>84266280</v>
      </c>
      <c r="L343" t="s">
        <v>40</v>
      </c>
      <c r="O343">
        <v>0</v>
      </c>
      <c r="P343">
        <v>0</v>
      </c>
      <c r="R343" t="s">
        <v>42</v>
      </c>
      <c r="S343">
        <v>15016099089</v>
      </c>
      <c r="T343" t="str">
        <f ca="1">VLOOKUP(RANDBETWEEN(1,17),'Auxiliar Vendas'!D:G,2,0)</f>
        <v>Produto 03</v>
      </c>
      <c r="U343">
        <v>220</v>
      </c>
      <c r="V343">
        <v>21.3</v>
      </c>
      <c r="W343">
        <v>0</v>
      </c>
      <c r="X343">
        <v>16.804400000000001</v>
      </c>
      <c r="Y343" s="3">
        <v>4686</v>
      </c>
      <c r="Z343">
        <v>48</v>
      </c>
      <c r="AA343" t="s">
        <v>79</v>
      </c>
      <c r="AB343">
        <v>0</v>
      </c>
      <c r="AC343">
        <v>0</v>
      </c>
      <c r="AD343" t="s">
        <v>51</v>
      </c>
      <c r="AH343" s="2">
        <v>44509.714583333334</v>
      </c>
      <c r="AI343">
        <v>0</v>
      </c>
      <c r="AJ343">
        <v>0</v>
      </c>
      <c r="AK343" s="30" t="str">
        <f ca="1">VLOOKUP(T343,'Auxiliar Vendas'!E:F,2,FALSE)</f>
        <v>Produto 03</v>
      </c>
      <c r="AL343" s="31">
        <f ca="1">U343*VLOOKUP(T343,'Auxiliar Vendas'!E:G,3,FALSE)</f>
        <v>132</v>
      </c>
    </row>
    <row r="344" spans="1:38">
      <c r="A344">
        <v>15290848133</v>
      </c>
      <c r="B344">
        <v>84</v>
      </c>
      <c r="D344" s="1">
        <v>44509</v>
      </c>
      <c r="E344">
        <v>15179746175</v>
      </c>
      <c r="F344" t="str">
        <f ca="1">VLOOKUP(RANDBETWEEN(1,20),'DBO Compras'!AA:AC,3,0)</f>
        <v>Comprador 07</v>
      </c>
      <c r="G344" t="s">
        <v>151</v>
      </c>
      <c r="H344" t="s">
        <v>152</v>
      </c>
      <c r="I344" t="s">
        <v>153</v>
      </c>
      <c r="J344" t="s">
        <v>154</v>
      </c>
      <c r="K344">
        <v>84266280</v>
      </c>
      <c r="L344" t="s">
        <v>40</v>
      </c>
      <c r="O344">
        <v>0</v>
      </c>
      <c r="P344">
        <v>0</v>
      </c>
      <c r="R344" t="s">
        <v>42</v>
      </c>
      <c r="S344">
        <v>15016093155</v>
      </c>
      <c r="T344" t="str">
        <f ca="1">VLOOKUP(RANDBETWEEN(1,17),'Auxiliar Vendas'!D:G,2,0)</f>
        <v>Produto 16</v>
      </c>
      <c r="U344">
        <v>80</v>
      </c>
      <c r="V344">
        <v>18.2</v>
      </c>
      <c r="W344">
        <v>0</v>
      </c>
      <c r="X344">
        <v>14.4596</v>
      </c>
      <c r="Y344" s="3">
        <v>1456</v>
      </c>
      <c r="Z344">
        <v>48</v>
      </c>
      <c r="AA344" t="s">
        <v>65</v>
      </c>
      <c r="AB344">
        <v>0</v>
      </c>
      <c r="AC344">
        <v>0</v>
      </c>
      <c r="AD344" t="s">
        <v>51</v>
      </c>
      <c r="AH344" s="2">
        <v>44509.714583333334</v>
      </c>
      <c r="AI344">
        <v>0</v>
      </c>
      <c r="AJ344">
        <v>0</v>
      </c>
      <c r="AK344" s="30" t="str">
        <f ca="1">VLOOKUP(T344,'Auxiliar Vendas'!E:F,2,FALSE)</f>
        <v>Produto 16</v>
      </c>
      <c r="AL344" s="31">
        <f ca="1">U344*VLOOKUP(T344,'Auxiliar Vendas'!E:G,3,FALSE)</f>
        <v>101.6</v>
      </c>
    </row>
    <row r="345" spans="1:38">
      <c r="A345">
        <v>15290848133</v>
      </c>
      <c r="B345">
        <v>84</v>
      </c>
      <c r="D345" s="1">
        <v>44509</v>
      </c>
      <c r="E345">
        <v>15179746175</v>
      </c>
      <c r="F345" t="str">
        <f ca="1">VLOOKUP(RANDBETWEEN(1,20),'DBO Compras'!AA:AC,3,0)</f>
        <v>Comprador 06</v>
      </c>
      <c r="G345" t="s">
        <v>151</v>
      </c>
      <c r="H345" t="s">
        <v>152</v>
      </c>
      <c r="I345" t="s">
        <v>153</v>
      </c>
      <c r="J345" t="s">
        <v>154</v>
      </c>
      <c r="K345">
        <v>84266280</v>
      </c>
      <c r="L345" t="s">
        <v>40</v>
      </c>
      <c r="O345">
        <v>0</v>
      </c>
      <c r="P345">
        <v>0</v>
      </c>
      <c r="R345" t="s">
        <v>42</v>
      </c>
      <c r="S345">
        <v>15016087271</v>
      </c>
      <c r="T345" t="str">
        <f ca="1">VLOOKUP(RANDBETWEEN(1,17),'Auxiliar Vendas'!D:G,2,0)</f>
        <v>Produto 05</v>
      </c>
      <c r="U345">
        <v>60</v>
      </c>
      <c r="V345">
        <v>18.2</v>
      </c>
      <c r="W345">
        <v>0</v>
      </c>
      <c r="X345">
        <v>14.4596</v>
      </c>
      <c r="Y345" s="3">
        <v>1092</v>
      </c>
      <c r="Z345">
        <v>48</v>
      </c>
      <c r="AA345" t="s">
        <v>64</v>
      </c>
      <c r="AB345">
        <v>0</v>
      </c>
      <c r="AC345">
        <v>0</v>
      </c>
      <c r="AD345" t="s">
        <v>51</v>
      </c>
      <c r="AH345" s="2">
        <v>44509.714583333334</v>
      </c>
      <c r="AI345">
        <v>0</v>
      </c>
      <c r="AJ345">
        <v>0</v>
      </c>
      <c r="AK345" s="30" t="str">
        <f ca="1">VLOOKUP(T345,'Auxiliar Vendas'!E:F,2,FALSE)</f>
        <v>Produto 05</v>
      </c>
      <c r="AL345" s="31">
        <f ca="1">U345*VLOOKUP(T345,'Auxiliar Vendas'!E:G,3,FALSE)</f>
        <v>36</v>
      </c>
    </row>
    <row r="346" spans="1:38">
      <c r="A346">
        <v>15290848133</v>
      </c>
      <c r="B346">
        <v>84</v>
      </c>
      <c r="D346" s="1">
        <v>44509</v>
      </c>
      <c r="E346">
        <v>15179746175</v>
      </c>
      <c r="F346" t="str">
        <f ca="1">VLOOKUP(RANDBETWEEN(1,20),'DBO Compras'!AA:AC,3,0)</f>
        <v>Comprador 20</v>
      </c>
      <c r="G346" t="s">
        <v>151</v>
      </c>
      <c r="H346" t="s">
        <v>152</v>
      </c>
      <c r="I346" t="s">
        <v>153</v>
      </c>
      <c r="J346" t="s">
        <v>154</v>
      </c>
      <c r="K346">
        <v>84266280</v>
      </c>
      <c r="L346" t="s">
        <v>40</v>
      </c>
      <c r="O346">
        <v>0</v>
      </c>
      <c r="P346">
        <v>0</v>
      </c>
      <c r="R346" t="s">
        <v>42</v>
      </c>
      <c r="S346">
        <v>15016080333</v>
      </c>
      <c r="T346" t="str">
        <f ca="1">VLOOKUP(RANDBETWEEN(1,17),'Auxiliar Vendas'!D:G,2,0)</f>
        <v>Produto 02</v>
      </c>
      <c r="U346">
        <v>40</v>
      </c>
      <c r="V346">
        <v>15.2</v>
      </c>
      <c r="W346">
        <v>0</v>
      </c>
      <c r="X346">
        <v>10.747</v>
      </c>
      <c r="Y346">
        <v>608</v>
      </c>
      <c r="Z346">
        <v>48</v>
      </c>
      <c r="AA346" t="s">
        <v>80</v>
      </c>
      <c r="AB346">
        <v>0</v>
      </c>
      <c r="AC346">
        <v>0</v>
      </c>
      <c r="AD346" t="s">
        <v>51</v>
      </c>
      <c r="AH346" s="2">
        <v>44509.714583333334</v>
      </c>
      <c r="AI346">
        <v>0</v>
      </c>
      <c r="AJ346">
        <v>0</v>
      </c>
      <c r="AK346" s="30" t="str">
        <f ca="1">VLOOKUP(T346,'Auxiliar Vendas'!E:F,2,FALSE)</f>
        <v>Produto 02</v>
      </c>
      <c r="AL346" s="31">
        <f ca="1">U346*VLOOKUP(T346,'Auxiliar Vendas'!E:G,3,FALSE)</f>
        <v>10.8</v>
      </c>
    </row>
    <row r="347" spans="1:38">
      <c r="A347">
        <v>15295274677</v>
      </c>
      <c r="B347">
        <v>107</v>
      </c>
      <c r="D347" s="1">
        <v>44509</v>
      </c>
      <c r="E347">
        <v>15295222146</v>
      </c>
      <c r="F347" t="str">
        <f ca="1">VLOOKUP(RANDBETWEEN(1,20),'DBO Compras'!AA:AC,3,0)</f>
        <v>Comprador 11</v>
      </c>
      <c r="G347" t="s">
        <v>237</v>
      </c>
      <c r="H347" t="s">
        <v>238</v>
      </c>
      <c r="I347" t="s">
        <v>239</v>
      </c>
      <c r="J347" t="s">
        <v>240</v>
      </c>
      <c r="K347" t="s">
        <v>241</v>
      </c>
      <c r="L347" t="s">
        <v>40</v>
      </c>
      <c r="O347">
        <v>0</v>
      </c>
      <c r="P347">
        <v>0</v>
      </c>
      <c r="R347" t="s">
        <v>42</v>
      </c>
      <c r="S347">
        <v>15016043939</v>
      </c>
      <c r="T347" t="str">
        <f ca="1">VLOOKUP(RANDBETWEEN(1,17),'Auxiliar Vendas'!D:G,2,0)</f>
        <v>Produto 13</v>
      </c>
      <c r="U347" s="3">
        <v>1500</v>
      </c>
      <c r="V347">
        <v>13.1</v>
      </c>
      <c r="W347">
        <v>0</v>
      </c>
      <c r="X347">
        <v>10.747</v>
      </c>
      <c r="Y347" s="3">
        <v>19650</v>
      </c>
      <c r="Z347">
        <v>77</v>
      </c>
      <c r="AA347" t="s">
        <v>50</v>
      </c>
      <c r="AB347">
        <v>0</v>
      </c>
      <c r="AC347">
        <v>0</v>
      </c>
      <c r="AH347" s="2">
        <v>44510.338194444441</v>
      </c>
      <c r="AI347">
        <v>0</v>
      </c>
      <c r="AJ347">
        <v>0</v>
      </c>
      <c r="AK347" s="30" t="str">
        <f ca="1">VLOOKUP(T347,'Auxiliar Vendas'!E:F,2,FALSE)</f>
        <v>Produto 13</v>
      </c>
      <c r="AL347" s="31">
        <f ca="1">U347*VLOOKUP(T347,'Auxiliar Vendas'!E:G,3,FALSE)</f>
        <v>2100</v>
      </c>
    </row>
    <row r="348" spans="1:38">
      <c r="A348">
        <v>15295274677</v>
      </c>
      <c r="B348">
        <v>107</v>
      </c>
      <c r="D348" s="1">
        <v>44509</v>
      </c>
      <c r="E348">
        <v>15295222146</v>
      </c>
      <c r="F348" t="str">
        <f ca="1">VLOOKUP(RANDBETWEEN(1,20),'DBO Compras'!AA:AC,3,0)</f>
        <v>Comprador 13</v>
      </c>
      <c r="G348" t="s">
        <v>237</v>
      </c>
      <c r="H348" t="s">
        <v>238</v>
      </c>
      <c r="I348" t="s">
        <v>239</v>
      </c>
      <c r="J348" t="s">
        <v>240</v>
      </c>
      <c r="K348" t="s">
        <v>241</v>
      </c>
      <c r="L348" t="s">
        <v>40</v>
      </c>
      <c r="O348">
        <v>0</v>
      </c>
      <c r="P348">
        <v>0</v>
      </c>
      <c r="R348" t="s">
        <v>42</v>
      </c>
      <c r="S348">
        <v>15015511068</v>
      </c>
      <c r="T348" t="str">
        <f ca="1">VLOOKUP(RANDBETWEEN(1,17),'Auxiliar Vendas'!D:G,2,0)</f>
        <v>Produto 17</v>
      </c>
      <c r="U348">
        <v>750</v>
      </c>
      <c r="V348">
        <v>15.4</v>
      </c>
      <c r="W348">
        <v>0</v>
      </c>
      <c r="X348">
        <v>10.23</v>
      </c>
      <c r="Y348" s="3">
        <v>11550</v>
      </c>
      <c r="Z348">
        <v>77</v>
      </c>
      <c r="AA348" t="s">
        <v>53</v>
      </c>
      <c r="AB348">
        <v>0</v>
      </c>
      <c r="AC348">
        <v>0</v>
      </c>
      <c r="AH348" s="2">
        <v>44510.338194444441</v>
      </c>
      <c r="AI348">
        <v>0</v>
      </c>
      <c r="AJ348">
        <v>0</v>
      </c>
      <c r="AK348" s="30" t="str">
        <f ca="1">VLOOKUP(T348,'Auxiliar Vendas'!E:F,2,FALSE)</f>
        <v>Produto 17</v>
      </c>
      <c r="AL348" s="31">
        <f ca="1">U348*VLOOKUP(T348,'Auxiliar Vendas'!E:G,3,FALSE)</f>
        <v>1065</v>
      </c>
    </row>
    <row r="349" spans="1:38">
      <c r="A349">
        <v>15295274677</v>
      </c>
      <c r="B349">
        <v>107</v>
      </c>
      <c r="D349" s="1">
        <v>44509</v>
      </c>
      <c r="E349">
        <v>15295222146</v>
      </c>
      <c r="F349" t="str">
        <f ca="1">VLOOKUP(RANDBETWEEN(1,20),'DBO Compras'!AA:AC,3,0)</f>
        <v>Comprador 14</v>
      </c>
      <c r="G349" t="s">
        <v>237</v>
      </c>
      <c r="H349" t="s">
        <v>238</v>
      </c>
      <c r="I349" t="s">
        <v>239</v>
      </c>
      <c r="J349" t="s">
        <v>240</v>
      </c>
      <c r="K349" t="s">
        <v>241</v>
      </c>
      <c r="L349" t="s">
        <v>40</v>
      </c>
      <c r="O349">
        <v>0</v>
      </c>
      <c r="P349">
        <v>0</v>
      </c>
      <c r="R349" t="s">
        <v>42</v>
      </c>
      <c r="S349">
        <v>15015918644</v>
      </c>
      <c r="T349" t="str">
        <f ca="1">VLOOKUP(RANDBETWEEN(1,17),'Auxiliar Vendas'!D:G,2,0)</f>
        <v>Produto 01</v>
      </c>
      <c r="U349">
        <v>500</v>
      </c>
      <c r="V349">
        <v>7.4</v>
      </c>
      <c r="W349">
        <v>0</v>
      </c>
      <c r="X349">
        <v>5.61</v>
      </c>
      <c r="Y349" s="3">
        <v>3700</v>
      </c>
      <c r="Z349">
        <v>77</v>
      </c>
      <c r="AA349" t="s">
        <v>59</v>
      </c>
      <c r="AB349">
        <v>0</v>
      </c>
      <c r="AC349">
        <v>0</v>
      </c>
      <c r="AH349" s="2">
        <v>44510.338194444441</v>
      </c>
      <c r="AI349">
        <v>0</v>
      </c>
      <c r="AJ349">
        <v>0</v>
      </c>
      <c r="AK349" s="30" t="str">
        <f ca="1">VLOOKUP(T349,'Auxiliar Vendas'!E:F,2,FALSE)</f>
        <v>Produto 01</v>
      </c>
      <c r="AL349" s="31">
        <f ca="1">U349*VLOOKUP(T349,'Auxiliar Vendas'!E:G,3,FALSE)</f>
        <v>200</v>
      </c>
    </row>
    <row r="350" spans="1:38">
      <c r="A350">
        <v>15295274677</v>
      </c>
      <c r="B350">
        <v>107</v>
      </c>
      <c r="D350" s="1">
        <v>44509</v>
      </c>
      <c r="E350">
        <v>15295222146</v>
      </c>
      <c r="F350" t="str">
        <f ca="1">VLOOKUP(RANDBETWEEN(1,20),'DBO Compras'!AA:AC,3,0)</f>
        <v>Comprador 14</v>
      </c>
      <c r="G350" t="s">
        <v>237</v>
      </c>
      <c r="H350" t="s">
        <v>238</v>
      </c>
      <c r="I350" t="s">
        <v>239</v>
      </c>
      <c r="J350" t="s">
        <v>240</v>
      </c>
      <c r="K350" t="s">
        <v>241</v>
      </c>
      <c r="L350" t="s">
        <v>40</v>
      </c>
      <c r="O350">
        <v>0</v>
      </c>
      <c r="P350">
        <v>0</v>
      </c>
      <c r="R350" t="s">
        <v>42</v>
      </c>
      <c r="S350">
        <v>15016099089</v>
      </c>
      <c r="T350" t="str">
        <f ca="1">VLOOKUP(RANDBETWEEN(1,17),'Auxiliar Vendas'!D:G,2,0)</f>
        <v>Produto 06</v>
      </c>
      <c r="U350">
        <v>350</v>
      </c>
      <c r="V350">
        <v>21.3</v>
      </c>
      <c r="W350">
        <v>0</v>
      </c>
      <c r="X350">
        <v>16.804400000000001</v>
      </c>
      <c r="Y350" s="3">
        <v>7455</v>
      </c>
      <c r="Z350">
        <v>77</v>
      </c>
      <c r="AA350" t="s">
        <v>79</v>
      </c>
      <c r="AB350">
        <v>0</v>
      </c>
      <c r="AC350">
        <v>0</v>
      </c>
      <c r="AH350" s="2">
        <v>44510.338194444441</v>
      </c>
      <c r="AI350">
        <v>0</v>
      </c>
      <c r="AJ350">
        <v>0</v>
      </c>
      <c r="AK350" s="30" t="str">
        <f ca="1">VLOOKUP(T350,'Auxiliar Vendas'!E:F,2,FALSE)</f>
        <v>Produto 06</v>
      </c>
      <c r="AL350" s="31">
        <f ca="1">U350*VLOOKUP(T350,'Auxiliar Vendas'!E:G,3,FALSE)</f>
        <v>175</v>
      </c>
    </row>
    <row r="351" spans="1:38">
      <c r="A351">
        <v>15295274677</v>
      </c>
      <c r="B351">
        <v>107</v>
      </c>
      <c r="D351" s="1">
        <v>44509</v>
      </c>
      <c r="E351">
        <v>15295222146</v>
      </c>
      <c r="F351" t="str">
        <f ca="1">VLOOKUP(RANDBETWEEN(1,20),'DBO Compras'!AA:AC,3,0)</f>
        <v>Comprador 01</v>
      </c>
      <c r="G351" t="s">
        <v>237</v>
      </c>
      <c r="H351" t="s">
        <v>238</v>
      </c>
      <c r="I351" t="s">
        <v>239</v>
      </c>
      <c r="J351" t="s">
        <v>240</v>
      </c>
      <c r="K351" t="s">
        <v>241</v>
      </c>
      <c r="L351" t="s">
        <v>40</v>
      </c>
      <c r="O351">
        <v>0</v>
      </c>
      <c r="P351">
        <v>0</v>
      </c>
      <c r="R351" t="s">
        <v>42</v>
      </c>
      <c r="S351">
        <v>15016093155</v>
      </c>
      <c r="T351" t="str">
        <f ca="1">VLOOKUP(RANDBETWEEN(1,17),'Auxiliar Vendas'!D:G,2,0)</f>
        <v>Produto 15</v>
      </c>
      <c r="U351">
        <v>350</v>
      </c>
      <c r="V351">
        <v>18.2</v>
      </c>
      <c r="W351">
        <v>0</v>
      </c>
      <c r="X351">
        <v>14.4596</v>
      </c>
      <c r="Y351" s="3">
        <v>6370</v>
      </c>
      <c r="Z351">
        <v>77</v>
      </c>
      <c r="AA351" t="s">
        <v>65</v>
      </c>
      <c r="AB351">
        <v>0</v>
      </c>
      <c r="AC351">
        <v>0</v>
      </c>
      <c r="AH351" s="2">
        <v>44510.338194444441</v>
      </c>
      <c r="AI351">
        <v>0</v>
      </c>
      <c r="AJ351">
        <v>0</v>
      </c>
      <c r="AK351" s="30" t="str">
        <f ca="1">VLOOKUP(T351,'Auxiliar Vendas'!E:F,2,FALSE)</f>
        <v>Produto 15</v>
      </c>
      <c r="AL351" s="31">
        <f ca="1">U351*VLOOKUP(T351,'Auxiliar Vendas'!E:G,3,FALSE)</f>
        <v>497</v>
      </c>
    </row>
    <row r="352" spans="1:38">
      <c r="A352">
        <v>15295274677</v>
      </c>
      <c r="B352">
        <v>107</v>
      </c>
      <c r="D352" s="1">
        <v>44509</v>
      </c>
      <c r="E352">
        <v>15295222146</v>
      </c>
      <c r="F352" t="str">
        <f ca="1">VLOOKUP(RANDBETWEEN(1,20),'DBO Compras'!AA:AC,3,0)</f>
        <v>Comprador 17</v>
      </c>
      <c r="G352" t="s">
        <v>237</v>
      </c>
      <c r="H352" t="s">
        <v>238</v>
      </c>
      <c r="I352" t="s">
        <v>239</v>
      </c>
      <c r="J352" t="s">
        <v>240</v>
      </c>
      <c r="K352" t="s">
        <v>241</v>
      </c>
      <c r="L352" t="s">
        <v>40</v>
      </c>
      <c r="O352">
        <v>0</v>
      </c>
      <c r="P352">
        <v>0</v>
      </c>
      <c r="R352" t="s">
        <v>42</v>
      </c>
      <c r="S352">
        <v>15016080333</v>
      </c>
      <c r="T352" t="str">
        <f ca="1">VLOOKUP(RANDBETWEEN(1,17),'Auxiliar Vendas'!D:G,2,0)</f>
        <v>Produto 10</v>
      </c>
      <c r="U352">
        <v>100</v>
      </c>
      <c r="V352">
        <v>15.2</v>
      </c>
      <c r="W352">
        <v>0</v>
      </c>
      <c r="X352">
        <v>10.747</v>
      </c>
      <c r="Y352" s="3">
        <v>1520</v>
      </c>
      <c r="Z352">
        <v>77</v>
      </c>
      <c r="AA352" t="s">
        <v>80</v>
      </c>
      <c r="AB352">
        <v>0</v>
      </c>
      <c r="AC352">
        <v>0</v>
      </c>
      <c r="AH352" s="2">
        <v>44510.338194444441</v>
      </c>
      <c r="AI352">
        <v>0</v>
      </c>
      <c r="AJ352">
        <v>0</v>
      </c>
      <c r="AK352" s="30" t="str">
        <f ca="1">VLOOKUP(T352,'Auxiliar Vendas'!E:F,2,FALSE)</f>
        <v>Produto 10</v>
      </c>
      <c r="AL352" s="31">
        <f ca="1">U352*VLOOKUP(T352,'Auxiliar Vendas'!E:G,3,FALSE)</f>
        <v>110.00000000000001</v>
      </c>
    </row>
    <row r="353" spans="1:38">
      <c r="A353">
        <v>15295274677</v>
      </c>
      <c r="B353">
        <v>107</v>
      </c>
      <c r="D353" s="1">
        <v>44509</v>
      </c>
      <c r="E353">
        <v>15295222146</v>
      </c>
      <c r="F353" t="str">
        <f ca="1">VLOOKUP(RANDBETWEEN(1,20),'DBO Compras'!AA:AC,3,0)</f>
        <v>Comprador 08</v>
      </c>
      <c r="G353" t="s">
        <v>237</v>
      </c>
      <c r="H353" t="s">
        <v>238</v>
      </c>
      <c r="I353" t="s">
        <v>239</v>
      </c>
      <c r="J353" t="s">
        <v>240</v>
      </c>
      <c r="K353" t="s">
        <v>241</v>
      </c>
      <c r="L353" t="s">
        <v>40</v>
      </c>
      <c r="O353">
        <v>0</v>
      </c>
      <c r="P353">
        <v>0</v>
      </c>
      <c r="R353" t="s">
        <v>42</v>
      </c>
      <c r="S353">
        <v>15016087271</v>
      </c>
      <c r="T353" t="str">
        <f ca="1">VLOOKUP(RANDBETWEEN(1,17),'Auxiliar Vendas'!D:G,2,0)</f>
        <v>Produto 07</v>
      </c>
      <c r="U353">
        <v>100</v>
      </c>
      <c r="V353">
        <v>18.2</v>
      </c>
      <c r="W353">
        <v>0</v>
      </c>
      <c r="X353">
        <v>14.4596</v>
      </c>
      <c r="Y353" s="3">
        <v>1820</v>
      </c>
      <c r="Z353">
        <v>77</v>
      </c>
      <c r="AA353" t="s">
        <v>64</v>
      </c>
      <c r="AB353">
        <v>0</v>
      </c>
      <c r="AC353">
        <v>0</v>
      </c>
      <c r="AH353" s="2">
        <v>44510.338194444441</v>
      </c>
      <c r="AI353">
        <v>0</v>
      </c>
      <c r="AJ353">
        <v>0</v>
      </c>
      <c r="AK353" s="30" t="str">
        <f ca="1">VLOOKUP(T353,'Auxiliar Vendas'!E:F,2,FALSE)</f>
        <v>Produto 07</v>
      </c>
      <c r="AL353" s="31">
        <f ca="1">U353*VLOOKUP(T353,'Auxiliar Vendas'!E:G,3,FALSE)</f>
        <v>110.00000000000001</v>
      </c>
    </row>
    <row r="354" spans="1:38">
      <c r="A354">
        <v>15290887242</v>
      </c>
      <c r="B354">
        <v>85</v>
      </c>
      <c r="D354" s="1">
        <v>44510</v>
      </c>
      <c r="E354">
        <v>15179581888</v>
      </c>
      <c r="F354" t="str">
        <f ca="1">VLOOKUP(RANDBETWEEN(1,20),'DBO Compras'!AA:AC,3,0)</f>
        <v>Comprador 20</v>
      </c>
      <c r="G354" t="s">
        <v>54</v>
      </c>
      <c r="H354" t="s">
        <v>55</v>
      </c>
      <c r="I354" t="s">
        <v>56</v>
      </c>
      <c r="J354" t="s">
        <v>39</v>
      </c>
      <c r="K354">
        <v>81350610</v>
      </c>
      <c r="L354" t="s">
        <v>40</v>
      </c>
      <c r="M354" t="s">
        <v>57</v>
      </c>
      <c r="N354">
        <v>41996849234</v>
      </c>
      <c r="O354">
        <v>0</v>
      </c>
      <c r="P354">
        <v>0</v>
      </c>
      <c r="R354" t="s">
        <v>42</v>
      </c>
      <c r="S354">
        <v>15016043939</v>
      </c>
      <c r="T354" t="str">
        <f ca="1">VLOOKUP(RANDBETWEEN(1,17),'Auxiliar Vendas'!D:G,2,0)</f>
        <v>Produto 07</v>
      </c>
      <c r="U354">
        <v>100</v>
      </c>
      <c r="V354">
        <v>14.1</v>
      </c>
      <c r="W354">
        <v>0</v>
      </c>
      <c r="X354">
        <v>10.747</v>
      </c>
      <c r="Y354" s="3">
        <v>1410</v>
      </c>
      <c r="Z354">
        <v>41</v>
      </c>
      <c r="AA354" t="s">
        <v>50</v>
      </c>
      <c r="AB354">
        <v>0</v>
      </c>
      <c r="AC354">
        <v>0</v>
      </c>
      <c r="AD354" t="s">
        <v>51</v>
      </c>
      <c r="AH354" s="2">
        <v>44510.448611111111</v>
      </c>
      <c r="AI354">
        <v>0</v>
      </c>
      <c r="AJ354">
        <v>0</v>
      </c>
      <c r="AK354" s="30" t="str">
        <f ca="1">VLOOKUP(T354,'Auxiliar Vendas'!E:F,2,FALSE)</f>
        <v>Produto 07</v>
      </c>
      <c r="AL354" s="31">
        <f ca="1">U354*VLOOKUP(T354,'Auxiliar Vendas'!E:G,3,FALSE)</f>
        <v>110.00000000000001</v>
      </c>
    </row>
    <row r="355" spans="1:38">
      <c r="A355">
        <v>15290887242</v>
      </c>
      <c r="B355">
        <v>85</v>
      </c>
      <c r="D355" s="1">
        <v>44510</v>
      </c>
      <c r="E355">
        <v>15179581888</v>
      </c>
      <c r="F355" t="str">
        <f ca="1">VLOOKUP(RANDBETWEEN(1,20),'DBO Compras'!AA:AC,3,0)</f>
        <v>Comprador 12</v>
      </c>
      <c r="G355" t="s">
        <v>54</v>
      </c>
      <c r="H355" t="s">
        <v>55</v>
      </c>
      <c r="I355" t="s">
        <v>56</v>
      </c>
      <c r="J355" t="s">
        <v>39</v>
      </c>
      <c r="K355">
        <v>81350610</v>
      </c>
      <c r="L355" t="s">
        <v>40</v>
      </c>
      <c r="M355" t="s">
        <v>57</v>
      </c>
      <c r="N355">
        <v>41996849234</v>
      </c>
      <c r="O355">
        <v>0</v>
      </c>
      <c r="P355">
        <v>0</v>
      </c>
      <c r="R355" t="s">
        <v>42</v>
      </c>
      <c r="S355">
        <v>15015353721</v>
      </c>
      <c r="T355" t="str">
        <f ca="1">VLOOKUP(RANDBETWEEN(1,17),'Auxiliar Vendas'!D:G,2,0)</f>
        <v>Produto 15</v>
      </c>
      <c r="U355">
        <v>100</v>
      </c>
      <c r="V355">
        <v>8.2799999999999994</v>
      </c>
      <c r="W355">
        <v>0</v>
      </c>
      <c r="X355">
        <v>5.58</v>
      </c>
      <c r="Y355">
        <v>828</v>
      </c>
      <c r="Z355">
        <v>41</v>
      </c>
      <c r="AA355" t="s">
        <v>44</v>
      </c>
      <c r="AB355">
        <v>0</v>
      </c>
      <c r="AC355">
        <v>0</v>
      </c>
      <c r="AD355" t="s">
        <v>51</v>
      </c>
      <c r="AH355" s="2">
        <v>44510.448611111111</v>
      </c>
      <c r="AI355">
        <v>0</v>
      </c>
      <c r="AJ355">
        <v>0</v>
      </c>
      <c r="AK355" s="30" t="str">
        <f ca="1">VLOOKUP(T355,'Auxiliar Vendas'!E:F,2,FALSE)</f>
        <v>Produto 15</v>
      </c>
      <c r="AL355" s="31">
        <f ca="1">U355*VLOOKUP(T355,'Auxiliar Vendas'!E:G,3,FALSE)</f>
        <v>142</v>
      </c>
    </row>
    <row r="356" spans="1:38">
      <c r="A356">
        <v>15265085480</v>
      </c>
      <c r="B356">
        <v>9</v>
      </c>
      <c r="D356" s="1">
        <v>44511</v>
      </c>
      <c r="E356">
        <v>15020006032</v>
      </c>
      <c r="F356" t="str">
        <f ca="1">VLOOKUP(RANDBETWEEN(1,20),'DBO Compras'!AA:AC,3,0)</f>
        <v>Comprador 01</v>
      </c>
      <c r="G356" t="s">
        <v>36</v>
      </c>
      <c r="H356" t="s">
        <v>37</v>
      </c>
      <c r="I356" t="s">
        <v>38</v>
      </c>
      <c r="J356" t="s">
        <v>39</v>
      </c>
      <c r="K356">
        <v>82960015</v>
      </c>
      <c r="L356" t="s">
        <v>40</v>
      </c>
      <c r="M356" t="s">
        <v>41</v>
      </c>
      <c r="N356">
        <v>41996838559</v>
      </c>
      <c r="O356">
        <v>0</v>
      </c>
      <c r="P356">
        <v>0</v>
      </c>
      <c r="R356" t="s">
        <v>42</v>
      </c>
      <c r="S356">
        <v>15016093155</v>
      </c>
      <c r="T356" t="str">
        <f ca="1">VLOOKUP(RANDBETWEEN(1,17),'Auxiliar Vendas'!D:G,2,0)</f>
        <v>Produto 13</v>
      </c>
      <c r="U356">
        <v>150</v>
      </c>
      <c r="V356">
        <v>29.72</v>
      </c>
      <c r="W356">
        <v>0</v>
      </c>
      <c r="X356">
        <v>14.4596</v>
      </c>
      <c r="Y356" s="3">
        <v>4458</v>
      </c>
      <c r="Z356">
        <v>16</v>
      </c>
      <c r="AA356" t="s">
        <v>65</v>
      </c>
      <c r="AB356">
        <v>0</v>
      </c>
      <c r="AC356">
        <v>0</v>
      </c>
      <c r="AH356" s="2">
        <v>44511.609027777777</v>
      </c>
      <c r="AI356">
        <v>0</v>
      </c>
      <c r="AJ356">
        <v>0</v>
      </c>
      <c r="AK356" s="30" t="str">
        <f ca="1">VLOOKUP(T356,'Auxiliar Vendas'!E:F,2,FALSE)</f>
        <v>Produto 13</v>
      </c>
      <c r="AL356" s="31">
        <f ca="1">U356*VLOOKUP(T356,'Auxiliar Vendas'!E:G,3,FALSE)</f>
        <v>210</v>
      </c>
    </row>
    <row r="357" spans="1:38">
      <c r="A357">
        <v>15265620244</v>
      </c>
      <c r="B357">
        <v>11</v>
      </c>
      <c r="D357" s="1">
        <v>44511</v>
      </c>
      <c r="E357">
        <v>15265449061</v>
      </c>
      <c r="F357" t="str">
        <f ca="1">VLOOKUP(RANDBETWEEN(1,20),'DBO Compras'!AA:AC,3,0)</f>
        <v>Comprador 02</v>
      </c>
      <c r="G357" t="s">
        <v>231</v>
      </c>
      <c r="H357" t="s">
        <v>232</v>
      </c>
      <c r="I357" t="s">
        <v>233</v>
      </c>
      <c r="J357" t="s">
        <v>234</v>
      </c>
      <c r="K357">
        <v>89249000</v>
      </c>
      <c r="L357" t="s">
        <v>235</v>
      </c>
      <c r="M357" t="s">
        <v>236</v>
      </c>
      <c r="N357">
        <v>47996022520</v>
      </c>
      <c r="O357">
        <v>0</v>
      </c>
      <c r="P357">
        <v>0</v>
      </c>
      <c r="R357" t="s">
        <v>42</v>
      </c>
      <c r="S357">
        <v>15015511068</v>
      </c>
      <c r="T357" t="str">
        <f ca="1">VLOOKUP(RANDBETWEEN(1,17),'Auxiliar Vendas'!D:G,2,0)</f>
        <v>Produto 15</v>
      </c>
      <c r="U357">
        <v>200</v>
      </c>
      <c r="V357">
        <v>16.100000000000001</v>
      </c>
      <c r="W357">
        <v>0</v>
      </c>
      <c r="X357">
        <v>10.23</v>
      </c>
      <c r="Y357" s="3">
        <v>3220</v>
      </c>
      <c r="Z357">
        <v>60</v>
      </c>
      <c r="AA357" t="s">
        <v>53</v>
      </c>
      <c r="AB357">
        <v>0</v>
      </c>
      <c r="AC357">
        <v>0</v>
      </c>
      <c r="AD357" t="s">
        <v>189</v>
      </c>
      <c r="AH357" s="2">
        <v>44511.609027777777</v>
      </c>
      <c r="AI357">
        <v>0</v>
      </c>
      <c r="AJ357">
        <v>0</v>
      </c>
      <c r="AK357" s="30" t="str">
        <f ca="1">VLOOKUP(T357,'Auxiliar Vendas'!E:F,2,FALSE)</f>
        <v>Produto 15</v>
      </c>
      <c r="AL357" s="31">
        <f ca="1">U357*VLOOKUP(T357,'Auxiliar Vendas'!E:G,3,FALSE)</f>
        <v>284</v>
      </c>
    </row>
    <row r="358" spans="1:38">
      <c r="A358">
        <v>15265620244</v>
      </c>
      <c r="B358">
        <v>11</v>
      </c>
      <c r="D358" s="1">
        <v>44511</v>
      </c>
      <c r="E358">
        <v>15265449061</v>
      </c>
      <c r="F358" t="str">
        <f ca="1">VLOOKUP(RANDBETWEEN(1,20),'DBO Compras'!AA:AC,3,0)</f>
        <v>Comprador 20</v>
      </c>
      <c r="G358" t="s">
        <v>231</v>
      </c>
      <c r="H358" t="s">
        <v>232</v>
      </c>
      <c r="I358" t="s">
        <v>233</v>
      </c>
      <c r="J358" t="s">
        <v>234</v>
      </c>
      <c r="K358">
        <v>89249000</v>
      </c>
      <c r="L358" t="s">
        <v>235</v>
      </c>
      <c r="M358" t="s">
        <v>236</v>
      </c>
      <c r="N358">
        <v>47996022520</v>
      </c>
      <c r="O358">
        <v>0</v>
      </c>
      <c r="P358">
        <v>0</v>
      </c>
      <c r="R358" t="s">
        <v>42</v>
      </c>
      <c r="S358">
        <v>15015911944</v>
      </c>
      <c r="T358" t="str">
        <f ca="1">VLOOKUP(RANDBETWEEN(1,17),'Auxiliar Vendas'!D:G,2,0)</f>
        <v>Produto 06</v>
      </c>
      <c r="U358">
        <v>150</v>
      </c>
      <c r="V358">
        <v>13.65</v>
      </c>
      <c r="W358">
        <v>0</v>
      </c>
      <c r="X358">
        <v>10.285</v>
      </c>
      <c r="Y358" s="3">
        <v>2047.5</v>
      </c>
      <c r="Z358">
        <v>60</v>
      </c>
      <c r="AA358" t="s">
        <v>78</v>
      </c>
      <c r="AB358">
        <v>0</v>
      </c>
      <c r="AC358">
        <v>0</v>
      </c>
      <c r="AD358" t="s">
        <v>189</v>
      </c>
      <c r="AH358" s="2">
        <v>44511.609027777777</v>
      </c>
      <c r="AI358">
        <v>0</v>
      </c>
      <c r="AJ358">
        <v>0</v>
      </c>
      <c r="AK358" s="30" t="str">
        <f ca="1">VLOOKUP(T358,'Auxiliar Vendas'!E:F,2,FALSE)</f>
        <v>Produto 06</v>
      </c>
      <c r="AL358" s="31">
        <f ca="1">U358*VLOOKUP(T358,'Auxiliar Vendas'!E:G,3,FALSE)</f>
        <v>75</v>
      </c>
    </row>
    <row r="359" spans="1:38">
      <c r="A359">
        <v>15265620244</v>
      </c>
      <c r="B359">
        <v>11</v>
      </c>
      <c r="D359" s="1">
        <v>44511</v>
      </c>
      <c r="E359">
        <v>15265449061</v>
      </c>
      <c r="F359" t="str">
        <f ca="1">VLOOKUP(RANDBETWEEN(1,20),'DBO Compras'!AA:AC,3,0)</f>
        <v>Comprador 17</v>
      </c>
      <c r="G359" t="s">
        <v>231</v>
      </c>
      <c r="H359" t="s">
        <v>232</v>
      </c>
      <c r="I359" t="s">
        <v>233</v>
      </c>
      <c r="J359" t="s">
        <v>234</v>
      </c>
      <c r="K359">
        <v>89249000</v>
      </c>
      <c r="L359" t="s">
        <v>235</v>
      </c>
      <c r="M359" t="s">
        <v>236</v>
      </c>
      <c r="N359">
        <v>47996022520</v>
      </c>
      <c r="O359">
        <v>0</v>
      </c>
      <c r="P359">
        <v>0</v>
      </c>
      <c r="R359" t="s">
        <v>42</v>
      </c>
      <c r="S359">
        <v>15016093155</v>
      </c>
      <c r="T359" t="str">
        <f ca="1">VLOOKUP(RANDBETWEEN(1,17),'Auxiliar Vendas'!D:G,2,0)</f>
        <v>Produto 05</v>
      </c>
      <c r="U359">
        <v>150</v>
      </c>
      <c r="V359">
        <v>18.14</v>
      </c>
      <c r="W359">
        <v>0</v>
      </c>
      <c r="X359">
        <v>14.4596</v>
      </c>
      <c r="Y359" s="3">
        <v>2721</v>
      </c>
      <c r="Z359">
        <v>60</v>
      </c>
      <c r="AA359" t="s">
        <v>65</v>
      </c>
      <c r="AB359">
        <v>0</v>
      </c>
      <c r="AC359">
        <v>0</v>
      </c>
      <c r="AD359" t="s">
        <v>189</v>
      </c>
      <c r="AH359" s="2">
        <v>44511.609027777777</v>
      </c>
      <c r="AI359">
        <v>0</v>
      </c>
      <c r="AJ359">
        <v>0</v>
      </c>
      <c r="AK359" s="30" t="str">
        <f ca="1">VLOOKUP(T359,'Auxiliar Vendas'!E:F,2,FALSE)</f>
        <v>Produto 05</v>
      </c>
      <c r="AL359" s="31">
        <f ca="1">U359*VLOOKUP(T359,'Auxiliar Vendas'!E:G,3,FALSE)</f>
        <v>90</v>
      </c>
    </row>
    <row r="360" spans="1:38">
      <c r="A360">
        <v>15265620244</v>
      </c>
      <c r="B360">
        <v>11</v>
      </c>
      <c r="D360" s="1">
        <v>44511</v>
      </c>
      <c r="E360">
        <v>15265449061</v>
      </c>
      <c r="F360" t="str">
        <f ca="1">VLOOKUP(RANDBETWEEN(1,20),'DBO Compras'!AA:AC,3,0)</f>
        <v>Comprador 09</v>
      </c>
      <c r="G360" t="s">
        <v>231</v>
      </c>
      <c r="H360" t="s">
        <v>232</v>
      </c>
      <c r="I360" t="s">
        <v>233</v>
      </c>
      <c r="J360" t="s">
        <v>234</v>
      </c>
      <c r="K360">
        <v>89249000</v>
      </c>
      <c r="L360" t="s">
        <v>235</v>
      </c>
      <c r="M360" t="s">
        <v>236</v>
      </c>
      <c r="N360">
        <v>47996022520</v>
      </c>
      <c r="O360">
        <v>0</v>
      </c>
      <c r="P360">
        <v>0</v>
      </c>
      <c r="R360" t="s">
        <v>42</v>
      </c>
      <c r="S360">
        <v>15016080333</v>
      </c>
      <c r="T360" t="str">
        <f ca="1">VLOOKUP(RANDBETWEEN(1,17),'Auxiliar Vendas'!D:G,2,0)</f>
        <v>Produto 10</v>
      </c>
      <c r="U360">
        <v>50</v>
      </c>
      <c r="V360">
        <v>14.7</v>
      </c>
      <c r="W360">
        <v>0</v>
      </c>
      <c r="X360">
        <v>10.747</v>
      </c>
      <c r="Y360">
        <v>735</v>
      </c>
      <c r="Z360">
        <v>60</v>
      </c>
      <c r="AA360" t="s">
        <v>80</v>
      </c>
      <c r="AB360">
        <v>0</v>
      </c>
      <c r="AC360">
        <v>0</v>
      </c>
      <c r="AD360" t="s">
        <v>189</v>
      </c>
      <c r="AH360" s="2">
        <v>44511.609027777777</v>
      </c>
      <c r="AI360">
        <v>0</v>
      </c>
      <c r="AJ360">
        <v>0</v>
      </c>
      <c r="AK360" s="30" t="str">
        <f ca="1">VLOOKUP(T360,'Auxiliar Vendas'!E:F,2,FALSE)</f>
        <v>Produto 10</v>
      </c>
      <c r="AL360" s="31">
        <f ca="1">U360*VLOOKUP(T360,'Auxiliar Vendas'!E:G,3,FALSE)</f>
        <v>55.000000000000007</v>
      </c>
    </row>
    <row r="361" spans="1:38">
      <c r="A361">
        <v>15265620244</v>
      </c>
      <c r="B361">
        <v>11</v>
      </c>
      <c r="D361" s="1">
        <v>44511</v>
      </c>
      <c r="E361">
        <v>15265449061</v>
      </c>
      <c r="F361" t="str">
        <f ca="1">VLOOKUP(RANDBETWEEN(1,20),'DBO Compras'!AA:AC,3,0)</f>
        <v>Comprador 14</v>
      </c>
      <c r="G361" t="s">
        <v>231</v>
      </c>
      <c r="H361" t="s">
        <v>232</v>
      </c>
      <c r="I361" t="s">
        <v>233</v>
      </c>
      <c r="J361" t="s">
        <v>234</v>
      </c>
      <c r="K361">
        <v>89249000</v>
      </c>
      <c r="L361" t="s">
        <v>235</v>
      </c>
      <c r="M361" t="s">
        <v>236</v>
      </c>
      <c r="N361">
        <v>47996022520</v>
      </c>
      <c r="O361">
        <v>0</v>
      </c>
      <c r="P361">
        <v>0</v>
      </c>
      <c r="R361" t="s">
        <v>42</v>
      </c>
      <c r="S361">
        <v>15016087271</v>
      </c>
      <c r="T361" t="str">
        <f ca="1">VLOOKUP(RANDBETWEEN(1,17),'Auxiliar Vendas'!D:G,2,0)</f>
        <v>Produto 06</v>
      </c>
      <c r="U361">
        <v>30</v>
      </c>
      <c r="V361">
        <v>18.133299999999998</v>
      </c>
      <c r="W361">
        <v>0</v>
      </c>
      <c r="X361">
        <v>14.4596</v>
      </c>
      <c r="Y361">
        <v>543.99900000000002</v>
      </c>
      <c r="Z361">
        <v>60</v>
      </c>
      <c r="AA361" t="s">
        <v>64</v>
      </c>
      <c r="AB361">
        <v>0</v>
      </c>
      <c r="AC361">
        <v>0</v>
      </c>
      <c r="AD361" t="s">
        <v>189</v>
      </c>
      <c r="AH361" s="2">
        <v>44511.609027777777</v>
      </c>
      <c r="AI361">
        <v>0</v>
      </c>
      <c r="AJ361">
        <v>0</v>
      </c>
      <c r="AK361" s="30" t="str">
        <f ca="1">VLOOKUP(T361,'Auxiliar Vendas'!E:F,2,FALSE)</f>
        <v>Produto 06</v>
      </c>
      <c r="AL361" s="31">
        <f ca="1">U361*VLOOKUP(T361,'Auxiliar Vendas'!E:G,3,FALSE)</f>
        <v>15</v>
      </c>
    </row>
    <row r="362" spans="1:38">
      <c r="A362">
        <v>15265620244</v>
      </c>
      <c r="B362">
        <v>11</v>
      </c>
      <c r="D362" s="1">
        <v>44511</v>
      </c>
      <c r="E362">
        <v>15265449061</v>
      </c>
      <c r="F362" t="str">
        <f ca="1">VLOOKUP(RANDBETWEEN(1,20),'DBO Compras'!AA:AC,3,0)</f>
        <v>Comprador 17</v>
      </c>
      <c r="G362" t="s">
        <v>231</v>
      </c>
      <c r="H362" t="s">
        <v>232</v>
      </c>
      <c r="I362" t="s">
        <v>233</v>
      </c>
      <c r="J362" t="s">
        <v>234</v>
      </c>
      <c r="K362">
        <v>89249000</v>
      </c>
      <c r="L362" t="s">
        <v>235</v>
      </c>
      <c r="M362" t="s">
        <v>236</v>
      </c>
      <c r="N362">
        <v>47996022520</v>
      </c>
      <c r="O362">
        <v>0</v>
      </c>
      <c r="P362">
        <v>0</v>
      </c>
      <c r="R362" t="s">
        <v>42</v>
      </c>
      <c r="S362">
        <v>15015918644</v>
      </c>
      <c r="T362" t="str">
        <f ca="1">VLOOKUP(RANDBETWEEN(1,17),'Auxiliar Vendas'!D:G,2,0)</f>
        <v>Produto 07</v>
      </c>
      <c r="U362">
        <v>150</v>
      </c>
      <c r="V362">
        <v>7.9</v>
      </c>
      <c r="W362">
        <v>0</v>
      </c>
      <c r="X362">
        <v>5.61</v>
      </c>
      <c r="Y362" s="3">
        <v>1185</v>
      </c>
      <c r="Z362">
        <v>60</v>
      </c>
      <c r="AA362" t="s">
        <v>59</v>
      </c>
      <c r="AB362">
        <v>0</v>
      </c>
      <c r="AC362">
        <v>0</v>
      </c>
      <c r="AD362" t="s">
        <v>189</v>
      </c>
      <c r="AH362" s="2">
        <v>44511.609027777777</v>
      </c>
      <c r="AI362">
        <v>0</v>
      </c>
      <c r="AJ362">
        <v>0</v>
      </c>
      <c r="AK362" s="30" t="str">
        <f ca="1">VLOOKUP(T362,'Auxiliar Vendas'!E:F,2,FALSE)</f>
        <v>Produto 07</v>
      </c>
      <c r="AL362" s="31">
        <f ca="1">U362*VLOOKUP(T362,'Auxiliar Vendas'!E:G,3,FALSE)</f>
        <v>165</v>
      </c>
    </row>
    <row r="363" spans="1:38">
      <c r="A363">
        <v>15265620244</v>
      </c>
      <c r="B363">
        <v>11</v>
      </c>
      <c r="D363" s="1">
        <v>44511</v>
      </c>
      <c r="E363">
        <v>15265449061</v>
      </c>
      <c r="F363" t="str">
        <f ca="1">VLOOKUP(RANDBETWEEN(1,20),'DBO Compras'!AA:AC,3,0)</f>
        <v>Comprador 02</v>
      </c>
      <c r="G363" t="s">
        <v>231</v>
      </c>
      <c r="H363" t="s">
        <v>232</v>
      </c>
      <c r="I363" t="s">
        <v>233</v>
      </c>
      <c r="J363" t="s">
        <v>234</v>
      </c>
      <c r="K363">
        <v>89249000</v>
      </c>
      <c r="L363" t="s">
        <v>235</v>
      </c>
      <c r="M363" t="s">
        <v>236</v>
      </c>
      <c r="N363">
        <v>47996022520</v>
      </c>
      <c r="O363">
        <v>0</v>
      </c>
      <c r="P363">
        <v>0</v>
      </c>
      <c r="R363" t="s">
        <v>42</v>
      </c>
      <c r="S363">
        <v>15016099089</v>
      </c>
      <c r="T363" t="str">
        <f ca="1">VLOOKUP(RANDBETWEEN(1,17),'Auxiliar Vendas'!D:G,2,0)</f>
        <v>Produto 10</v>
      </c>
      <c r="U363">
        <v>50</v>
      </c>
      <c r="V363">
        <v>21.1</v>
      </c>
      <c r="W363">
        <v>0</v>
      </c>
      <c r="X363">
        <v>16.804400000000001</v>
      </c>
      <c r="Y363" s="3">
        <v>1055</v>
      </c>
      <c r="Z363">
        <v>60</v>
      </c>
      <c r="AA363" t="s">
        <v>79</v>
      </c>
      <c r="AB363">
        <v>0</v>
      </c>
      <c r="AC363">
        <v>0</v>
      </c>
      <c r="AD363" t="s">
        <v>189</v>
      </c>
      <c r="AH363" s="2">
        <v>44511.609027777777</v>
      </c>
      <c r="AI363">
        <v>0</v>
      </c>
      <c r="AJ363">
        <v>0</v>
      </c>
      <c r="AK363" s="30" t="str">
        <f ca="1">VLOOKUP(T363,'Auxiliar Vendas'!E:F,2,FALSE)</f>
        <v>Produto 10</v>
      </c>
      <c r="AL363" s="31">
        <f ca="1">U363*VLOOKUP(T363,'Auxiliar Vendas'!E:G,3,FALSE)</f>
        <v>55.000000000000007</v>
      </c>
    </row>
    <row r="364" spans="1:38">
      <c r="A364">
        <v>15265914621</v>
      </c>
      <c r="B364">
        <v>13</v>
      </c>
      <c r="D364" s="1">
        <v>44511</v>
      </c>
      <c r="E364">
        <v>15265793683</v>
      </c>
      <c r="F364" t="str">
        <f ca="1">VLOOKUP(RANDBETWEEN(1,20),'DBO Compras'!AA:AC,3,0)</f>
        <v>Comprador 20</v>
      </c>
      <c r="G364" t="s">
        <v>242</v>
      </c>
      <c r="H364" t="s">
        <v>243</v>
      </c>
      <c r="I364" t="s">
        <v>69</v>
      </c>
      <c r="J364" t="s">
        <v>244</v>
      </c>
      <c r="K364" t="s">
        <v>245</v>
      </c>
      <c r="L364" t="s">
        <v>40</v>
      </c>
      <c r="O364">
        <v>0</v>
      </c>
      <c r="P364">
        <v>350</v>
      </c>
      <c r="R364" t="s">
        <v>42</v>
      </c>
      <c r="S364">
        <v>15015911944</v>
      </c>
      <c r="T364" t="str">
        <f ca="1">VLOOKUP(RANDBETWEEN(1,17),'Auxiliar Vendas'!D:G,2,0)</f>
        <v>Produto 12</v>
      </c>
      <c r="U364">
        <v>350</v>
      </c>
      <c r="V364">
        <v>13.95</v>
      </c>
      <c r="W364">
        <v>0</v>
      </c>
      <c r="X364">
        <v>10.285</v>
      </c>
      <c r="Y364" s="3">
        <v>4882.5</v>
      </c>
      <c r="Z364">
        <v>61</v>
      </c>
      <c r="AA364" t="s">
        <v>78</v>
      </c>
      <c r="AB364">
        <v>203.28</v>
      </c>
      <c r="AC364">
        <v>0</v>
      </c>
      <c r="AD364" t="s">
        <v>51</v>
      </c>
      <c r="AH364" s="2">
        <v>44511.609722222223</v>
      </c>
      <c r="AI364">
        <v>0</v>
      </c>
      <c r="AJ364">
        <v>0</v>
      </c>
      <c r="AK364" s="30" t="str">
        <f ca="1">VLOOKUP(T364,'Auxiliar Vendas'!E:F,2,FALSE)</f>
        <v>Produto 12</v>
      </c>
      <c r="AL364" s="31">
        <f ca="1">U364*VLOOKUP(T364,'Auxiliar Vendas'!E:G,3,FALSE)</f>
        <v>489.99999999999994</v>
      </c>
    </row>
    <row r="365" spans="1:38">
      <c r="A365">
        <v>15265914621</v>
      </c>
      <c r="B365">
        <v>13</v>
      </c>
      <c r="D365" s="1">
        <v>44511</v>
      </c>
      <c r="E365">
        <v>15265793683</v>
      </c>
      <c r="F365" t="str">
        <f ca="1">VLOOKUP(RANDBETWEEN(1,20),'DBO Compras'!AA:AC,3,0)</f>
        <v>Comprador 15</v>
      </c>
      <c r="G365" t="s">
        <v>242</v>
      </c>
      <c r="H365" t="s">
        <v>243</v>
      </c>
      <c r="I365" t="s">
        <v>69</v>
      </c>
      <c r="J365" t="s">
        <v>244</v>
      </c>
      <c r="K365" t="s">
        <v>245</v>
      </c>
      <c r="L365" t="s">
        <v>40</v>
      </c>
      <c r="O365">
        <v>0</v>
      </c>
      <c r="P365">
        <v>350</v>
      </c>
      <c r="R365" t="s">
        <v>42</v>
      </c>
      <c r="S365">
        <v>15015918644</v>
      </c>
      <c r="T365" t="str">
        <f ca="1">VLOOKUP(RANDBETWEEN(1,17),'Auxiliar Vendas'!D:G,2,0)</f>
        <v>Produto 05</v>
      </c>
      <c r="U365">
        <v>200</v>
      </c>
      <c r="V365">
        <v>8.1</v>
      </c>
      <c r="W365">
        <v>0</v>
      </c>
      <c r="X365">
        <v>5.61</v>
      </c>
      <c r="Y365" s="3">
        <v>1620</v>
      </c>
      <c r="Z365">
        <v>61</v>
      </c>
      <c r="AA365" t="s">
        <v>59</v>
      </c>
      <c r="AB365">
        <v>67.45</v>
      </c>
      <c r="AC365">
        <v>0</v>
      </c>
      <c r="AD365" t="s">
        <v>51</v>
      </c>
      <c r="AH365" s="2">
        <v>44511.609722222223</v>
      </c>
      <c r="AI365">
        <v>0</v>
      </c>
      <c r="AJ365">
        <v>0</v>
      </c>
      <c r="AK365" s="30" t="str">
        <f ca="1">VLOOKUP(T365,'Auxiliar Vendas'!E:F,2,FALSE)</f>
        <v>Produto 05</v>
      </c>
      <c r="AL365" s="31">
        <f ca="1">U365*VLOOKUP(T365,'Auxiliar Vendas'!E:G,3,FALSE)</f>
        <v>120</v>
      </c>
    </row>
    <row r="366" spans="1:38">
      <c r="A366">
        <v>15265914621</v>
      </c>
      <c r="B366">
        <v>13</v>
      </c>
      <c r="D366" s="1">
        <v>44511</v>
      </c>
      <c r="E366">
        <v>15265793683</v>
      </c>
      <c r="F366" t="str">
        <f ca="1">VLOOKUP(RANDBETWEEN(1,20),'DBO Compras'!AA:AC,3,0)</f>
        <v>Comprador 01</v>
      </c>
      <c r="G366" t="s">
        <v>242</v>
      </c>
      <c r="H366" t="s">
        <v>243</v>
      </c>
      <c r="I366" t="s">
        <v>69</v>
      </c>
      <c r="J366" t="s">
        <v>244</v>
      </c>
      <c r="K366" t="s">
        <v>245</v>
      </c>
      <c r="L366" t="s">
        <v>40</v>
      </c>
      <c r="O366">
        <v>0</v>
      </c>
      <c r="P366">
        <v>350</v>
      </c>
      <c r="R366" t="s">
        <v>42</v>
      </c>
      <c r="S366">
        <v>15016093155</v>
      </c>
      <c r="T366" t="str">
        <f ca="1">VLOOKUP(RANDBETWEEN(1,17),'Auxiliar Vendas'!D:G,2,0)</f>
        <v>Produto 15</v>
      </c>
      <c r="U366">
        <v>80</v>
      </c>
      <c r="V366">
        <v>18.100000000000001</v>
      </c>
      <c r="W366">
        <v>0</v>
      </c>
      <c r="X366">
        <v>14.4596</v>
      </c>
      <c r="Y366" s="3">
        <v>1448</v>
      </c>
      <c r="Z366">
        <v>61</v>
      </c>
      <c r="AA366" t="s">
        <v>65</v>
      </c>
      <c r="AB366">
        <v>60.29</v>
      </c>
      <c r="AC366">
        <v>0</v>
      </c>
      <c r="AD366" t="s">
        <v>51</v>
      </c>
      <c r="AH366" s="2">
        <v>44511.609722222223</v>
      </c>
      <c r="AI366">
        <v>0</v>
      </c>
      <c r="AJ366">
        <v>0</v>
      </c>
      <c r="AK366" s="30" t="str">
        <f ca="1">VLOOKUP(T366,'Auxiliar Vendas'!E:F,2,FALSE)</f>
        <v>Produto 15</v>
      </c>
      <c r="AL366" s="31">
        <f ca="1">U366*VLOOKUP(T366,'Auxiliar Vendas'!E:G,3,FALSE)</f>
        <v>113.6</v>
      </c>
    </row>
    <row r="367" spans="1:38">
      <c r="A367">
        <v>15265914621</v>
      </c>
      <c r="B367">
        <v>13</v>
      </c>
      <c r="D367" s="1">
        <v>44511</v>
      </c>
      <c r="E367">
        <v>15265793683</v>
      </c>
      <c r="F367" t="str">
        <f ca="1">VLOOKUP(RANDBETWEEN(1,20),'DBO Compras'!AA:AC,3,0)</f>
        <v>Comprador 19</v>
      </c>
      <c r="G367" t="s">
        <v>242</v>
      </c>
      <c r="H367" t="s">
        <v>243</v>
      </c>
      <c r="I367" t="s">
        <v>69</v>
      </c>
      <c r="J367" t="s">
        <v>244</v>
      </c>
      <c r="K367" t="s">
        <v>245</v>
      </c>
      <c r="L367" t="s">
        <v>40</v>
      </c>
      <c r="O367">
        <v>0</v>
      </c>
      <c r="P367">
        <v>350</v>
      </c>
      <c r="R367" t="s">
        <v>42</v>
      </c>
      <c r="S367">
        <v>15016080333</v>
      </c>
      <c r="T367" t="str">
        <f ca="1">VLOOKUP(RANDBETWEEN(1,17),'Auxiliar Vendas'!D:G,2,0)</f>
        <v>Produto 16</v>
      </c>
      <c r="U367">
        <v>30</v>
      </c>
      <c r="V367">
        <v>15.2</v>
      </c>
      <c r="W367">
        <v>0</v>
      </c>
      <c r="X367">
        <v>10.747</v>
      </c>
      <c r="Y367">
        <v>456</v>
      </c>
      <c r="Z367">
        <v>61</v>
      </c>
      <c r="AA367" t="s">
        <v>80</v>
      </c>
      <c r="AB367">
        <v>18.989999999999998</v>
      </c>
      <c r="AC367">
        <v>0</v>
      </c>
      <c r="AD367" t="s">
        <v>51</v>
      </c>
      <c r="AH367" s="2">
        <v>44511.609722222223</v>
      </c>
      <c r="AI367">
        <v>0</v>
      </c>
      <c r="AJ367">
        <v>0</v>
      </c>
      <c r="AK367" s="30" t="str">
        <f ca="1">VLOOKUP(T367,'Auxiliar Vendas'!E:F,2,FALSE)</f>
        <v>Produto 16</v>
      </c>
      <c r="AL367" s="31">
        <f ca="1">U367*VLOOKUP(T367,'Auxiliar Vendas'!E:G,3,FALSE)</f>
        <v>38.1</v>
      </c>
    </row>
    <row r="368" spans="1:38">
      <c r="A368">
        <v>15266063318</v>
      </c>
      <c r="B368">
        <v>14</v>
      </c>
      <c r="D368" s="1">
        <v>44511</v>
      </c>
      <c r="E368">
        <v>15265974994</v>
      </c>
      <c r="F368" t="str">
        <f ca="1">VLOOKUP(RANDBETWEEN(1,20),'DBO Compras'!AA:AC,3,0)</f>
        <v>Comprador 15</v>
      </c>
      <c r="G368" t="s">
        <v>246</v>
      </c>
      <c r="H368" t="s">
        <v>247</v>
      </c>
      <c r="I368" t="s">
        <v>248</v>
      </c>
      <c r="J368" t="s">
        <v>249</v>
      </c>
      <c r="K368">
        <v>88340001</v>
      </c>
      <c r="L368" t="s">
        <v>92</v>
      </c>
      <c r="O368">
        <v>0</v>
      </c>
      <c r="P368">
        <v>0</v>
      </c>
      <c r="R368" t="s">
        <v>42</v>
      </c>
      <c r="S368">
        <v>15015918644</v>
      </c>
      <c r="T368" t="str">
        <f ca="1">VLOOKUP(RANDBETWEEN(1,17),'Auxiliar Vendas'!D:G,2,0)</f>
        <v>Produto 05</v>
      </c>
      <c r="U368">
        <v>600</v>
      </c>
      <c r="V368">
        <v>7.9</v>
      </c>
      <c r="W368">
        <v>0</v>
      </c>
      <c r="X368">
        <v>5.61</v>
      </c>
      <c r="Y368" s="3">
        <v>4740</v>
      </c>
      <c r="Z368">
        <v>62</v>
      </c>
      <c r="AA368" t="s">
        <v>59</v>
      </c>
      <c r="AB368">
        <v>0</v>
      </c>
      <c r="AC368">
        <v>0</v>
      </c>
      <c r="AD368" t="s">
        <v>189</v>
      </c>
      <c r="AH368" s="2">
        <v>44511.609027777777</v>
      </c>
      <c r="AI368">
        <v>0</v>
      </c>
      <c r="AJ368">
        <v>0</v>
      </c>
      <c r="AK368" s="30" t="str">
        <f ca="1">VLOOKUP(T368,'Auxiliar Vendas'!E:F,2,FALSE)</f>
        <v>Produto 05</v>
      </c>
      <c r="AL368" s="31">
        <f ca="1">U368*VLOOKUP(T368,'Auxiliar Vendas'!E:G,3,FALSE)</f>
        <v>360</v>
      </c>
    </row>
    <row r="369" spans="1:38">
      <c r="A369">
        <v>15266063318</v>
      </c>
      <c r="B369">
        <v>14</v>
      </c>
      <c r="D369" s="1">
        <v>44511</v>
      </c>
      <c r="E369">
        <v>15265974994</v>
      </c>
      <c r="F369" t="str">
        <f ca="1">VLOOKUP(RANDBETWEEN(1,20),'DBO Compras'!AA:AC,3,0)</f>
        <v>Comprador 16</v>
      </c>
      <c r="G369" t="s">
        <v>246</v>
      </c>
      <c r="H369" t="s">
        <v>247</v>
      </c>
      <c r="I369" t="s">
        <v>248</v>
      </c>
      <c r="J369" t="s">
        <v>249</v>
      </c>
      <c r="K369">
        <v>88340001</v>
      </c>
      <c r="L369" t="s">
        <v>92</v>
      </c>
      <c r="O369">
        <v>0</v>
      </c>
      <c r="P369">
        <v>0</v>
      </c>
      <c r="R369" t="s">
        <v>42</v>
      </c>
      <c r="S369">
        <v>15016080333</v>
      </c>
      <c r="T369" t="str">
        <f ca="1">VLOOKUP(RANDBETWEEN(1,17),'Auxiliar Vendas'!D:G,2,0)</f>
        <v>Produto 17</v>
      </c>
      <c r="U369">
        <v>600</v>
      </c>
      <c r="V369">
        <v>14.7</v>
      </c>
      <c r="W369">
        <v>0</v>
      </c>
      <c r="X369">
        <v>10.747</v>
      </c>
      <c r="Y369" s="3">
        <v>8820</v>
      </c>
      <c r="Z369">
        <v>62</v>
      </c>
      <c r="AA369" t="s">
        <v>80</v>
      </c>
      <c r="AB369">
        <v>0</v>
      </c>
      <c r="AC369">
        <v>0</v>
      </c>
      <c r="AD369" t="s">
        <v>189</v>
      </c>
      <c r="AH369" s="2">
        <v>44511.609027777777</v>
      </c>
      <c r="AI369">
        <v>0</v>
      </c>
      <c r="AJ369">
        <v>0</v>
      </c>
      <c r="AK369" s="30" t="str">
        <f ca="1">VLOOKUP(T369,'Auxiliar Vendas'!E:F,2,FALSE)</f>
        <v>Produto 17</v>
      </c>
      <c r="AL369" s="31">
        <f ca="1">U369*VLOOKUP(T369,'Auxiliar Vendas'!E:G,3,FALSE)</f>
        <v>852</v>
      </c>
    </row>
    <row r="370" spans="1:38">
      <c r="A370">
        <v>15267111612</v>
      </c>
      <c r="B370">
        <v>17</v>
      </c>
      <c r="D370" s="1">
        <v>44511</v>
      </c>
      <c r="E370">
        <v>15059049115</v>
      </c>
      <c r="F370" t="str">
        <f ca="1">VLOOKUP(RANDBETWEEN(1,20),'DBO Compras'!AA:AC,3,0)</f>
        <v>Comprador 05</v>
      </c>
      <c r="G370" t="s">
        <v>185</v>
      </c>
      <c r="H370" t="s">
        <v>186</v>
      </c>
      <c r="I370" t="s">
        <v>187</v>
      </c>
      <c r="J370" t="s">
        <v>188</v>
      </c>
      <c r="K370">
        <v>88220000</v>
      </c>
      <c r="L370" t="s">
        <v>92</v>
      </c>
      <c r="O370">
        <v>0</v>
      </c>
      <c r="P370">
        <v>0</v>
      </c>
      <c r="R370" t="s">
        <v>42</v>
      </c>
      <c r="S370">
        <v>15016093155</v>
      </c>
      <c r="T370" t="str">
        <f ca="1">VLOOKUP(RANDBETWEEN(1,17),'Auxiliar Vendas'!D:G,2,0)</f>
        <v>Produto 07</v>
      </c>
      <c r="U370">
        <v>200</v>
      </c>
      <c r="V370">
        <v>17.899999999999999</v>
      </c>
      <c r="W370">
        <v>0</v>
      </c>
      <c r="X370">
        <v>14.4596</v>
      </c>
      <c r="Y370" s="3">
        <v>3580</v>
      </c>
      <c r="Z370">
        <v>29</v>
      </c>
      <c r="AA370" t="s">
        <v>65</v>
      </c>
      <c r="AB370">
        <v>0</v>
      </c>
      <c r="AC370">
        <v>0</v>
      </c>
      <c r="AD370" t="s">
        <v>189</v>
      </c>
      <c r="AH370" s="2">
        <v>44511.612500000003</v>
      </c>
      <c r="AI370">
        <v>0</v>
      </c>
      <c r="AJ370">
        <v>0</v>
      </c>
      <c r="AK370" s="30" t="str">
        <f ca="1">VLOOKUP(T370,'Auxiliar Vendas'!E:F,2,FALSE)</f>
        <v>Produto 07</v>
      </c>
      <c r="AL370" s="31">
        <f ca="1">U370*VLOOKUP(T370,'Auxiliar Vendas'!E:G,3,FALSE)</f>
        <v>220.00000000000003</v>
      </c>
    </row>
    <row r="371" spans="1:38">
      <c r="A371">
        <v>15267111612</v>
      </c>
      <c r="B371">
        <v>17</v>
      </c>
      <c r="D371" s="1">
        <v>44511</v>
      </c>
      <c r="E371">
        <v>15059049115</v>
      </c>
      <c r="F371" t="str">
        <f ca="1">VLOOKUP(RANDBETWEEN(1,20),'DBO Compras'!AA:AC,3,0)</f>
        <v>Comprador 20</v>
      </c>
      <c r="G371" t="s">
        <v>185</v>
      </c>
      <c r="H371" t="s">
        <v>186</v>
      </c>
      <c r="I371" t="s">
        <v>187</v>
      </c>
      <c r="J371" t="s">
        <v>188</v>
      </c>
      <c r="K371">
        <v>88220000</v>
      </c>
      <c r="L371" t="s">
        <v>92</v>
      </c>
      <c r="O371">
        <v>0</v>
      </c>
      <c r="P371">
        <v>0</v>
      </c>
      <c r="R371" t="s">
        <v>42</v>
      </c>
      <c r="S371">
        <v>15016099089</v>
      </c>
      <c r="T371" t="str">
        <f ca="1">VLOOKUP(RANDBETWEEN(1,17),'Auxiliar Vendas'!D:G,2,0)</f>
        <v>Produto 14</v>
      </c>
      <c r="U371">
        <v>200</v>
      </c>
      <c r="V371">
        <v>20.79</v>
      </c>
      <c r="W371">
        <v>0</v>
      </c>
      <c r="X371">
        <v>16.804400000000001</v>
      </c>
      <c r="Y371" s="3">
        <v>4158</v>
      </c>
      <c r="Z371">
        <v>29</v>
      </c>
      <c r="AA371" t="s">
        <v>79</v>
      </c>
      <c r="AB371">
        <v>0</v>
      </c>
      <c r="AC371">
        <v>0</v>
      </c>
      <c r="AD371" t="s">
        <v>189</v>
      </c>
      <c r="AH371" s="2">
        <v>44511.612500000003</v>
      </c>
      <c r="AI371">
        <v>0</v>
      </c>
      <c r="AJ371">
        <v>0</v>
      </c>
      <c r="AK371" s="30" t="str">
        <f ca="1">VLOOKUP(T371,'Auxiliar Vendas'!E:F,2,FALSE)</f>
        <v>Produto 14</v>
      </c>
      <c r="AL371" s="31">
        <f ca="1">U371*VLOOKUP(T371,'Auxiliar Vendas'!E:G,3,FALSE)</f>
        <v>280</v>
      </c>
    </row>
    <row r="372" spans="1:38">
      <c r="A372">
        <v>15267111612</v>
      </c>
      <c r="B372">
        <v>17</v>
      </c>
      <c r="D372" s="1">
        <v>44511</v>
      </c>
      <c r="E372">
        <v>15059049115</v>
      </c>
      <c r="F372" t="str">
        <f ca="1">VLOOKUP(RANDBETWEEN(1,20),'DBO Compras'!AA:AC,3,0)</f>
        <v>Comprador 09</v>
      </c>
      <c r="G372" t="s">
        <v>185</v>
      </c>
      <c r="H372" t="s">
        <v>186</v>
      </c>
      <c r="I372" t="s">
        <v>187</v>
      </c>
      <c r="J372" t="s">
        <v>188</v>
      </c>
      <c r="K372">
        <v>88220000</v>
      </c>
      <c r="L372" t="s">
        <v>92</v>
      </c>
      <c r="O372">
        <v>0</v>
      </c>
      <c r="P372">
        <v>0</v>
      </c>
      <c r="R372" t="s">
        <v>42</v>
      </c>
      <c r="S372">
        <v>15016087271</v>
      </c>
      <c r="T372" t="str">
        <f ca="1">VLOOKUP(RANDBETWEEN(1,17),'Auxiliar Vendas'!D:G,2,0)</f>
        <v>Produto 02</v>
      </c>
      <c r="U372">
        <v>100</v>
      </c>
      <c r="V372">
        <v>17.8</v>
      </c>
      <c r="W372">
        <v>0</v>
      </c>
      <c r="X372">
        <v>14.4596</v>
      </c>
      <c r="Y372" s="3">
        <v>1780</v>
      </c>
      <c r="Z372">
        <v>29</v>
      </c>
      <c r="AA372" t="s">
        <v>64</v>
      </c>
      <c r="AB372">
        <v>0</v>
      </c>
      <c r="AC372">
        <v>0</v>
      </c>
      <c r="AD372" t="s">
        <v>189</v>
      </c>
      <c r="AH372" s="2">
        <v>44511.612500000003</v>
      </c>
      <c r="AI372">
        <v>0</v>
      </c>
      <c r="AJ372">
        <v>0</v>
      </c>
      <c r="AK372" s="30" t="str">
        <f ca="1">VLOOKUP(T372,'Auxiliar Vendas'!E:F,2,FALSE)</f>
        <v>Produto 02</v>
      </c>
      <c r="AL372" s="31">
        <f ca="1">U372*VLOOKUP(T372,'Auxiliar Vendas'!E:G,3,FALSE)</f>
        <v>27</v>
      </c>
    </row>
    <row r="373" spans="1:38">
      <c r="A373">
        <v>15267111612</v>
      </c>
      <c r="B373">
        <v>17</v>
      </c>
      <c r="D373" s="1">
        <v>44511</v>
      </c>
      <c r="E373">
        <v>15059049115</v>
      </c>
      <c r="F373" t="str">
        <f ca="1">VLOOKUP(RANDBETWEEN(1,20),'DBO Compras'!AA:AC,3,0)</f>
        <v>Comprador 17</v>
      </c>
      <c r="G373" t="s">
        <v>185</v>
      </c>
      <c r="H373" t="s">
        <v>186</v>
      </c>
      <c r="I373" t="s">
        <v>187</v>
      </c>
      <c r="J373" t="s">
        <v>188</v>
      </c>
      <c r="K373">
        <v>88220000</v>
      </c>
      <c r="L373" t="s">
        <v>92</v>
      </c>
      <c r="O373">
        <v>0</v>
      </c>
      <c r="P373">
        <v>0</v>
      </c>
      <c r="R373" t="s">
        <v>42</v>
      </c>
      <c r="S373">
        <v>15016080333</v>
      </c>
      <c r="T373" t="str">
        <f ca="1">VLOOKUP(RANDBETWEEN(1,17),'Auxiliar Vendas'!D:G,2,0)</f>
        <v>Produto 16</v>
      </c>
      <c r="U373">
        <v>100</v>
      </c>
      <c r="V373">
        <v>13.95</v>
      </c>
      <c r="W373">
        <v>0</v>
      </c>
      <c r="X373">
        <v>10.747</v>
      </c>
      <c r="Y373" s="3">
        <v>1395</v>
      </c>
      <c r="Z373">
        <v>29</v>
      </c>
      <c r="AA373" t="s">
        <v>80</v>
      </c>
      <c r="AB373">
        <v>0</v>
      </c>
      <c r="AC373">
        <v>0</v>
      </c>
      <c r="AD373" t="s">
        <v>189</v>
      </c>
      <c r="AH373" s="2">
        <v>44511.612500000003</v>
      </c>
      <c r="AI373">
        <v>0</v>
      </c>
      <c r="AJ373">
        <v>0</v>
      </c>
      <c r="AK373" s="30" t="str">
        <f ca="1">VLOOKUP(T373,'Auxiliar Vendas'!E:F,2,FALSE)</f>
        <v>Produto 16</v>
      </c>
      <c r="AL373" s="31">
        <f ca="1">U373*VLOOKUP(T373,'Auxiliar Vendas'!E:G,3,FALSE)</f>
        <v>127</v>
      </c>
    </row>
    <row r="374" spans="1:38">
      <c r="A374">
        <v>15267111612</v>
      </c>
      <c r="B374">
        <v>17</v>
      </c>
      <c r="D374" s="1">
        <v>44511</v>
      </c>
      <c r="E374">
        <v>15059049115</v>
      </c>
      <c r="F374" t="str">
        <f ca="1">VLOOKUP(RANDBETWEEN(1,20),'DBO Compras'!AA:AC,3,0)</f>
        <v>Comprador 20</v>
      </c>
      <c r="G374" t="s">
        <v>185</v>
      </c>
      <c r="H374" t="s">
        <v>186</v>
      </c>
      <c r="I374" t="s">
        <v>187</v>
      </c>
      <c r="J374" t="s">
        <v>188</v>
      </c>
      <c r="K374">
        <v>88220000</v>
      </c>
      <c r="L374" t="s">
        <v>92</v>
      </c>
      <c r="O374">
        <v>0</v>
      </c>
      <c r="P374">
        <v>0</v>
      </c>
      <c r="R374" t="s">
        <v>42</v>
      </c>
      <c r="S374">
        <v>15015911944</v>
      </c>
      <c r="T374" t="str">
        <f ca="1">VLOOKUP(RANDBETWEEN(1,17),'Auxiliar Vendas'!D:G,2,0)</f>
        <v>Produto 10</v>
      </c>
      <c r="U374">
        <v>200</v>
      </c>
      <c r="V374">
        <v>13.5</v>
      </c>
      <c r="W374">
        <v>0</v>
      </c>
      <c r="X374">
        <v>10.285</v>
      </c>
      <c r="Y374" s="3">
        <v>2700</v>
      </c>
      <c r="Z374">
        <v>29</v>
      </c>
      <c r="AA374" t="s">
        <v>78</v>
      </c>
      <c r="AB374">
        <v>0</v>
      </c>
      <c r="AC374">
        <v>0</v>
      </c>
      <c r="AD374" t="s">
        <v>189</v>
      </c>
      <c r="AH374" s="2">
        <v>44511.612500000003</v>
      </c>
      <c r="AI374">
        <v>0</v>
      </c>
      <c r="AJ374">
        <v>0</v>
      </c>
      <c r="AK374" s="30" t="str">
        <f ca="1">VLOOKUP(T374,'Auxiliar Vendas'!E:F,2,FALSE)</f>
        <v>Produto 10</v>
      </c>
      <c r="AL374" s="31">
        <f ca="1">U374*VLOOKUP(T374,'Auxiliar Vendas'!E:G,3,FALSE)</f>
        <v>220.00000000000003</v>
      </c>
    </row>
    <row r="375" spans="1:38">
      <c r="A375">
        <v>15267111612</v>
      </c>
      <c r="B375">
        <v>17</v>
      </c>
      <c r="D375" s="1">
        <v>44511</v>
      </c>
      <c r="E375">
        <v>15059049115</v>
      </c>
      <c r="F375" t="str">
        <f ca="1">VLOOKUP(RANDBETWEEN(1,20),'DBO Compras'!AA:AC,3,0)</f>
        <v>Comprador 05</v>
      </c>
      <c r="G375" t="s">
        <v>185</v>
      </c>
      <c r="H375" t="s">
        <v>186</v>
      </c>
      <c r="I375" t="s">
        <v>187</v>
      </c>
      <c r="J375" t="s">
        <v>188</v>
      </c>
      <c r="K375">
        <v>88220000</v>
      </c>
      <c r="L375" t="s">
        <v>92</v>
      </c>
      <c r="O375">
        <v>0</v>
      </c>
      <c r="P375">
        <v>0</v>
      </c>
      <c r="R375" t="s">
        <v>42</v>
      </c>
      <c r="S375">
        <v>15015918644</v>
      </c>
      <c r="T375" t="str">
        <f ca="1">VLOOKUP(RANDBETWEEN(1,17),'Auxiliar Vendas'!D:G,2,0)</f>
        <v>Produto 16</v>
      </c>
      <c r="U375">
        <v>210</v>
      </c>
      <c r="V375">
        <v>7.9</v>
      </c>
      <c r="W375">
        <v>0</v>
      </c>
      <c r="X375">
        <v>5.61</v>
      </c>
      <c r="Y375" s="3">
        <v>1659</v>
      </c>
      <c r="Z375">
        <v>29</v>
      </c>
      <c r="AA375" t="s">
        <v>59</v>
      </c>
      <c r="AB375">
        <v>0</v>
      </c>
      <c r="AC375">
        <v>0</v>
      </c>
      <c r="AD375" t="s">
        <v>189</v>
      </c>
      <c r="AH375" s="2">
        <v>44511.612500000003</v>
      </c>
      <c r="AI375">
        <v>0</v>
      </c>
      <c r="AJ375">
        <v>0</v>
      </c>
      <c r="AK375" s="30" t="str">
        <f ca="1">VLOOKUP(T375,'Auxiliar Vendas'!E:F,2,FALSE)</f>
        <v>Produto 16</v>
      </c>
      <c r="AL375" s="31">
        <f ca="1">U375*VLOOKUP(T375,'Auxiliar Vendas'!E:G,3,FALSE)</f>
        <v>266.7</v>
      </c>
    </row>
    <row r="376" spans="1:38">
      <c r="A376">
        <v>15291784855</v>
      </c>
      <c r="B376">
        <v>91</v>
      </c>
      <c r="D376" s="1">
        <v>44511</v>
      </c>
      <c r="E376">
        <v>15291726907</v>
      </c>
      <c r="F376" t="str">
        <f ca="1">VLOOKUP(RANDBETWEEN(1,20),'DBO Compras'!AA:AC,3,0)</f>
        <v>Comprador 01</v>
      </c>
      <c r="G376" t="s">
        <v>250</v>
      </c>
      <c r="H376" t="s">
        <v>251</v>
      </c>
      <c r="I376" t="s">
        <v>69</v>
      </c>
      <c r="J376" t="s">
        <v>252</v>
      </c>
      <c r="K376">
        <v>89500214</v>
      </c>
      <c r="L376" t="s">
        <v>92</v>
      </c>
      <c r="O376">
        <v>0</v>
      </c>
      <c r="P376">
        <v>0</v>
      </c>
      <c r="R376" t="s">
        <v>42</v>
      </c>
      <c r="S376">
        <v>15015353721</v>
      </c>
      <c r="T376" t="str">
        <f ca="1">VLOOKUP(RANDBETWEEN(1,17),'Auxiliar Vendas'!D:G,2,0)</f>
        <v>Produto 04</v>
      </c>
      <c r="U376">
        <v>50</v>
      </c>
      <c r="V376">
        <v>7.9</v>
      </c>
      <c r="W376">
        <v>0</v>
      </c>
      <c r="X376">
        <v>5.58</v>
      </c>
      <c r="Y376">
        <v>395</v>
      </c>
      <c r="Z376">
        <v>72</v>
      </c>
      <c r="AA376" t="s">
        <v>44</v>
      </c>
      <c r="AB376">
        <v>0</v>
      </c>
      <c r="AC376">
        <v>0</v>
      </c>
      <c r="AD376" t="s">
        <v>189</v>
      </c>
      <c r="AH376" s="2">
        <v>44511.585416666669</v>
      </c>
      <c r="AI376">
        <v>0</v>
      </c>
      <c r="AJ376">
        <v>0</v>
      </c>
      <c r="AK376" s="30" t="str">
        <f ca="1">VLOOKUP(T376,'Auxiliar Vendas'!E:F,2,FALSE)</f>
        <v>Produto 04</v>
      </c>
      <c r="AL376" s="31">
        <f ca="1">U376*VLOOKUP(T376,'Auxiliar Vendas'!E:G,3,FALSE)</f>
        <v>30</v>
      </c>
    </row>
    <row r="377" spans="1:38">
      <c r="A377">
        <v>15291784855</v>
      </c>
      <c r="B377">
        <v>91</v>
      </c>
      <c r="D377" s="1">
        <v>44511</v>
      </c>
      <c r="E377">
        <v>15291726907</v>
      </c>
      <c r="F377" t="str">
        <f ca="1">VLOOKUP(RANDBETWEEN(1,20),'DBO Compras'!AA:AC,3,0)</f>
        <v>Comprador 05</v>
      </c>
      <c r="G377" t="s">
        <v>250</v>
      </c>
      <c r="H377" t="s">
        <v>251</v>
      </c>
      <c r="I377" t="s">
        <v>69</v>
      </c>
      <c r="J377" t="s">
        <v>252</v>
      </c>
      <c r="K377">
        <v>89500214</v>
      </c>
      <c r="L377" t="s">
        <v>92</v>
      </c>
      <c r="O377">
        <v>0</v>
      </c>
      <c r="P377">
        <v>0</v>
      </c>
      <c r="R377" t="s">
        <v>42</v>
      </c>
      <c r="S377">
        <v>15015511068</v>
      </c>
      <c r="T377" t="str">
        <f ca="1">VLOOKUP(RANDBETWEEN(1,17),'Auxiliar Vendas'!D:G,2,0)</f>
        <v>Produto 03</v>
      </c>
      <c r="U377">
        <v>300</v>
      </c>
      <c r="V377">
        <v>16.100000000000001</v>
      </c>
      <c r="W377">
        <v>0</v>
      </c>
      <c r="X377">
        <v>10.23</v>
      </c>
      <c r="Y377" s="3">
        <v>4830</v>
      </c>
      <c r="Z377">
        <v>72</v>
      </c>
      <c r="AA377" t="s">
        <v>53</v>
      </c>
      <c r="AB377">
        <v>0</v>
      </c>
      <c r="AC377">
        <v>0</v>
      </c>
      <c r="AD377" t="s">
        <v>189</v>
      </c>
      <c r="AH377" s="2">
        <v>44511.585416666669</v>
      </c>
      <c r="AI377">
        <v>0</v>
      </c>
      <c r="AJ377">
        <v>0</v>
      </c>
      <c r="AK377" s="30" t="str">
        <f ca="1">VLOOKUP(T377,'Auxiliar Vendas'!E:F,2,FALSE)</f>
        <v>Produto 03</v>
      </c>
      <c r="AL377" s="31">
        <f ca="1">U377*VLOOKUP(T377,'Auxiliar Vendas'!E:G,3,FALSE)</f>
        <v>180</v>
      </c>
    </row>
    <row r="378" spans="1:38">
      <c r="A378">
        <v>15291784855</v>
      </c>
      <c r="B378">
        <v>91</v>
      </c>
      <c r="D378" s="1">
        <v>44511</v>
      </c>
      <c r="E378">
        <v>15291726907</v>
      </c>
      <c r="F378" t="str">
        <f ca="1">VLOOKUP(RANDBETWEEN(1,20),'DBO Compras'!AA:AC,3,0)</f>
        <v>Comprador 06</v>
      </c>
      <c r="G378" t="s">
        <v>250</v>
      </c>
      <c r="H378" t="s">
        <v>251</v>
      </c>
      <c r="I378" t="s">
        <v>69</v>
      </c>
      <c r="J378" t="s">
        <v>252</v>
      </c>
      <c r="K378">
        <v>89500214</v>
      </c>
      <c r="L378" t="s">
        <v>92</v>
      </c>
      <c r="O378">
        <v>0</v>
      </c>
      <c r="P378">
        <v>0</v>
      </c>
      <c r="R378" t="s">
        <v>42</v>
      </c>
      <c r="S378">
        <v>15016043939</v>
      </c>
      <c r="T378" t="str">
        <f ca="1">VLOOKUP(RANDBETWEEN(1,17),'Auxiliar Vendas'!D:G,2,0)</f>
        <v>Produto 10</v>
      </c>
      <c r="U378">
        <v>500</v>
      </c>
      <c r="V378">
        <v>13.65</v>
      </c>
      <c r="W378">
        <v>0</v>
      </c>
      <c r="X378">
        <v>10.747</v>
      </c>
      <c r="Y378" s="3">
        <v>6825</v>
      </c>
      <c r="Z378">
        <v>72</v>
      </c>
      <c r="AA378" t="s">
        <v>50</v>
      </c>
      <c r="AB378">
        <v>0</v>
      </c>
      <c r="AC378">
        <v>0</v>
      </c>
      <c r="AD378" t="s">
        <v>189</v>
      </c>
      <c r="AH378" s="2">
        <v>44511.585416666669</v>
      </c>
      <c r="AI378">
        <v>0</v>
      </c>
      <c r="AJ378">
        <v>0</v>
      </c>
      <c r="AK378" s="30" t="str">
        <f ca="1">VLOOKUP(T378,'Auxiliar Vendas'!E:F,2,FALSE)</f>
        <v>Produto 10</v>
      </c>
      <c r="AL378" s="31">
        <f ca="1">U378*VLOOKUP(T378,'Auxiliar Vendas'!E:G,3,FALSE)</f>
        <v>550</v>
      </c>
    </row>
    <row r="379" spans="1:38">
      <c r="A379">
        <v>15293368772</v>
      </c>
      <c r="B379">
        <v>100</v>
      </c>
      <c r="D379" s="1">
        <v>44511</v>
      </c>
      <c r="E379">
        <v>15293332510</v>
      </c>
      <c r="F379" t="str">
        <f ca="1">VLOOKUP(RANDBETWEEN(1,20),'DBO Compras'!AA:AC,3,0)</f>
        <v>Comprador 12</v>
      </c>
      <c r="G379" t="s">
        <v>253</v>
      </c>
      <c r="H379" t="s">
        <v>254</v>
      </c>
      <c r="I379" t="s">
        <v>255</v>
      </c>
      <c r="J379" t="s">
        <v>175</v>
      </c>
      <c r="K379" t="s">
        <v>256</v>
      </c>
      <c r="L379" t="s">
        <v>92</v>
      </c>
      <c r="O379">
        <v>0</v>
      </c>
      <c r="P379">
        <v>0</v>
      </c>
      <c r="R379" t="s">
        <v>42</v>
      </c>
      <c r="S379">
        <v>15016043939</v>
      </c>
      <c r="T379" t="str">
        <f ca="1">VLOOKUP(RANDBETWEEN(1,17),'Auxiliar Vendas'!D:G,2,0)</f>
        <v>Produto 17</v>
      </c>
      <c r="U379">
        <v>160</v>
      </c>
      <c r="V379">
        <v>14.9</v>
      </c>
      <c r="W379">
        <v>0</v>
      </c>
      <c r="X379">
        <v>10.747</v>
      </c>
      <c r="Y379" s="3">
        <v>2384</v>
      </c>
      <c r="Z379">
        <v>75</v>
      </c>
      <c r="AA379" t="s">
        <v>50</v>
      </c>
      <c r="AB379">
        <v>0</v>
      </c>
      <c r="AC379">
        <v>0</v>
      </c>
      <c r="AD379" t="s">
        <v>51</v>
      </c>
      <c r="AH379" s="2">
        <v>44511.590277777781</v>
      </c>
      <c r="AI379">
        <v>0</v>
      </c>
      <c r="AJ379">
        <v>0</v>
      </c>
      <c r="AK379" s="30" t="str">
        <f ca="1">VLOOKUP(T379,'Auxiliar Vendas'!E:F,2,FALSE)</f>
        <v>Produto 17</v>
      </c>
      <c r="AL379" s="31">
        <f ca="1">U379*VLOOKUP(T379,'Auxiliar Vendas'!E:G,3,FALSE)</f>
        <v>227.2</v>
      </c>
    </row>
    <row r="380" spans="1:38">
      <c r="A380">
        <v>15293368772</v>
      </c>
      <c r="B380">
        <v>100</v>
      </c>
      <c r="D380" s="1">
        <v>44511</v>
      </c>
      <c r="E380">
        <v>15293332510</v>
      </c>
      <c r="F380" t="str">
        <f ca="1">VLOOKUP(RANDBETWEEN(1,20),'DBO Compras'!AA:AC,3,0)</f>
        <v>Comprador 18</v>
      </c>
      <c r="G380" t="s">
        <v>253</v>
      </c>
      <c r="H380" t="s">
        <v>254</v>
      </c>
      <c r="I380" t="s">
        <v>255</v>
      </c>
      <c r="J380" t="s">
        <v>175</v>
      </c>
      <c r="K380" t="s">
        <v>256</v>
      </c>
      <c r="L380" t="s">
        <v>92</v>
      </c>
      <c r="O380">
        <v>0</v>
      </c>
      <c r="P380">
        <v>0</v>
      </c>
      <c r="R380" t="s">
        <v>42</v>
      </c>
      <c r="S380">
        <v>15015353721</v>
      </c>
      <c r="T380" t="str">
        <f ca="1">VLOOKUP(RANDBETWEEN(1,17),'Auxiliar Vendas'!D:G,2,0)</f>
        <v>Produto 03</v>
      </c>
      <c r="U380">
        <v>10</v>
      </c>
      <c r="V380">
        <v>8.68</v>
      </c>
      <c r="W380">
        <v>0</v>
      </c>
      <c r="X380">
        <v>5.58</v>
      </c>
      <c r="Y380">
        <v>86.8</v>
      </c>
      <c r="Z380">
        <v>75</v>
      </c>
      <c r="AA380" t="s">
        <v>44</v>
      </c>
      <c r="AB380">
        <v>0</v>
      </c>
      <c r="AC380">
        <v>0</v>
      </c>
      <c r="AD380" t="s">
        <v>51</v>
      </c>
      <c r="AH380" s="2">
        <v>44511.590277777781</v>
      </c>
      <c r="AI380">
        <v>0</v>
      </c>
      <c r="AJ380">
        <v>0</v>
      </c>
      <c r="AK380" s="30" t="str">
        <f ca="1">VLOOKUP(T380,'Auxiliar Vendas'!E:F,2,FALSE)</f>
        <v>Produto 03</v>
      </c>
      <c r="AL380" s="31">
        <f ca="1">U380*VLOOKUP(T380,'Auxiliar Vendas'!E:G,3,FALSE)</f>
        <v>6</v>
      </c>
    </row>
    <row r="381" spans="1:38">
      <c r="A381">
        <v>15293368772</v>
      </c>
      <c r="B381">
        <v>100</v>
      </c>
      <c r="D381" s="1">
        <v>44511</v>
      </c>
      <c r="E381">
        <v>15293332510</v>
      </c>
      <c r="F381" t="str">
        <f ca="1">VLOOKUP(RANDBETWEEN(1,20),'DBO Compras'!AA:AC,3,0)</f>
        <v>Comprador 20</v>
      </c>
      <c r="G381" t="s">
        <v>253</v>
      </c>
      <c r="H381" t="s">
        <v>254</v>
      </c>
      <c r="I381" t="s">
        <v>255</v>
      </c>
      <c r="J381" t="s">
        <v>175</v>
      </c>
      <c r="K381" t="s">
        <v>256</v>
      </c>
      <c r="L381" t="s">
        <v>92</v>
      </c>
      <c r="O381">
        <v>0</v>
      </c>
      <c r="P381">
        <v>0</v>
      </c>
      <c r="R381" t="s">
        <v>42</v>
      </c>
      <c r="S381">
        <v>15015964159</v>
      </c>
      <c r="T381" t="str">
        <f ca="1">VLOOKUP(RANDBETWEEN(1,17),'Auxiliar Vendas'!D:G,2,0)</f>
        <v>Produto 03</v>
      </c>
      <c r="U381">
        <v>35</v>
      </c>
      <c r="V381">
        <v>15.7</v>
      </c>
      <c r="W381">
        <v>0</v>
      </c>
      <c r="X381">
        <v>10.285</v>
      </c>
      <c r="Y381">
        <v>549.5</v>
      </c>
      <c r="Z381">
        <v>75</v>
      </c>
      <c r="AA381" t="s">
        <v>169</v>
      </c>
      <c r="AB381">
        <v>0</v>
      </c>
      <c r="AC381">
        <v>0</v>
      </c>
      <c r="AD381" t="s">
        <v>51</v>
      </c>
      <c r="AH381" s="2">
        <v>44511.590277777781</v>
      </c>
      <c r="AI381">
        <v>0</v>
      </c>
      <c r="AJ381">
        <v>0</v>
      </c>
      <c r="AK381" s="30" t="str">
        <f ca="1">VLOOKUP(T381,'Auxiliar Vendas'!E:F,2,FALSE)</f>
        <v>Produto 03</v>
      </c>
      <c r="AL381" s="31">
        <f ca="1">U381*VLOOKUP(T381,'Auxiliar Vendas'!E:G,3,FALSE)</f>
        <v>21</v>
      </c>
    </row>
    <row r="382" spans="1:38">
      <c r="A382">
        <v>15293368772</v>
      </c>
      <c r="B382">
        <v>100</v>
      </c>
      <c r="D382" s="1">
        <v>44511</v>
      </c>
      <c r="E382">
        <v>15293332510</v>
      </c>
      <c r="F382" t="str">
        <f ca="1">VLOOKUP(RANDBETWEEN(1,20),'DBO Compras'!AA:AC,3,0)</f>
        <v>Comprador 08</v>
      </c>
      <c r="G382" t="s">
        <v>253</v>
      </c>
      <c r="H382" t="s">
        <v>254</v>
      </c>
      <c r="I382" t="s">
        <v>255</v>
      </c>
      <c r="J382" t="s">
        <v>175</v>
      </c>
      <c r="K382" t="s">
        <v>256</v>
      </c>
      <c r="L382" t="s">
        <v>92</v>
      </c>
      <c r="O382">
        <v>0</v>
      </c>
      <c r="P382">
        <v>0</v>
      </c>
      <c r="R382" t="s">
        <v>42</v>
      </c>
      <c r="S382">
        <v>15016099089</v>
      </c>
      <c r="T382" t="str">
        <f ca="1">VLOOKUP(RANDBETWEEN(1,17),'Auxiliar Vendas'!D:G,2,0)</f>
        <v>Produto 12</v>
      </c>
      <c r="U382">
        <v>10</v>
      </c>
      <c r="V382">
        <v>22.6</v>
      </c>
      <c r="W382">
        <v>0</v>
      </c>
      <c r="X382">
        <v>16.804400000000001</v>
      </c>
      <c r="Y382">
        <v>226</v>
      </c>
      <c r="Z382">
        <v>75</v>
      </c>
      <c r="AA382" t="s">
        <v>79</v>
      </c>
      <c r="AB382">
        <v>0</v>
      </c>
      <c r="AC382">
        <v>0</v>
      </c>
      <c r="AD382" t="s">
        <v>51</v>
      </c>
      <c r="AH382" s="2">
        <v>44511.590277777781</v>
      </c>
      <c r="AI382">
        <v>0</v>
      </c>
      <c r="AJ382">
        <v>0</v>
      </c>
      <c r="AK382" s="30" t="str">
        <f ca="1">VLOOKUP(T382,'Auxiliar Vendas'!E:F,2,FALSE)</f>
        <v>Produto 12</v>
      </c>
      <c r="AL382" s="31">
        <f ca="1">U382*VLOOKUP(T382,'Auxiliar Vendas'!E:G,3,FALSE)</f>
        <v>14</v>
      </c>
    </row>
    <row r="383" spans="1:38">
      <c r="A383">
        <v>15293368772</v>
      </c>
      <c r="B383">
        <v>100</v>
      </c>
      <c r="D383" s="1">
        <v>44511</v>
      </c>
      <c r="E383">
        <v>15293332510</v>
      </c>
      <c r="F383" t="str">
        <f ca="1">VLOOKUP(RANDBETWEEN(1,20),'DBO Compras'!AA:AC,3,0)</f>
        <v>Comprador 16</v>
      </c>
      <c r="G383" t="s">
        <v>253</v>
      </c>
      <c r="H383" t="s">
        <v>254</v>
      </c>
      <c r="I383" t="s">
        <v>255</v>
      </c>
      <c r="J383" t="s">
        <v>175</v>
      </c>
      <c r="K383" t="s">
        <v>256</v>
      </c>
      <c r="L383" t="s">
        <v>92</v>
      </c>
      <c r="O383">
        <v>0</v>
      </c>
      <c r="P383">
        <v>0</v>
      </c>
      <c r="R383" t="s">
        <v>42</v>
      </c>
      <c r="S383">
        <v>15015746121</v>
      </c>
      <c r="T383" t="str">
        <f ca="1">VLOOKUP(RANDBETWEEN(1,17),'Auxiliar Vendas'!D:G,2,0)</f>
        <v>Produto 06</v>
      </c>
      <c r="U383">
        <v>10</v>
      </c>
      <c r="V383">
        <v>19.3</v>
      </c>
      <c r="W383">
        <v>0</v>
      </c>
      <c r="X383">
        <v>13.763999999999999</v>
      </c>
      <c r="Y383">
        <v>193</v>
      </c>
      <c r="Z383">
        <v>75</v>
      </c>
      <c r="AA383" t="s">
        <v>81</v>
      </c>
      <c r="AB383">
        <v>0</v>
      </c>
      <c r="AC383">
        <v>0</v>
      </c>
      <c r="AD383" t="s">
        <v>51</v>
      </c>
      <c r="AH383" s="2">
        <v>44511.590277777781</v>
      </c>
      <c r="AI383">
        <v>0</v>
      </c>
      <c r="AJ383">
        <v>0</v>
      </c>
      <c r="AK383" s="30" t="str">
        <f ca="1">VLOOKUP(T383,'Auxiliar Vendas'!E:F,2,FALSE)</f>
        <v>Produto 06</v>
      </c>
      <c r="AL383" s="31">
        <f ca="1">U383*VLOOKUP(T383,'Auxiliar Vendas'!E:G,3,FALSE)</f>
        <v>5</v>
      </c>
    </row>
    <row r="384" spans="1:38">
      <c r="A384">
        <v>15253239907</v>
      </c>
      <c r="B384">
        <v>6</v>
      </c>
      <c r="D384" s="1">
        <v>44512</v>
      </c>
      <c r="E384">
        <v>15179581888</v>
      </c>
      <c r="F384" t="str">
        <f ca="1">VLOOKUP(RANDBETWEEN(1,20),'DBO Compras'!AA:AC,3,0)</f>
        <v>Comprador 15</v>
      </c>
      <c r="G384" t="s">
        <v>54</v>
      </c>
      <c r="H384" t="s">
        <v>55</v>
      </c>
      <c r="I384" t="s">
        <v>56</v>
      </c>
      <c r="J384" t="s">
        <v>39</v>
      </c>
      <c r="K384">
        <v>81350610</v>
      </c>
      <c r="L384" t="s">
        <v>40</v>
      </c>
      <c r="M384" t="s">
        <v>57</v>
      </c>
      <c r="N384">
        <v>41996849234</v>
      </c>
      <c r="O384">
        <v>0</v>
      </c>
      <c r="P384">
        <v>0</v>
      </c>
      <c r="R384" t="s">
        <v>42</v>
      </c>
      <c r="S384">
        <v>15015511068</v>
      </c>
      <c r="T384" t="str">
        <f ca="1">VLOOKUP(RANDBETWEEN(1,17),'Auxiliar Vendas'!D:G,2,0)</f>
        <v>Produto 11</v>
      </c>
      <c r="U384">
        <v>100</v>
      </c>
      <c r="V384">
        <v>15.5</v>
      </c>
      <c r="W384">
        <v>0</v>
      </c>
      <c r="X384">
        <v>10.23</v>
      </c>
      <c r="Y384" s="3">
        <v>1550</v>
      </c>
      <c r="Z384">
        <v>41</v>
      </c>
      <c r="AA384" t="s">
        <v>53</v>
      </c>
      <c r="AB384">
        <v>0</v>
      </c>
      <c r="AC384">
        <v>0</v>
      </c>
      <c r="AH384" s="2">
        <v>44512.61041666667</v>
      </c>
      <c r="AI384">
        <v>0</v>
      </c>
      <c r="AJ384">
        <v>0</v>
      </c>
      <c r="AK384" s="30" t="str">
        <f ca="1">VLOOKUP(T384,'Auxiliar Vendas'!E:F,2,FALSE)</f>
        <v>Produto 11</v>
      </c>
      <c r="AL384" s="31">
        <f ca="1">U384*VLOOKUP(T384,'Auxiliar Vendas'!E:G,3,FALSE)</f>
        <v>110.00000000000001</v>
      </c>
    </row>
    <row r="385" spans="1:38">
      <c r="A385">
        <v>15264992764</v>
      </c>
      <c r="B385">
        <v>8</v>
      </c>
      <c r="D385" s="1">
        <v>44512</v>
      </c>
      <c r="E385">
        <v>15264888160</v>
      </c>
      <c r="F385" t="str">
        <f ca="1">VLOOKUP(RANDBETWEEN(1,20),'DBO Compras'!AA:AC,3,0)</f>
        <v>Comprador 08</v>
      </c>
      <c r="G385" t="s">
        <v>215</v>
      </c>
      <c r="H385" t="s">
        <v>216</v>
      </c>
      <c r="I385" t="s">
        <v>217</v>
      </c>
      <c r="J385" t="s">
        <v>193</v>
      </c>
      <c r="K385">
        <v>89213401</v>
      </c>
      <c r="L385" t="s">
        <v>92</v>
      </c>
      <c r="M385" t="s">
        <v>218</v>
      </c>
      <c r="N385">
        <v>4734530505</v>
      </c>
      <c r="O385">
        <v>0</v>
      </c>
      <c r="P385">
        <v>0</v>
      </c>
      <c r="R385" t="s">
        <v>42</v>
      </c>
      <c r="S385">
        <v>15016093155</v>
      </c>
      <c r="T385" t="str">
        <f ca="1">VLOOKUP(RANDBETWEEN(1,17),'Auxiliar Vendas'!D:G,2,0)</f>
        <v>Produto 16</v>
      </c>
      <c r="U385">
        <v>410</v>
      </c>
      <c r="V385">
        <v>17.899999999999999</v>
      </c>
      <c r="W385">
        <v>0</v>
      </c>
      <c r="X385">
        <v>14.4596</v>
      </c>
      <c r="Y385" s="3">
        <v>7339</v>
      </c>
      <c r="Z385">
        <v>57</v>
      </c>
      <c r="AA385" t="s">
        <v>65</v>
      </c>
      <c r="AB385">
        <v>0</v>
      </c>
      <c r="AC385">
        <v>0</v>
      </c>
      <c r="AH385" s="2">
        <v>44512.609722222223</v>
      </c>
      <c r="AI385">
        <v>0</v>
      </c>
      <c r="AJ385">
        <v>0</v>
      </c>
      <c r="AK385" s="30" t="str">
        <f ca="1">VLOOKUP(T385,'Auxiliar Vendas'!E:F,2,FALSE)</f>
        <v>Produto 16</v>
      </c>
      <c r="AL385" s="31">
        <f ca="1">U385*VLOOKUP(T385,'Auxiliar Vendas'!E:G,3,FALSE)</f>
        <v>520.70000000000005</v>
      </c>
    </row>
    <row r="386" spans="1:38">
      <c r="A386">
        <v>15264992764</v>
      </c>
      <c r="B386">
        <v>8</v>
      </c>
      <c r="D386" s="1">
        <v>44512</v>
      </c>
      <c r="E386">
        <v>15264888160</v>
      </c>
      <c r="F386" t="str">
        <f ca="1">VLOOKUP(RANDBETWEEN(1,20),'DBO Compras'!AA:AC,3,0)</f>
        <v>Comprador 19</v>
      </c>
      <c r="G386" t="s">
        <v>215</v>
      </c>
      <c r="H386" t="s">
        <v>216</v>
      </c>
      <c r="I386" t="s">
        <v>217</v>
      </c>
      <c r="J386" t="s">
        <v>193</v>
      </c>
      <c r="K386">
        <v>89213401</v>
      </c>
      <c r="L386" t="s">
        <v>92</v>
      </c>
      <c r="M386" t="s">
        <v>218</v>
      </c>
      <c r="N386">
        <v>4734530505</v>
      </c>
      <c r="O386">
        <v>0</v>
      </c>
      <c r="P386">
        <v>0</v>
      </c>
      <c r="R386" t="s">
        <v>42</v>
      </c>
      <c r="S386">
        <v>15016080333</v>
      </c>
      <c r="T386" t="str">
        <f ca="1">VLOOKUP(RANDBETWEEN(1,17),'Auxiliar Vendas'!D:G,2,0)</f>
        <v>Produto 17</v>
      </c>
      <c r="U386">
        <v>160</v>
      </c>
      <c r="V386">
        <v>13.9</v>
      </c>
      <c r="W386">
        <v>0</v>
      </c>
      <c r="X386">
        <v>10.747</v>
      </c>
      <c r="Y386" s="3">
        <v>2224</v>
      </c>
      <c r="Z386">
        <v>57</v>
      </c>
      <c r="AA386" t="s">
        <v>80</v>
      </c>
      <c r="AB386">
        <v>0</v>
      </c>
      <c r="AC386">
        <v>0</v>
      </c>
      <c r="AH386" s="2">
        <v>44512.609722222223</v>
      </c>
      <c r="AI386">
        <v>0</v>
      </c>
      <c r="AJ386">
        <v>0</v>
      </c>
      <c r="AK386" s="30" t="str">
        <f ca="1">VLOOKUP(T386,'Auxiliar Vendas'!E:F,2,FALSE)</f>
        <v>Produto 17</v>
      </c>
      <c r="AL386" s="31">
        <f ca="1">U386*VLOOKUP(T386,'Auxiliar Vendas'!E:G,3,FALSE)</f>
        <v>227.2</v>
      </c>
    </row>
    <row r="387" spans="1:38">
      <c r="A387">
        <v>15267185311</v>
      </c>
      <c r="B387">
        <v>18</v>
      </c>
      <c r="D387" s="1">
        <v>44512</v>
      </c>
      <c r="E387">
        <v>15179581888</v>
      </c>
      <c r="F387" t="str">
        <f ca="1">VLOOKUP(RANDBETWEEN(1,20),'DBO Compras'!AA:AC,3,0)</f>
        <v>Comprador 16</v>
      </c>
      <c r="G387" t="s">
        <v>54</v>
      </c>
      <c r="H387" t="s">
        <v>55</v>
      </c>
      <c r="I387" t="s">
        <v>56</v>
      </c>
      <c r="J387" t="s">
        <v>39</v>
      </c>
      <c r="K387">
        <v>81350610</v>
      </c>
      <c r="L387" t="s">
        <v>40</v>
      </c>
      <c r="M387" t="s">
        <v>57</v>
      </c>
      <c r="N387">
        <v>41996849234</v>
      </c>
      <c r="O387">
        <v>0</v>
      </c>
      <c r="P387">
        <v>0</v>
      </c>
      <c r="R387" t="s">
        <v>42</v>
      </c>
      <c r="S387">
        <v>15015511068</v>
      </c>
      <c r="T387" t="str">
        <f ca="1">VLOOKUP(RANDBETWEEN(1,17),'Auxiliar Vendas'!D:G,2,0)</f>
        <v>Produto 14</v>
      </c>
      <c r="U387">
        <v>40</v>
      </c>
      <c r="V387">
        <v>16</v>
      </c>
      <c r="W387">
        <v>0</v>
      </c>
      <c r="X387">
        <v>10.23</v>
      </c>
      <c r="Y387">
        <v>640</v>
      </c>
      <c r="Z387">
        <v>41</v>
      </c>
      <c r="AA387" t="s">
        <v>53</v>
      </c>
      <c r="AB387">
        <v>0</v>
      </c>
      <c r="AC387">
        <v>0</v>
      </c>
      <c r="AH387" s="2">
        <v>44512.613194444442</v>
      </c>
      <c r="AI387">
        <v>0</v>
      </c>
      <c r="AJ387">
        <v>0</v>
      </c>
      <c r="AK387" s="30" t="str">
        <f ca="1">VLOOKUP(T387,'Auxiliar Vendas'!E:F,2,FALSE)</f>
        <v>Produto 14</v>
      </c>
      <c r="AL387" s="31">
        <f ca="1">U387*VLOOKUP(T387,'Auxiliar Vendas'!E:G,3,FALSE)</f>
        <v>56</v>
      </c>
    </row>
    <row r="388" spans="1:38">
      <c r="A388">
        <v>15267185311</v>
      </c>
      <c r="B388">
        <v>18</v>
      </c>
      <c r="D388" s="1">
        <v>44512</v>
      </c>
      <c r="E388">
        <v>15179581888</v>
      </c>
      <c r="F388" t="str">
        <f ca="1">VLOOKUP(RANDBETWEEN(1,20),'DBO Compras'!AA:AC,3,0)</f>
        <v>Comprador 14</v>
      </c>
      <c r="G388" t="s">
        <v>54</v>
      </c>
      <c r="H388" t="s">
        <v>55</v>
      </c>
      <c r="I388" t="s">
        <v>56</v>
      </c>
      <c r="J388" t="s">
        <v>39</v>
      </c>
      <c r="K388">
        <v>81350610</v>
      </c>
      <c r="L388" t="s">
        <v>40</v>
      </c>
      <c r="M388" t="s">
        <v>57</v>
      </c>
      <c r="N388">
        <v>41996849234</v>
      </c>
      <c r="O388">
        <v>0</v>
      </c>
      <c r="P388">
        <v>0</v>
      </c>
      <c r="R388" t="s">
        <v>42</v>
      </c>
      <c r="S388">
        <v>15015911944</v>
      </c>
      <c r="T388" t="str">
        <f ca="1">VLOOKUP(RANDBETWEEN(1,17),'Auxiliar Vendas'!D:G,2,0)</f>
        <v>Produto 10</v>
      </c>
      <c r="U388">
        <v>500</v>
      </c>
      <c r="V388">
        <v>12.9</v>
      </c>
      <c r="W388">
        <v>0</v>
      </c>
      <c r="X388">
        <v>10.285</v>
      </c>
      <c r="Y388" s="3">
        <v>6450</v>
      </c>
      <c r="Z388">
        <v>41</v>
      </c>
      <c r="AA388" t="s">
        <v>78</v>
      </c>
      <c r="AB388">
        <v>0</v>
      </c>
      <c r="AC388">
        <v>0</v>
      </c>
      <c r="AH388" s="2">
        <v>44512.613194444442</v>
      </c>
      <c r="AI388">
        <v>0</v>
      </c>
      <c r="AJ388">
        <v>0</v>
      </c>
      <c r="AK388" s="30" t="str">
        <f ca="1">VLOOKUP(T388,'Auxiliar Vendas'!E:F,2,FALSE)</f>
        <v>Produto 10</v>
      </c>
      <c r="AL388" s="31">
        <f ca="1">U388*VLOOKUP(T388,'Auxiliar Vendas'!E:G,3,FALSE)</f>
        <v>550</v>
      </c>
    </row>
    <row r="389" spans="1:38">
      <c r="A389">
        <v>15267185311</v>
      </c>
      <c r="B389">
        <v>18</v>
      </c>
      <c r="D389" s="1">
        <v>44512</v>
      </c>
      <c r="E389">
        <v>15179581888</v>
      </c>
      <c r="F389" t="str">
        <f ca="1">VLOOKUP(RANDBETWEEN(1,20),'DBO Compras'!AA:AC,3,0)</f>
        <v>Comprador 18</v>
      </c>
      <c r="G389" t="s">
        <v>54</v>
      </c>
      <c r="H389" t="s">
        <v>55</v>
      </c>
      <c r="I389" t="s">
        <v>56</v>
      </c>
      <c r="J389" t="s">
        <v>39</v>
      </c>
      <c r="K389">
        <v>81350610</v>
      </c>
      <c r="L389" t="s">
        <v>40</v>
      </c>
      <c r="M389" t="s">
        <v>57</v>
      </c>
      <c r="N389">
        <v>41996849234</v>
      </c>
      <c r="O389">
        <v>0</v>
      </c>
      <c r="P389">
        <v>0</v>
      </c>
      <c r="R389" t="s">
        <v>42</v>
      </c>
      <c r="S389">
        <v>15015918644</v>
      </c>
      <c r="T389" t="str">
        <f ca="1">VLOOKUP(RANDBETWEEN(1,17),'Auxiliar Vendas'!D:G,2,0)</f>
        <v>Produto 17</v>
      </c>
      <c r="U389">
        <v>500</v>
      </c>
      <c r="V389">
        <v>7.35</v>
      </c>
      <c r="W389">
        <v>0</v>
      </c>
      <c r="X389">
        <v>5.61</v>
      </c>
      <c r="Y389" s="3">
        <v>3675</v>
      </c>
      <c r="Z389">
        <v>41</v>
      </c>
      <c r="AA389" t="s">
        <v>59</v>
      </c>
      <c r="AB389">
        <v>0</v>
      </c>
      <c r="AC389">
        <v>0</v>
      </c>
      <c r="AH389" s="2">
        <v>44512.613194444442</v>
      </c>
      <c r="AI389">
        <v>0</v>
      </c>
      <c r="AJ389">
        <v>0</v>
      </c>
      <c r="AK389" s="30" t="str">
        <f ca="1">VLOOKUP(T389,'Auxiliar Vendas'!E:F,2,FALSE)</f>
        <v>Produto 17</v>
      </c>
      <c r="AL389" s="31">
        <f ca="1">U389*VLOOKUP(T389,'Auxiliar Vendas'!E:G,3,FALSE)</f>
        <v>710</v>
      </c>
    </row>
    <row r="390" spans="1:38">
      <c r="A390">
        <v>15267185311</v>
      </c>
      <c r="B390">
        <v>18</v>
      </c>
      <c r="D390" s="1">
        <v>44512</v>
      </c>
      <c r="E390">
        <v>15179581888</v>
      </c>
      <c r="F390" t="str">
        <f ca="1">VLOOKUP(RANDBETWEEN(1,20),'DBO Compras'!AA:AC,3,0)</f>
        <v>Comprador 10</v>
      </c>
      <c r="G390" t="s">
        <v>54</v>
      </c>
      <c r="H390" t="s">
        <v>55</v>
      </c>
      <c r="I390" t="s">
        <v>56</v>
      </c>
      <c r="J390" t="s">
        <v>39</v>
      </c>
      <c r="K390">
        <v>81350610</v>
      </c>
      <c r="L390" t="s">
        <v>40</v>
      </c>
      <c r="M390" t="s">
        <v>57</v>
      </c>
      <c r="N390">
        <v>41996849234</v>
      </c>
      <c r="O390">
        <v>0</v>
      </c>
      <c r="P390">
        <v>0</v>
      </c>
      <c r="R390" t="s">
        <v>42</v>
      </c>
      <c r="S390">
        <v>15016099089</v>
      </c>
      <c r="T390" t="str">
        <f ca="1">VLOOKUP(RANDBETWEEN(1,17),'Auxiliar Vendas'!D:G,2,0)</f>
        <v>Produto 01</v>
      </c>
      <c r="U390">
        <v>130</v>
      </c>
      <c r="V390">
        <v>20.6</v>
      </c>
      <c r="W390">
        <v>0</v>
      </c>
      <c r="X390">
        <v>16.804400000000001</v>
      </c>
      <c r="Y390" s="3">
        <v>2678</v>
      </c>
      <c r="Z390">
        <v>41</v>
      </c>
      <c r="AA390" t="s">
        <v>79</v>
      </c>
      <c r="AB390">
        <v>0</v>
      </c>
      <c r="AC390">
        <v>0</v>
      </c>
      <c r="AH390" s="2">
        <v>44512.613194444442</v>
      </c>
      <c r="AI390">
        <v>0</v>
      </c>
      <c r="AJ390">
        <v>0</v>
      </c>
      <c r="AK390" s="30" t="str">
        <f ca="1">VLOOKUP(T390,'Auxiliar Vendas'!E:F,2,FALSE)</f>
        <v>Produto 01</v>
      </c>
      <c r="AL390" s="31">
        <f ca="1">U390*VLOOKUP(T390,'Auxiliar Vendas'!E:G,3,FALSE)</f>
        <v>52</v>
      </c>
    </row>
    <row r="391" spans="1:38">
      <c r="A391">
        <v>15267185311</v>
      </c>
      <c r="B391">
        <v>18</v>
      </c>
      <c r="D391" s="1">
        <v>44512</v>
      </c>
      <c r="E391">
        <v>15179581888</v>
      </c>
      <c r="F391" t="str">
        <f ca="1">VLOOKUP(RANDBETWEEN(1,20),'DBO Compras'!AA:AC,3,0)</f>
        <v>Comprador 13</v>
      </c>
      <c r="G391" t="s">
        <v>54</v>
      </c>
      <c r="H391" t="s">
        <v>55</v>
      </c>
      <c r="I391" t="s">
        <v>56</v>
      </c>
      <c r="J391" t="s">
        <v>39</v>
      </c>
      <c r="K391">
        <v>81350610</v>
      </c>
      <c r="L391" t="s">
        <v>40</v>
      </c>
      <c r="M391" t="s">
        <v>57</v>
      </c>
      <c r="N391">
        <v>41996849234</v>
      </c>
      <c r="O391">
        <v>0</v>
      </c>
      <c r="P391">
        <v>0</v>
      </c>
      <c r="R391" t="s">
        <v>42</v>
      </c>
      <c r="S391">
        <v>15015746121</v>
      </c>
      <c r="T391" t="str">
        <f ca="1">VLOOKUP(RANDBETWEEN(1,17),'Auxiliar Vendas'!D:G,2,0)</f>
        <v>Produto 01</v>
      </c>
      <c r="U391">
        <v>50</v>
      </c>
      <c r="V391">
        <v>17.8</v>
      </c>
      <c r="W391">
        <v>0</v>
      </c>
      <c r="X391">
        <v>13.763999999999999</v>
      </c>
      <c r="Y391">
        <v>890</v>
      </c>
      <c r="Z391">
        <v>41</v>
      </c>
      <c r="AA391" t="s">
        <v>81</v>
      </c>
      <c r="AB391">
        <v>0</v>
      </c>
      <c r="AC391">
        <v>0</v>
      </c>
      <c r="AH391" s="2">
        <v>44512.613194444442</v>
      </c>
      <c r="AI391">
        <v>0</v>
      </c>
      <c r="AJ391">
        <v>0</v>
      </c>
      <c r="AK391" s="30" t="str">
        <f ca="1">VLOOKUP(T391,'Auxiliar Vendas'!E:F,2,FALSE)</f>
        <v>Produto 01</v>
      </c>
      <c r="AL391" s="31">
        <f ca="1">U391*VLOOKUP(T391,'Auxiliar Vendas'!E:G,3,FALSE)</f>
        <v>20</v>
      </c>
    </row>
    <row r="392" spans="1:38">
      <c r="A392">
        <v>15269043462</v>
      </c>
      <c r="B392">
        <v>21</v>
      </c>
      <c r="D392" s="1">
        <v>44512</v>
      </c>
      <c r="E392">
        <v>15059073318</v>
      </c>
      <c r="F392" t="str">
        <f ca="1">VLOOKUP(RANDBETWEEN(1,20),'DBO Compras'!AA:AC,3,0)</f>
        <v>Comprador 02</v>
      </c>
      <c r="G392" t="s">
        <v>174</v>
      </c>
      <c r="H392" t="s">
        <v>473</v>
      </c>
      <c r="I392" t="s">
        <v>474</v>
      </c>
      <c r="J392" t="s">
        <v>175</v>
      </c>
      <c r="K392">
        <v>88390000</v>
      </c>
      <c r="L392" t="s">
        <v>92</v>
      </c>
      <c r="M392" t="s">
        <v>176</v>
      </c>
      <c r="N392">
        <v>47999669374</v>
      </c>
      <c r="O392">
        <v>0</v>
      </c>
      <c r="P392">
        <v>0</v>
      </c>
      <c r="R392" t="s">
        <v>42</v>
      </c>
      <c r="S392">
        <v>15016043939</v>
      </c>
      <c r="T392" t="str">
        <f ca="1">VLOOKUP(RANDBETWEEN(1,17),'Auxiliar Vendas'!D:G,2,0)</f>
        <v>Produto 04</v>
      </c>
      <c r="U392">
        <v>150</v>
      </c>
      <c r="V392">
        <v>13.65</v>
      </c>
      <c r="W392">
        <v>0</v>
      </c>
      <c r="X392">
        <v>10.747</v>
      </c>
      <c r="Y392" s="3">
        <v>2047.5</v>
      </c>
      <c r="Z392">
        <v>30</v>
      </c>
      <c r="AA392" t="s">
        <v>50</v>
      </c>
      <c r="AB392">
        <v>0</v>
      </c>
      <c r="AC392">
        <v>0</v>
      </c>
      <c r="AD392" t="s">
        <v>189</v>
      </c>
      <c r="AH392" s="2">
        <v>44512.609722222223</v>
      </c>
      <c r="AI392">
        <v>0</v>
      </c>
      <c r="AJ392">
        <v>0</v>
      </c>
      <c r="AK392" s="30" t="str">
        <f ca="1">VLOOKUP(T392,'Auxiliar Vendas'!E:F,2,FALSE)</f>
        <v>Produto 04</v>
      </c>
      <c r="AL392" s="31">
        <f ca="1">U392*VLOOKUP(T392,'Auxiliar Vendas'!E:G,3,FALSE)</f>
        <v>90</v>
      </c>
    </row>
    <row r="393" spans="1:38">
      <c r="A393">
        <v>15269043462</v>
      </c>
      <c r="B393">
        <v>21</v>
      </c>
      <c r="D393" s="1">
        <v>44512</v>
      </c>
      <c r="E393">
        <v>15059073318</v>
      </c>
      <c r="F393" t="str">
        <f ca="1">VLOOKUP(RANDBETWEEN(1,20),'DBO Compras'!AA:AC,3,0)</f>
        <v>Comprador 05</v>
      </c>
      <c r="G393" t="s">
        <v>174</v>
      </c>
      <c r="H393" t="s">
        <v>473</v>
      </c>
      <c r="I393" t="s">
        <v>474</v>
      </c>
      <c r="J393" t="s">
        <v>175</v>
      </c>
      <c r="K393">
        <v>88390000</v>
      </c>
      <c r="L393" t="s">
        <v>92</v>
      </c>
      <c r="M393" t="s">
        <v>176</v>
      </c>
      <c r="N393">
        <v>47999669374</v>
      </c>
      <c r="O393">
        <v>0</v>
      </c>
      <c r="P393">
        <v>0</v>
      </c>
      <c r="R393" t="s">
        <v>42</v>
      </c>
      <c r="S393">
        <v>15015511068</v>
      </c>
      <c r="T393" t="str">
        <f ca="1">VLOOKUP(RANDBETWEEN(1,17),'Auxiliar Vendas'!D:G,2,0)</f>
        <v>Produto 16</v>
      </c>
      <c r="U393">
        <v>150</v>
      </c>
      <c r="V393">
        <v>16.100000000000001</v>
      </c>
      <c r="W393">
        <v>0</v>
      </c>
      <c r="X393">
        <v>10.23</v>
      </c>
      <c r="Y393" s="3">
        <v>2415</v>
      </c>
      <c r="Z393">
        <v>30</v>
      </c>
      <c r="AA393" t="s">
        <v>53</v>
      </c>
      <c r="AB393">
        <v>0</v>
      </c>
      <c r="AC393">
        <v>0</v>
      </c>
      <c r="AD393" t="s">
        <v>189</v>
      </c>
      <c r="AH393" s="2">
        <v>44512.609722222223</v>
      </c>
      <c r="AI393">
        <v>0</v>
      </c>
      <c r="AJ393">
        <v>0</v>
      </c>
      <c r="AK393" s="30" t="str">
        <f ca="1">VLOOKUP(T393,'Auxiliar Vendas'!E:F,2,FALSE)</f>
        <v>Produto 16</v>
      </c>
      <c r="AL393" s="31">
        <f ca="1">U393*VLOOKUP(T393,'Auxiliar Vendas'!E:G,3,FALSE)</f>
        <v>190.5</v>
      </c>
    </row>
    <row r="394" spans="1:38">
      <c r="A394">
        <v>15269043462</v>
      </c>
      <c r="B394">
        <v>21</v>
      </c>
      <c r="D394" s="1">
        <v>44512</v>
      </c>
      <c r="E394">
        <v>15059073318</v>
      </c>
      <c r="F394" t="str">
        <f ca="1">VLOOKUP(RANDBETWEEN(1,20),'DBO Compras'!AA:AC,3,0)</f>
        <v>Comprador 13</v>
      </c>
      <c r="G394" t="s">
        <v>174</v>
      </c>
      <c r="H394" t="s">
        <v>473</v>
      </c>
      <c r="I394" t="s">
        <v>474</v>
      </c>
      <c r="J394" t="s">
        <v>175</v>
      </c>
      <c r="K394">
        <v>88390000</v>
      </c>
      <c r="L394" t="s">
        <v>92</v>
      </c>
      <c r="M394" t="s">
        <v>176</v>
      </c>
      <c r="N394">
        <v>47999669374</v>
      </c>
      <c r="O394">
        <v>0</v>
      </c>
      <c r="P394">
        <v>0</v>
      </c>
      <c r="R394" t="s">
        <v>42</v>
      </c>
      <c r="S394">
        <v>15016093155</v>
      </c>
      <c r="T394" t="str">
        <f ca="1">VLOOKUP(RANDBETWEEN(1,17),'Auxiliar Vendas'!D:G,2,0)</f>
        <v>Produto 15</v>
      </c>
      <c r="U394">
        <v>100</v>
      </c>
      <c r="V394">
        <v>18.14</v>
      </c>
      <c r="W394">
        <v>0</v>
      </c>
      <c r="X394">
        <v>14.4596</v>
      </c>
      <c r="Y394" s="3">
        <v>1814</v>
      </c>
      <c r="Z394">
        <v>30</v>
      </c>
      <c r="AA394" t="s">
        <v>65</v>
      </c>
      <c r="AB394">
        <v>0</v>
      </c>
      <c r="AC394">
        <v>0</v>
      </c>
      <c r="AD394" t="s">
        <v>189</v>
      </c>
      <c r="AH394" s="2">
        <v>44512.609722222223</v>
      </c>
      <c r="AI394">
        <v>0</v>
      </c>
      <c r="AJ394">
        <v>0</v>
      </c>
      <c r="AK394" s="30" t="str">
        <f ca="1">VLOOKUP(T394,'Auxiliar Vendas'!E:F,2,FALSE)</f>
        <v>Produto 15</v>
      </c>
      <c r="AL394" s="31">
        <f ca="1">U394*VLOOKUP(T394,'Auxiliar Vendas'!E:G,3,FALSE)</f>
        <v>142</v>
      </c>
    </row>
    <row r="395" spans="1:38">
      <c r="A395">
        <v>15269043462</v>
      </c>
      <c r="B395">
        <v>21</v>
      </c>
      <c r="D395" s="1">
        <v>44512</v>
      </c>
      <c r="E395">
        <v>15059073318</v>
      </c>
      <c r="F395" t="str">
        <f ca="1">VLOOKUP(RANDBETWEEN(1,20),'DBO Compras'!AA:AC,3,0)</f>
        <v>Comprador 03</v>
      </c>
      <c r="G395" t="s">
        <v>174</v>
      </c>
      <c r="H395" t="s">
        <v>473</v>
      </c>
      <c r="I395" t="s">
        <v>474</v>
      </c>
      <c r="J395" t="s">
        <v>175</v>
      </c>
      <c r="K395">
        <v>88390000</v>
      </c>
      <c r="L395" t="s">
        <v>92</v>
      </c>
      <c r="M395" t="s">
        <v>176</v>
      </c>
      <c r="N395">
        <v>47999669374</v>
      </c>
      <c r="O395">
        <v>0</v>
      </c>
      <c r="P395">
        <v>0</v>
      </c>
      <c r="R395" t="s">
        <v>42</v>
      </c>
      <c r="S395">
        <v>15016080333</v>
      </c>
      <c r="T395" t="str">
        <f ca="1">VLOOKUP(RANDBETWEEN(1,17),'Auxiliar Vendas'!D:G,2,0)</f>
        <v>Produto 02</v>
      </c>
      <c r="U395">
        <v>50</v>
      </c>
      <c r="V395">
        <v>14.7</v>
      </c>
      <c r="W395">
        <v>0</v>
      </c>
      <c r="X395">
        <v>10.747</v>
      </c>
      <c r="Y395">
        <v>735</v>
      </c>
      <c r="Z395">
        <v>30</v>
      </c>
      <c r="AA395" t="s">
        <v>80</v>
      </c>
      <c r="AB395">
        <v>0</v>
      </c>
      <c r="AC395">
        <v>0</v>
      </c>
      <c r="AD395" t="s">
        <v>189</v>
      </c>
      <c r="AH395" s="2">
        <v>44512.609722222223</v>
      </c>
      <c r="AI395">
        <v>0</v>
      </c>
      <c r="AJ395">
        <v>0</v>
      </c>
      <c r="AK395" s="30" t="str">
        <f ca="1">VLOOKUP(T395,'Auxiliar Vendas'!E:F,2,FALSE)</f>
        <v>Produto 02</v>
      </c>
      <c r="AL395" s="31">
        <f ca="1">U395*VLOOKUP(T395,'Auxiliar Vendas'!E:G,3,FALSE)</f>
        <v>13.5</v>
      </c>
    </row>
    <row r="396" spans="1:38">
      <c r="A396">
        <v>15269043462</v>
      </c>
      <c r="B396">
        <v>21</v>
      </c>
      <c r="D396" s="1">
        <v>44512</v>
      </c>
      <c r="E396">
        <v>15059073318</v>
      </c>
      <c r="F396" t="str">
        <f ca="1">VLOOKUP(RANDBETWEEN(1,20),'DBO Compras'!AA:AC,3,0)</f>
        <v>Comprador 15</v>
      </c>
      <c r="G396" t="s">
        <v>174</v>
      </c>
      <c r="H396" t="s">
        <v>473</v>
      </c>
      <c r="I396" t="s">
        <v>474</v>
      </c>
      <c r="J396" t="s">
        <v>175</v>
      </c>
      <c r="K396">
        <v>88390000</v>
      </c>
      <c r="L396" t="s">
        <v>92</v>
      </c>
      <c r="M396" t="s">
        <v>176</v>
      </c>
      <c r="N396">
        <v>47999669374</v>
      </c>
      <c r="O396">
        <v>0</v>
      </c>
      <c r="P396">
        <v>0</v>
      </c>
      <c r="R396" t="s">
        <v>42</v>
      </c>
      <c r="S396">
        <v>15015918644</v>
      </c>
      <c r="T396" t="str">
        <f ca="1">VLOOKUP(RANDBETWEEN(1,17),'Auxiliar Vendas'!D:G,2,0)</f>
        <v>Produto 07</v>
      </c>
      <c r="U396">
        <v>30</v>
      </c>
      <c r="V396">
        <v>7.7</v>
      </c>
      <c r="W396">
        <v>0</v>
      </c>
      <c r="X396">
        <v>5.61</v>
      </c>
      <c r="Y396">
        <v>231</v>
      </c>
      <c r="Z396">
        <v>30</v>
      </c>
      <c r="AA396" t="s">
        <v>59</v>
      </c>
      <c r="AB396">
        <v>0</v>
      </c>
      <c r="AC396">
        <v>0</v>
      </c>
      <c r="AD396" t="s">
        <v>189</v>
      </c>
      <c r="AH396" s="2">
        <v>44512.609722222223</v>
      </c>
      <c r="AI396">
        <v>0</v>
      </c>
      <c r="AJ396">
        <v>0</v>
      </c>
      <c r="AK396" s="30" t="str">
        <f ca="1">VLOOKUP(T396,'Auxiliar Vendas'!E:F,2,FALSE)</f>
        <v>Produto 07</v>
      </c>
      <c r="AL396" s="31">
        <f ca="1">U396*VLOOKUP(T396,'Auxiliar Vendas'!E:G,3,FALSE)</f>
        <v>33</v>
      </c>
    </row>
    <row r="397" spans="1:38">
      <c r="A397">
        <v>15269043462</v>
      </c>
      <c r="B397">
        <v>21</v>
      </c>
      <c r="D397" s="1">
        <v>44512</v>
      </c>
      <c r="E397">
        <v>15059073318</v>
      </c>
      <c r="F397" t="str">
        <f ca="1">VLOOKUP(RANDBETWEEN(1,20),'DBO Compras'!AA:AC,3,0)</f>
        <v>Comprador 19</v>
      </c>
      <c r="G397" t="s">
        <v>174</v>
      </c>
      <c r="H397" t="s">
        <v>473</v>
      </c>
      <c r="I397" t="s">
        <v>474</v>
      </c>
      <c r="J397" t="s">
        <v>175</v>
      </c>
      <c r="K397">
        <v>88390000</v>
      </c>
      <c r="L397" t="s">
        <v>92</v>
      </c>
      <c r="M397" t="s">
        <v>176</v>
      </c>
      <c r="N397">
        <v>47999669374</v>
      </c>
      <c r="O397">
        <v>0</v>
      </c>
      <c r="P397">
        <v>0</v>
      </c>
      <c r="R397" t="s">
        <v>42</v>
      </c>
      <c r="S397">
        <v>15015353721</v>
      </c>
      <c r="T397" t="str">
        <f ca="1">VLOOKUP(RANDBETWEEN(1,17),'Auxiliar Vendas'!D:G,2,0)</f>
        <v>Produto 08</v>
      </c>
      <c r="U397">
        <v>50</v>
      </c>
      <c r="V397">
        <v>4.25</v>
      </c>
      <c r="W397">
        <v>0</v>
      </c>
      <c r="X397">
        <v>5.58</v>
      </c>
      <c r="Y397">
        <v>212.5</v>
      </c>
      <c r="Z397">
        <v>30</v>
      </c>
      <c r="AA397" t="s">
        <v>44</v>
      </c>
      <c r="AB397">
        <v>0</v>
      </c>
      <c r="AC397">
        <v>0</v>
      </c>
      <c r="AD397" t="s">
        <v>189</v>
      </c>
      <c r="AH397" s="2">
        <v>44512.609722222223</v>
      </c>
      <c r="AI397">
        <v>0</v>
      </c>
      <c r="AJ397">
        <v>0</v>
      </c>
      <c r="AK397" s="30" t="str">
        <f ca="1">VLOOKUP(T397,'Auxiliar Vendas'!E:F,2,FALSE)</f>
        <v>Produto 08</v>
      </c>
      <c r="AL397" s="31">
        <f ca="1">U397*VLOOKUP(T397,'Auxiliar Vendas'!E:G,3,FALSE)</f>
        <v>55.000000000000007</v>
      </c>
    </row>
    <row r="398" spans="1:38">
      <c r="A398">
        <v>15290703241</v>
      </c>
      <c r="B398">
        <v>83</v>
      </c>
      <c r="D398" s="1">
        <v>44512</v>
      </c>
      <c r="E398">
        <v>15179608501</v>
      </c>
      <c r="F398" t="str">
        <f ca="1">VLOOKUP(RANDBETWEEN(1,20),'DBO Compras'!AA:AC,3,0)</f>
        <v>Comprador 17</v>
      </c>
      <c r="G398" t="s">
        <v>60</v>
      </c>
      <c r="H398" t="s">
        <v>61</v>
      </c>
      <c r="I398" t="s">
        <v>62</v>
      </c>
      <c r="J398" t="s">
        <v>39</v>
      </c>
      <c r="K398">
        <v>82720070</v>
      </c>
      <c r="L398" t="s">
        <v>40</v>
      </c>
      <c r="M398" t="s">
        <v>63</v>
      </c>
      <c r="N398">
        <v>41992354686</v>
      </c>
      <c r="O398">
        <v>0</v>
      </c>
      <c r="P398">
        <v>0</v>
      </c>
      <c r="R398" t="s">
        <v>42</v>
      </c>
      <c r="S398">
        <v>15016043939</v>
      </c>
      <c r="T398" t="str">
        <f ca="1">VLOOKUP(RANDBETWEEN(1,17),'Auxiliar Vendas'!D:G,2,0)</f>
        <v>Produto 15</v>
      </c>
      <c r="U398">
        <v>300</v>
      </c>
      <c r="V398">
        <v>13.66</v>
      </c>
      <c r="W398">
        <v>0</v>
      </c>
      <c r="X398">
        <v>10.747</v>
      </c>
      <c r="Y398" s="3">
        <v>4098</v>
      </c>
      <c r="Z398">
        <v>42</v>
      </c>
      <c r="AA398" t="s">
        <v>50</v>
      </c>
      <c r="AB398">
        <v>0</v>
      </c>
      <c r="AC398">
        <v>0</v>
      </c>
      <c r="AD398" t="s">
        <v>51</v>
      </c>
      <c r="AH398" s="2">
        <v>44512.713888888888</v>
      </c>
      <c r="AI398">
        <v>0</v>
      </c>
      <c r="AJ398">
        <v>0</v>
      </c>
      <c r="AK398" s="30" t="str">
        <f ca="1">VLOOKUP(T398,'Auxiliar Vendas'!E:F,2,FALSE)</f>
        <v>Produto 15</v>
      </c>
      <c r="AL398" s="31">
        <f ca="1">U398*VLOOKUP(T398,'Auxiliar Vendas'!E:G,3,FALSE)</f>
        <v>426</v>
      </c>
    </row>
    <row r="399" spans="1:38">
      <c r="A399">
        <v>15290703241</v>
      </c>
      <c r="B399">
        <v>83</v>
      </c>
      <c r="D399" s="1">
        <v>44512</v>
      </c>
      <c r="E399">
        <v>15179608501</v>
      </c>
      <c r="F399" t="str">
        <f ca="1">VLOOKUP(RANDBETWEEN(1,20),'DBO Compras'!AA:AC,3,0)</f>
        <v>Comprador 03</v>
      </c>
      <c r="G399" t="s">
        <v>60</v>
      </c>
      <c r="H399" t="s">
        <v>61</v>
      </c>
      <c r="I399" t="s">
        <v>62</v>
      </c>
      <c r="J399" t="s">
        <v>39</v>
      </c>
      <c r="K399">
        <v>82720070</v>
      </c>
      <c r="L399" t="s">
        <v>40</v>
      </c>
      <c r="M399" t="s">
        <v>63</v>
      </c>
      <c r="N399">
        <v>41992354686</v>
      </c>
      <c r="O399">
        <v>0</v>
      </c>
      <c r="P399">
        <v>0</v>
      </c>
      <c r="R399" t="s">
        <v>42</v>
      </c>
      <c r="S399">
        <v>15015918644</v>
      </c>
      <c r="T399" t="str">
        <f ca="1">VLOOKUP(RANDBETWEEN(1,17),'Auxiliar Vendas'!D:G,2,0)</f>
        <v>Produto 07</v>
      </c>
      <c r="U399">
        <v>200</v>
      </c>
      <c r="V399">
        <v>7.9</v>
      </c>
      <c r="W399">
        <v>0</v>
      </c>
      <c r="X399">
        <v>5.61</v>
      </c>
      <c r="Y399" s="3">
        <v>1580</v>
      </c>
      <c r="Z399">
        <v>42</v>
      </c>
      <c r="AA399" t="s">
        <v>59</v>
      </c>
      <c r="AB399">
        <v>0</v>
      </c>
      <c r="AC399">
        <v>0</v>
      </c>
      <c r="AD399" t="s">
        <v>51</v>
      </c>
      <c r="AH399" s="2">
        <v>44512.713888888888</v>
      </c>
      <c r="AI399">
        <v>0</v>
      </c>
      <c r="AJ399">
        <v>0</v>
      </c>
      <c r="AK399" s="30" t="str">
        <f ca="1">VLOOKUP(T399,'Auxiliar Vendas'!E:F,2,FALSE)</f>
        <v>Produto 07</v>
      </c>
      <c r="AL399" s="31">
        <f ca="1">U399*VLOOKUP(T399,'Auxiliar Vendas'!E:G,3,FALSE)</f>
        <v>220.00000000000003</v>
      </c>
    </row>
    <row r="400" spans="1:38">
      <c r="A400">
        <v>15290703241</v>
      </c>
      <c r="B400">
        <v>83</v>
      </c>
      <c r="D400" s="1">
        <v>44512</v>
      </c>
      <c r="E400">
        <v>15179608501</v>
      </c>
      <c r="F400" t="str">
        <f ca="1">VLOOKUP(RANDBETWEEN(1,20),'DBO Compras'!AA:AC,3,0)</f>
        <v>Comprador 06</v>
      </c>
      <c r="G400" t="s">
        <v>60</v>
      </c>
      <c r="H400" t="s">
        <v>61</v>
      </c>
      <c r="I400" t="s">
        <v>62</v>
      </c>
      <c r="J400" t="s">
        <v>39</v>
      </c>
      <c r="K400">
        <v>82720070</v>
      </c>
      <c r="L400" t="s">
        <v>40</v>
      </c>
      <c r="M400" t="s">
        <v>63</v>
      </c>
      <c r="N400">
        <v>41992354686</v>
      </c>
      <c r="O400">
        <v>0</v>
      </c>
      <c r="P400">
        <v>0</v>
      </c>
      <c r="R400" t="s">
        <v>42</v>
      </c>
      <c r="S400">
        <v>15016087271</v>
      </c>
      <c r="T400" t="str">
        <f ca="1">VLOOKUP(RANDBETWEEN(1,17),'Auxiliar Vendas'!D:G,2,0)</f>
        <v>Produto 10</v>
      </c>
      <c r="U400">
        <v>50</v>
      </c>
      <c r="V400">
        <v>18.100000000000001</v>
      </c>
      <c r="W400">
        <v>0</v>
      </c>
      <c r="X400">
        <v>14.4596</v>
      </c>
      <c r="Y400">
        <v>905</v>
      </c>
      <c r="Z400">
        <v>42</v>
      </c>
      <c r="AA400" t="s">
        <v>64</v>
      </c>
      <c r="AB400">
        <v>0</v>
      </c>
      <c r="AC400">
        <v>0</v>
      </c>
      <c r="AD400" t="s">
        <v>51</v>
      </c>
      <c r="AH400" s="2">
        <v>44512.713888888888</v>
      </c>
      <c r="AI400">
        <v>0</v>
      </c>
      <c r="AJ400">
        <v>0</v>
      </c>
      <c r="AK400" s="30" t="str">
        <f ca="1">VLOOKUP(T400,'Auxiliar Vendas'!E:F,2,FALSE)</f>
        <v>Produto 10</v>
      </c>
      <c r="AL400" s="31">
        <f ca="1">U400*VLOOKUP(T400,'Auxiliar Vendas'!E:G,3,FALSE)</f>
        <v>55.000000000000007</v>
      </c>
    </row>
    <row r="401" spans="1:38">
      <c r="A401">
        <v>15293061912</v>
      </c>
      <c r="B401">
        <v>93</v>
      </c>
      <c r="D401" s="1">
        <v>44512</v>
      </c>
      <c r="E401">
        <v>15279322250</v>
      </c>
      <c r="F401" t="str">
        <f ca="1">VLOOKUP(RANDBETWEEN(1,20),'DBO Compras'!AA:AC,3,0)</f>
        <v>Comprador 01</v>
      </c>
      <c r="G401" t="s">
        <v>83</v>
      </c>
      <c r="H401" t="s">
        <v>84</v>
      </c>
      <c r="I401" t="s">
        <v>85</v>
      </c>
      <c r="J401" t="s">
        <v>39</v>
      </c>
      <c r="K401">
        <v>80220100</v>
      </c>
      <c r="L401" t="s">
        <v>40</v>
      </c>
      <c r="M401" t="s">
        <v>86</v>
      </c>
      <c r="N401">
        <v>41993330017</v>
      </c>
      <c r="O401">
        <v>0</v>
      </c>
      <c r="P401">
        <v>0</v>
      </c>
      <c r="R401" t="s">
        <v>42</v>
      </c>
      <c r="S401">
        <v>15016043939</v>
      </c>
      <c r="T401" t="str">
        <f ca="1">VLOOKUP(RANDBETWEEN(1,17),'Auxiliar Vendas'!D:G,2,0)</f>
        <v>Produto 03</v>
      </c>
      <c r="U401">
        <v>330</v>
      </c>
      <c r="V401">
        <v>13.19</v>
      </c>
      <c r="W401">
        <v>0</v>
      </c>
      <c r="X401">
        <v>10.747</v>
      </c>
      <c r="Y401" s="3">
        <v>4352.7</v>
      </c>
      <c r="Z401">
        <v>68</v>
      </c>
      <c r="AA401" t="s">
        <v>50</v>
      </c>
      <c r="AB401">
        <v>0</v>
      </c>
      <c r="AC401">
        <v>0</v>
      </c>
      <c r="AH401" s="2">
        <v>44512.713888888888</v>
      </c>
      <c r="AI401">
        <v>0</v>
      </c>
      <c r="AJ401">
        <v>0</v>
      </c>
      <c r="AK401" s="30" t="str">
        <f ca="1">VLOOKUP(T401,'Auxiliar Vendas'!E:F,2,FALSE)</f>
        <v>Produto 03</v>
      </c>
      <c r="AL401" s="31">
        <f ca="1">U401*VLOOKUP(T401,'Auxiliar Vendas'!E:G,3,FALSE)</f>
        <v>198</v>
      </c>
    </row>
    <row r="402" spans="1:38">
      <c r="A402">
        <v>15293061912</v>
      </c>
      <c r="B402">
        <v>93</v>
      </c>
      <c r="D402" s="1">
        <v>44512</v>
      </c>
      <c r="E402">
        <v>15279322250</v>
      </c>
      <c r="F402" t="str">
        <f ca="1">VLOOKUP(RANDBETWEEN(1,20),'DBO Compras'!AA:AC,3,0)</f>
        <v>Comprador 11</v>
      </c>
      <c r="G402" t="s">
        <v>83</v>
      </c>
      <c r="H402" t="s">
        <v>84</v>
      </c>
      <c r="I402" t="s">
        <v>85</v>
      </c>
      <c r="J402" t="s">
        <v>39</v>
      </c>
      <c r="K402">
        <v>80220100</v>
      </c>
      <c r="L402" t="s">
        <v>40</v>
      </c>
      <c r="M402" t="s">
        <v>86</v>
      </c>
      <c r="N402">
        <v>41993330017</v>
      </c>
      <c r="O402">
        <v>0</v>
      </c>
      <c r="P402">
        <v>0</v>
      </c>
      <c r="R402" t="s">
        <v>42</v>
      </c>
      <c r="S402">
        <v>15016099089</v>
      </c>
      <c r="T402" t="str">
        <f ca="1">VLOOKUP(RANDBETWEEN(1,17),'Auxiliar Vendas'!D:G,2,0)</f>
        <v>Produto 16</v>
      </c>
      <c r="U402">
        <v>100</v>
      </c>
      <c r="V402">
        <v>20.9</v>
      </c>
      <c r="W402">
        <v>0</v>
      </c>
      <c r="X402">
        <v>16.804400000000001</v>
      </c>
      <c r="Y402" s="3">
        <v>2090</v>
      </c>
      <c r="Z402">
        <v>68</v>
      </c>
      <c r="AA402" t="s">
        <v>79</v>
      </c>
      <c r="AB402">
        <v>0</v>
      </c>
      <c r="AC402">
        <v>0</v>
      </c>
      <c r="AH402" s="2">
        <v>44512.713888888888</v>
      </c>
      <c r="AI402">
        <v>0</v>
      </c>
      <c r="AJ402">
        <v>0</v>
      </c>
      <c r="AK402" s="30" t="str">
        <f ca="1">VLOOKUP(T402,'Auxiliar Vendas'!E:F,2,FALSE)</f>
        <v>Produto 16</v>
      </c>
      <c r="AL402" s="31">
        <f ca="1">U402*VLOOKUP(T402,'Auxiliar Vendas'!E:G,3,FALSE)</f>
        <v>127</v>
      </c>
    </row>
    <row r="403" spans="1:38">
      <c r="A403">
        <v>15293061912</v>
      </c>
      <c r="B403">
        <v>93</v>
      </c>
      <c r="D403" s="1">
        <v>44512</v>
      </c>
      <c r="E403">
        <v>15279322250</v>
      </c>
      <c r="F403" t="str">
        <f ca="1">VLOOKUP(RANDBETWEEN(1,20),'DBO Compras'!AA:AC,3,0)</f>
        <v>Comprador 10</v>
      </c>
      <c r="G403" t="s">
        <v>83</v>
      </c>
      <c r="H403" t="s">
        <v>84</v>
      </c>
      <c r="I403" t="s">
        <v>85</v>
      </c>
      <c r="J403" t="s">
        <v>39</v>
      </c>
      <c r="K403">
        <v>80220100</v>
      </c>
      <c r="L403" t="s">
        <v>40</v>
      </c>
      <c r="M403" t="s">
        <v>86</v>
      </c>
      <c r="N403">
        <v>41993330017</v>
      </c>
      <c r="O403">
        <v>0</v>
      </c>
      <c r="P403">
        <v>0</v>
      </c>
      <c r="R403" t="s">
        <v>42</v>
      </c>
      <c r="S403">
        <v>15016093155</v>
      </c>
      <c r="T403" t="str">
        <f ca="1">VLOOKUP(RANDBETWEEN(1,17),'Auxiliar Vendas'!D:G,2,0)</f>
        <v>Produto 15</v>
      </c>
      <c r="U403">
        <v>100</v>
      </c>
      <c r="V403">
        <v>17.899999999999999</v>
      </c>
      <c r="W403">
        <v>0</v>
      </c>
      <c r="X403">
        <v>14.4596</v>
      </c>
      <c r="Y403" s="3">
        <v>1790</v>
      </c>
      <c r="Z403">
        <v>68</v>
      </c>
      <c r="AA403" t="s">
        <v>65</v>
      </c>
      <c r="AB403">
        <v>0</v>
      </c>
      <c r="AC403">
        <v>0</v>
      </c>
      <c r="AH403" s="2">
        <v>44512.713888888888</v>
      </c>
      <c r="AI403">
        <v>0</v>
      </c>
      <c r="AJ403">
        <v>0</v>
      </c>
      <c r="AK403" s="30" t="str">
        <f ca="1">VLOOKUP(T403,'Auxiliar Vendas'!E:F,2,FALSE)</f>
        <v>Produto 15</v>
      </c>
      <c r="AL403" s="31">
        <f ca="1">U403*VLOOKUP(T403,'Auxiliar Vendas'!E:G,3,FALSE)</f>
        <v>142</v>
      </c>
    </row>
    <row r="404" spans="1:38">
      <c r="A404">
        <v>15293061912</v>
      </c>
      <c r="B404">
        <v>93</v>
      </c>
      <c r="D404" s="1">
        <v>44512</v>
      </c>
      <c r="E404">
        <v>15279322250</v>
      </c>
      <c r="F404" t="str">
        <f ca="1">VLOOKUP(RANDBETWEEN(1,20),'DBO Compras'!AA:AC,3,0)</f>
        <v>Comprador 12</v>
      </c>
      <c r="G404" t="s">
        <v>83</v>
      </c>
      <c r="H404" t="s">
        <v>84</v>
      </c>
      <c r="I404" t="s">
        <v>85</v>
      </c>
      <c r="J404" t="s">
        <v>39</v>
      </c>
      <c r="K404">
        <v>80220100</v>
      </c>
      <c r="L404" t="s">
        <v>40</v>
      </c>
      <c r="M404" t="s">
        <v>86</v>
      </c>
      <c r="N404">
        <v>41993330017</v>
      </c>
      <c r="O404">
        <v>0</v>
      </c>
      <c r="P404">
        <v>0</v>
      </c>
      <c r="R404" t="s">
        <v>42</v>
      </c>
      <c r="S404">
        <v>15016080333</v>
      </c>
      <c r="T404" t="str">
        <f ca="1">VLOOKUP(RANDBETWEEN(1,17),'Auxiliar Vendas'!D:G,2,0)</f>
        <v>Produto 11</v>
      </c>
      <c r="U404">
        <v>90</v>
      </c>
      <c r="V404">
        <v>13.9</v>
      </c>
      <c r="W404">
        <v>0</v>
      </c>
      <c r="X404">
        <v>10.747</v>
      </c>
      <c r="Y404" s="3">
        <v>1251</v>
      </c>
      <c r="Z404">
        <v>68</v>
      </c>
      <c r="AA404" t="s">
        <v>80</v>
      </c>
      <c r="AB404">
        <v>0</v>
      </c>
      <c r="AC404">
        <v>0</v>
      </c>
      <c r="AH404" s="2">
        <v>44512.713888888888</v>
      </c>
      <c r="AI404">
        <v>0</v>
      </c>
      <c r="AJ404">
        <v>0</v>
      </c>
      <c r="AK404" s="30" t="str">
        <f ca="1">VLOOKUP(T404,'Auxiliar Vendas'!E:F,2,FALSE)</f>
        <v>Produto 11</v>
      </c>
      <c r="AL404" s="31">
        <f ca="1">U404*VLOOKUP(T404,'Auxiliar Vendas'!E:G,3,FALSE)</f>
        <v>99.000000000000014</v>
      </c>
    </row>
    <row r="405" spans="1:38">
      <c r="A405">
        <v>15293061912</v>
      </c>
      <c r="B405">
        <v>93</v>
      </c>
      <c r="D405" s="1">
        <v>44512</v>
      </c>
      <c r="E405">
        <v>15279322250</v>
      </c>
      <c r="F405" t="str">
        <f ca="1">VLOOKUP(RANDBETWEEN(1,20),'DBO Compras'!AA:AC,3,0)</f>
        <v>Comprador 20</v>
      </c>
      <c r="G405" t="s">
        <v>83</v>
      </c>
      <c r="H405" t="s">
        <v>84</v>
      </c>
      <c r="I405" t="s">
        <v>85</v>
      </c>
      <c r="J405" t="s">
        <v>39</v>
      </c>
      <c r="K405">
        <v>80220100</v>
      </c>
      <c r="L405" t="s">
        <v>40</v>
      </c>
      <c r="M405" t="s">
        <v>86</v>
      </c>
      <c r="N405">
        <v>41993330017</v>
      </c>
      <c r="O405">
        <v>0</v>
      </c>
      <c r="P405">
        <v>0</v>
      </c>
      <c r="R405" t="s">
        <v>42</v>
      </c>
      <c r="S405">
        <v>15015918644</v>
      </c>
      <c r="T405" t="str">
        <f ca="1">VLOOKUP(RANDBETWEEN(1,17),'Auxiliar Vendas'!D:G,2,0)</f>
        <v>Produto 14</v>
      </c>
      <c r="U405">
        <v>300</v>
      </c>
      <c r="V405">
        <v>7.6</v>
      </c>
      <c r="W405">
        <v>0</v>
      </c>
      <c r="X405">
        <v>5.61</v>
      </c>
      <c r="Y405" s="3">
        <v>2280</v>
      </c>
      <c r="Z405">
        <v>68</v>
      </c>
      <c r="AA405" t="s">
        <v>59</v>
      </c>
      <c r="AB405">
        <v>0</v>
      </c>
      <c r="AC405">
        <v>0</v>
      </c>
      <c r="AH405" s="2">
        <v>44512.713888888888</v>
      </c>
      <c r="AI405">
        <v>0</v>
      </c>
      <c r="AJ405">
        <v>0</v>
      </c>
      <c r="AK405" s="30" t="str">
        <f ca="1">VLOOKUP(T405,'Auxiliar Vendas'!E:F,2,FALSE)</f>
        <v>Produto 14</v>
      </c>
      <c r="AL405" s="31">
        <f ca="1">U405*VLOOKUP(T405,'Auxiliar Vendas'!E:G,3,FALSE)</f>
        <v>420</v>
      </c>
    </row>
    <row r="406" spans="1:38">
      <c r="A406">
        <v>15276999191</v>
      </c>
      <c r="B406">
        <v>58</v>
      </c>
      <c r="D406" s="1">
        <v>44516</v>
      </c>
      <c r="E406">
        <v>15020006032</v>
      </c>
      <c r="F406" t="str">
        <f ca="1">VLOOKUP(RANDBETWEEN(1,20),'DBO Compras'!AA:AC,3,0)</f>
        <v>Comprador 13</v>
      </c>
      <c r="G406" t="s">
        <v>36</v>
      </c>
      <c r="H406" t="s">
        <v>37</v>
      </c>
      <c r="I406" t="s">
        <v>38</v>
      </c>
      <c r="J406" t="s">
        <v>39</v>
      </c>
      <c r="K406">
        <v>82960015</v>
      </c>
      <c r="L406" t="s">
        <v>40</v>
      </c>
      <c r="M406" t="s">
        <v>41</v>
      </c>
      <c r="N406">
        <v>41996838559</v>
      </c>
      <c r="O406">
        <v>0</v>
      </c>
      <c r="P406">
        <v>0</v>
      </c>
      <c r="R406" t="s">
        <v>42</v>
      </c>
      <c r="S406">
        <v>15016099089</v>
      </c>
      <c r="T406" t="str">
        <f ca="1">VLOOKUP(RANDBETWEEN(1,17),'Auxiliar Vendas'!D:G,2,0)</f>
        <v>Produto 13</v>
      </c>
      <c r="U406">
        <v>300</v>
      </c>
      <c r="V406">
        <v>20.95</v>
      </c>
      <c r="W406">
        <v>0</v>
      </c>
      <c r="X406">
        <v>16.804400000000001</v>
      </c>
      <c r="Y406" s="3">
        <v>6285</v>
      </c>
      <c r="Z406">
        <v>16</v>
      </c>
      <c r="AA406" t="s">
        <v>79</v>
      </c>
      <c r="AB406">
        <v>0</v>
      </c>
      <c r="AC406">
        <v>0</v>
      </c>
      <c r="AH406" s="2">
        <v>44516.61041666667</v>
      </c>
      <c r="AI406">
        <v>0</v>
      </c>
      <c r="AJ406">
        <v>0</v>
      </c>
      <c r="AK406" s="30" t="str">
        <f ca="1">VLOOKUP(T406,'Auxiliar Vendas'!E:F,2,FALSE)</f>
        <v>Produto 13</v>
      </c>
      <c r="AL406" s="31">
        <f ca="1">U406*VLOOKUP(T406,'Auxiliar Vendas'!E:G,3,FALSE)</f>
        <v>420</v>
      </c>
    </row>
    <row r="407" spans="1:38">
      <c r="A407">
        <v>15276999191</v>
      </c>
      <c r="B407">
        <v>58</v>
      </c>
      <c r="D407" s="1">
        <v>44516</v>
      </c>
      <c r="E407">
        <v>15020006032</v>
      </c>
      <c r="F407" t="str">
        <f ca="1">VLOOKUP(RANDBETWEEN(1,20),'DBO Compras'!AA:AC,3,0)</f>
        <v>Comprador 16</v>
      </c>
      <c r="G407" t="s">
        <v>36</v>
      </c>
      <c r="H407" t="s">
        <v>37</v>
      </c>
      <c r="I407" t="s">
        <v>38</v>
      </c>
      <c r="J407" t="s">
        <v>39</v>
      </c>
      <c r="K407">
        <v>82960015</v>
      </c>
      <c r="L407" t="s">
        <v>40</v>
      </c>
      <c r="M407" t="s">
        <v>41</v>
      </c>
      <c r="N407">
        <v>41996838559</v>
      </c>
      <c r="O407">
        <v>0</v>
      </c>
      <c r="P407">
        <v>0</v>
      </c>
      <c r="R407" t="s">
        <v>42</v>
      </c>
      <c r="S407">
        <v>15139727614</v>
      </c>
      <c r="T407" t="str">
        <f ca="1">VLOOKUP(RANDBETWEEN(1,17),'Auxiliar Vendas'!D:G,2,0)</f>
        <v>Produto 02</v>
      </c>
      <c r="U407">
        <v>100</v>
      </c>
      <c r="V407">
        <v>23.2</v>
      </c>
      <c r="W407">
        <v>0</v>
      </c>
      <c r="X407">
        <v>0</v>
      </c>
      <c r="Y407" s="3">
        <v>2320</v>
      </c>
      <c r="Z407">
        <v>16</v>
      </c>
      <c r="AA407" t="s">
        <v>146</v>
      </c>
      <c r="AB407">
        <v>0</v>
      </c>
      <c r="AC407">
        <v>0</v>
      </c>
      <c r="AH407" s="2">
        <v>44516.61041666667</v>
      </c>
      <c r="AI407">
        <v>0</v>
      </c>
      <c r="AJ407">
        <v>0</v>
      </c>
      <c r="AK407" s="30" t="str">
        <f ca="1">VLOOKUP(T407,'Auxiliar Vendas'!E:F,2,FALSE)</f>
        <v>Produto 02</v>
      </c>
      <c r="AL407" s="31">
        <f ca="1">U407*VLOOKUP(T407,'Auxiliar Vendas'!E:G,3,FALSE)</f>
        <v>27</v>
      </c>
    </row>
    <row r="408" spans="1:38">
      <c r="A408">
        <v>15276999191</v>
      </c>
      <c r="B408">
        <v>58</v>
      </c>
      <c r="D408" s="1">
        <v>44516</v>
      </c>
      <c r="E408">
        <v>15020006032</v>
      </c>
      <c r="F408" t="str">
        <f ca="1">VLOOKUP(RANDBETWEEN(1,20),'DBO Compras'!AA:AC,3,0)</f>
        <v>Comprador 09</v>
      </c>
      <c r="G408" t="s">
        <v>36</v>
      </c>
      <c r="H408" t="s">
        <v>37</v>
      </c>
      <c r="I408" t="s">
        <v>38</v>
      </c>
      <c r="J408" t="s">
        <v>39</v>
      </c>
      <c r="K408">
        <v>82960015</v>
      </c>
      <c r="L408" t="s">
        <v>40</v>
      </c>
      <c r="M408" t="s">
        <v>41</v>
      </c>
      <c r="N408">
        <v>41996838559</v>
      </c>
      <c r="O408">
        <v>0</v>
      </c>
      <c r="P408">
        <v>0</v>
      </c>
      <c r="R408" t="s">
        <v>42</v>
      </c>
      <c r="S408">
        <v>15139667431</v>
      </c>
      <c r="T408" t="str">
        <f ca="1">VLOOKUP(RANDBETWEEN(1,17),'Auxiliar Vendas'!D:G,2,0)</f>
        <v>Produto 04</v>
      </c>
      <c r="U408">
        <v>50</v>
      </c>
      <c r="V408">
        <v>20.8</v>
      </c>
      <c r="W408">
        <v>0</v>
      </c>
      <c r="X408">
        <v>0</v>
      </c>
      <c r="Y408" s="3">
        <v>1040</v>
      </c>
      <c r="Z408">
        <v>16</v>
      </c>
      <c r="AA408" t="s">
        <v>145</v>
      </c>
      <c r="AB408">
        <v>0</v>
      </c>
      <c r="AC408">
        <v>0</v>
      </c>
      <c r="AH408" s="2">
        <v>44516.61041666667</v>
      </c>
      <c r="AI408">
        <v>0</v>
      </c>
      <c r="AJ408">
        <v>0</v>
      </c>
      <c r="AK408" s="30" t="str">
        <f ca="1">VLOOKUP(T408,'Auxiliar Vendas'!E:F,2,FALSE)</f>
        <v>Produto 04</v>
      </c>
      <c r="AL408" s="31">
        <f ca="1">U408*VLOOKUP(T408,'Auxiliar Vendas'!E:G,3,FALSE)</f>
        <v>30</v>
      </c>
    </row>
    <row r="409" spans="1:38">
      <c r="A409">
        <v>15276999191</v>
      </c>
      <c r="B409">
        <v>58</v>
      </c>
      <c r="D409" s="1">
        <v>44516</v>
      </c>
      <c r="E409">
        <v>15020006032</v>
      </c>
      <c r="F409" t="str">
        <f ca="1">VLOOKUP(RANDBETWEEN(1,20),'DBO Compras'!AA:AC,3,0)</f>
        <v>Comprador 14</v>
      </c>
      <c r="G409" t="s">
        <v>36</v>
      </c>
      <c r="H409" t="s">
        <v>37</v>
      </c>
      <c r="I409" t="s">
        <v>38</v>
      </c>
      <c r="J409" t="s">
        <v>39</v>
      </c>
      <c r="K409">
        <v>82960015</v>
      </c>
      <c r="L409" t="s">
        <v>40</v>
      </c>
      <c r="M409" t="s">
        <v>41</v>
      </c>
      <c r="N409">
        <v>41996838559</v>
      </c>
      <c r="O409">
        <v>0</v>
      </c>
      <c r="P409">
        <v>0</v>
      </c>
      <c r="R409" t="s">
        <v>42</v>
      </c>
      <c r="S409">
        <v>15016093155</v>
      </c>
      <c r="T409" t="str">
        <f ca="1">VLOOKUP(RANDBETWEEN(1,17),'Auxiliar Vendas'!D:G,2,0)</f>
        <v>Produto 02</v>
      </c>
      <c r="U409">
        <v>200</v>
      </c>
      <c r="V409">
        <v>17.899999999999999</v>
      </c>
      <c r="W409">
        <v>0</v>
      </c>
      <c r="X409">
        <v>14.4596</v>
      </c>
      <c r="Y409" s="3">
        <v>3580</v>
      </c>
      <c r="Z409">
        <v>16</v>
      </c>
      <c r="AA409" t="s">
        <v>65</v>
      </c>
      <c r="AB409">
        <v>0</v>
      </c>
      <c r="AC409">
        <v>0</v>
      </c>
      <c r="AH409" s="2">
        <v>44516.61041666667</v>
      </c>
      <c r="AI409">
        <v>0</v>
      </c>
      <c r="AJ409">
        <v>0</v>
      </c>
      <c r="AK409" s="30" t="str">
        <f ca="1">VLOOKUP(T409,'Auxiliar Vendas'!E:F,2,FALSE)</f>
        <v>Produto 02</v>
      </c>
      <c r="AL409" s="31">
        <f ca="1">U409*VLOOKUP(T409,'Auxiliar Vendas'!E:G,3,FALSE)</f>
        <v>54</v>
      </c>
    </row>
    <row r="410" spans="1:38">
      <c r="A410">
        <v>15295509523</v>
      </c>
      <c r="B410">
        <v>108</v>
      </c>
      <c r="D410" s="1">
        <v>44516</v>
      </c>
      <c r="E410">
        <v>15058698393</v>
      </c>
      <c r="F410" t="str">
        <f ca="1">VLOOKUP(RANDBETWEEN(1,20),'DBO Compras'!AA:AC,3,0)</f>
        <v>Comprador 03</v>
      </c>
      <c r="G410" t="s">
        <v>67</v>
      </c>
      <c r="H410" t="s">
        <v>68</v>
      </c>
      <c r="I410" t="s">
        <v>69</v>
      </c>
      <c r="J410" t="s">
        <v>70</v>
      </c>
      <c r="K410">
        <v>83320382</v>
      </c>
      <c r="L410" t="s">
        <v>40</v>
      </c>
      <c r="M410" t="s">
        <v>71</v>
      </c>
      <c r="N410">
        <v>41998972354</v>
      </c>
      <c r="O410">
        <v>0</v>
      </c>
      <c r="P410">
        <v>0</v>
      </c>
      <c r="R410" t="s">
        <v>42</v>
      </c>
      <c r="S410">
        <v>15016099089</v>
      </c>
      <c r="T410" t="str">
        <f ca="1">VLOOKUP(RANDBETWEEN(1,17),'Auxiliar Vendas'!D:G,2,0)</f>
        <v>Produto 11</v>
      </c>
      <c r="U410">
        <v>500</v>
      </c>
      <c r="V410">
        <v>20.9</v>
      </c>
      <c r="W410">
        <v>0</v>
      </c>
      <c r="X410">
        <v>16.804400000000001</v>
      </c>
      <c r="Y410" s="3">
        <v>10450</v>
      </c>
      <c r="Z410">
        <v>18</v>
      </c>
      <c r="AA410" t="s">
        <v>79</v>
      </c>
      <c r="AB410">
        <v>0</v>
      </c>
      <c r="AC410">
        <v>0</v>
      </c>
      <c r="AD410" t="s">
        <v>51</v>
      </c>
      <c r="AH410" s="2">
        <v>44516.713194444441</v>
      </c>
      <c r="AI410">
        <v>0</v>
      </c>
      <c r="AJ410">
        <v>0</v>
      </c>
      <c r="AK410" s="30" t="str">
        <f ca="1">VLOOKUP(T410,'Auxiliar Vendas'!E:F,2,FALSE)</f>
        <v>Produto 11</v>
      </c>
      <c r="AL410" s="31">
        <f ca="1">U410*VLOOKUP(T410,'Auxiliar Vendas'!E:G,3,FALSE)</f>
        <v>550</v>
      </c>
    </row>
    <row r="411" spans="1:38">
      <c r="A411">
        <v>15295509523</v>
      </c>
      <c r="B411">
        <v>108</v>
      </c>
      <c r="D411" s="1">
        <v>44516</v>
      </c>
      <c r="E411">
        <v>15058698393</v>
      </c>
      <c r="F411" t="str">
        <f ca="1">VLOOKUP(RANDBETWEEN(1,20),'DBO Compras'!AA:AC,3,0)</f>
        <v>Comprador 11</v>
      </c>
      <c r="G411" t="s">
        <v>67</v>
      </c>
      <c r="H411" t="s">
        <v>68</v>
      </c>
      <c r="I411" t="s">
        <v>69</v>
      </c>
      <c r="J411" t="s">
        <v>70</v>
      </c>
      <c r="K411">
        <v>83320382</v>
      </c>
      <c r="L411" t="s">
        <v>40</v>
      </c>
      <c r="M411" t="s">
        <v>71</v>
      </c>
      <c r="N411">
        <v>41998972354</v>
      </c>
      <c r="O411">
        <v>0</v>
      </c>
      <c r="P411">
        <v>0</v>
      </c>
      <c r="R411" t="s">
        <v>42</v>
      </c>
      <c r="S411">
        <v>15016087271</v>
      </c>
      <c r="T411" t="str">
        <f ca="1">VLOOKUP(RANDBETWEEN(1,17),'Auxiliar Vendas'!D:G,2,0)</f>
        <v>Produto 13</v>
      </c>
      <c r="U411">
        <v>200</v>
      </c>
      <c r="V411">
        <v>17.899999999999999</v>
      </c>
      <c r="W411">
        <v>0</v>
      </c>
      <c r="X411">
        <v>14.4596</v>
      </c>
      <c r="Y411" s="3">
        <v>3580</v>
      </c>
      <c r="Z411">
        <v>18</v>
      </c>
      <c r="AA411" t="s">
        <v>64</v>
      </c>
      <c r="AB411">
        <v>0</v>
      </c>
      <c r="AC411">
        <v>0</v>
      </c>
      <c r="AD411" t="s">
        <v>51</v>
      </c>
      <c r="AH411" s="2">
        <v>44516.713194444441</v>
      </c>
      <c r="AI411">
        <v>0</v>
      </c>
      <c r="AJ411">
        <v>0</v>
      </c>
      <c r="AK411" s="30" t="str">
        <f ca="1">VLOOKUP(T411,'Auxiliar Vendas'!E:F,2,FALSE)</f>
        <v>Produto 13</v>
      </c>
      <c r="AL411" s="31">
        <f ca="1">U411*VLOOKUP(T411,'Auxiliar Vendas'!E:G,3,FALSE)</f>
        <v>280</v>
      </c>
    </row>
    <row r="412" spans="1:38">
      <c r="A412">
        <v>15295509523</v>
      </c>
      <c r="B412">
        <v>108</v>
      </c>
      <c r="D412" s="1">
        <v>44516</v>
      </c>
      <c r="E412">
        <v>15058698393</v>
      </c>
      <c r="F412" t="str">
        <f ca="1">VLOOKUP(RANDBETWEEN(1,20),'DBO Compras'!AA:AC,3,0)</f>
        <v>Comprador 11</v>
      </c>
      <c r="G412" t="s">
        <v>67</v>
      </c>
      <c r="H412" t="s">
        <v>68</v>
      </c>
      <c r="I412" t="s">
        <v>69</v>
      </c>
      <c r="J412" t="s">
        <v>70</v>
      </c>
      <c r="K412">
        <v>83320382</v>
      </c>
      <c r="L412" t="s">
        <v>40</v>
      </c>
      <c r="M412" t="s">
        <v>71</v>
      </c>
      <c r="N412">
        <v>41998972354</v>
      </c>
      <c r="O412">
        <v>0</v>
      </c>
      <c r="P412">
        <v>0</v>
      </c>
      <c r="R412" t="s">
        <v>42</v>
      </c>
      <c r="S412">
        <v>15016080333</v>
      </c>
      <c r="T412" t="str">
        <f ca="1">VLOOKUP(RANDBETWEEN(1,17),'Auxiliar Vendas'!D:G,2,0)</f>
        <v>Produto 14</v>
      </c>
      <c r="U412">
        <v>200</v>
      </c>
      <c r="V412">
        <v>13.9</v>
      </c>
      <c r="W412">
        <v>0</v>
      </c>
      <c r="X412">
        <v>10.747</v>
      </c>
      <c r="Y412" s="3">
        <v>2780</v>
      </c>
      <c r="Z412">
        <v>18</v>
      </c>
      <c r="AA412" t="s">
        <v>80</v>
      </c>
      <c r="AB412">
        <v>0</v>
      </c>
      <c r="AC412">
        <v>0</v>
      </c>
      <c r="AD412" t="s">
        <v>51</v>
      </c>
      <c r="AH412" s="2">
        <v>44516.713194444441</v>
      </c>
      <c r="AI412">
        <v>0</v>
      </c>
      <c r="AJ412">
        <v>0</v>
      </c>
      <c r="AK412" s="30" t="str">
        <f ca="1">VLOOKUP(T412,'Auxiliar Vendas'!E:F,2,FALSE)</f>
        <v>Produto 14</v>
      </c>
      <c r="AL412" s="31">
        <f ca="1">U412*VLOOKUP(T412,'Auxiliar Vendas'!E:G,3,FALSE)</f>
        <v>280</v>
      </c>
    </row>
    <row r="413" spans="1:38">
      <c r="A413">
        <v>15310012504</v>
      </c>
      <c r="B413">
        <v>109</v>
      </c>
      <c r="D413" s="1">
        <v>44516</v>
      </c>
      <c r="E413">
        <v>15295545217</v>
      </c>
      <c r="F413" t="str">
        <f ca="1">VLOOKUP(RANDBETWEEN(1,20),'DBO Compras'!AA:AC,3,0)</f>
        <v>Comprador 03</v>
      </c>
      <c r="G413" t="s">
        <v>136</v>
      </c>
      <c r="H413" t="s">
        <v>137</v>
      </c>
      <c r="I413" t="s">
        <v>138</v>
      </c>
      <c r="J413" t="s">
        <v>39</v>
      </c>
      <c r="K413">
        <v>81910000</v>
      </c>
      <c r="L413" t="s">
        <v>40</v>
      </c>
      <c r="M413" t="s">
        <v>139</v>
      </c>
      <c r="N413">
        <v>41998481264</v>
      </c>
      <c r="O413">
        <v>0</v>
      </c>
      <c r="P413">
        <v>0</v>
      </c>
      <c r="R413" t="s">
        <v>42</v>
      </c>
      <c r="S413">
        <v>15016093155</v>
      </c>
      <c r="T413" t="str">
        <f ca="1">VLOOKUP(RANDBETWEEN(1,17),'Auxiliar Vendas'!D:G,2,0)</f>
        <v>Produto 06</v>
      </c>
      <c r="U413">
        <v>150</v>
      </c>
      <c r="V413">
        <v>18.14</v>
      </c>
      <c r="W413">
        <v>0</v>
      </c>
      <c r="X413">
        <v>14.4596</v>
      </c>
      <c r="Y413" s="3">
        <v>2721</v>
      </c>
      <c r="Z413">
        <v>78</v>
      </c>
      <c r="AA413" t="s">
        <v>65</v>
      </c>
      <c r="AB413">
        <v>0</v>
      </c>
      <c r="AC413">
        <v>0</v>
      </c>
      <c r="AH413" s="2">
        <v>44517.355555555558</v>
      </c>
      <c r="AI413">
        <v>0</v>
      </c>
      <c r="AJ413">
        <v>0</v>
      </c>
      <c r="AK413" s="30" t="str">
        <f ca="1">VLOOKUP(T413,'Auxiliar Vendas'!E:F,2,FALSE)</f>
        <v>Produto 06</v>
      </c>
      <c r="AL413" s="31">
        <f ca="1">U413*VLOOKUP(T413,'Auxiliar Vendas'!E:G,3,FALSE)</f>
        <v>75</v>
      </c>
    </row>
    <row r="414" spans="1:38">
      <c r="A414">
        <v>15310012504</v>
      </c>
      <c r="B414">
        <v>109</v>
      </c>
      <c r="D414" s="1">
        <v>44516</v>
      </c>
      <c r="E414">
        <v>15295545217</v>
      </c>
      <c r="F414" t="str">
        <f ca="1">VLOOKUP(RANDBETWEEN(1,20),'DBO Compras'!AA:AC,3,0)</f>
        <v>Comprador 06</v>
      </c>
      <c r="G414" t="s">
        <v>136</v>
      </c>
      <c r="H414" t="s">
        <v>137</v>
      </c>
      <c r="I414" t="s">
        <v>138</v>
      </c>
      <c r="J414" t="s">
        <v>39</v>
      </c>
      <c r="K414">
        <v>81910000</v>
      </c>
      <c r="L414" t="s">
        <v>40</v>
      </c>
      <c r="M414" t="s">
        <v>139</v>
      </c>
      <c r="N414">
        <v>41998481264</v>
      </c>
      <c r="O414">
        <v>0</v>
      </c>
      <c r="P414">
        <v>0</v>
      </c>
      <c r="R414" t="s">
        <v>42</v>
      </c>
      <c r="S414">
        <v>15016099089</v>
      </c>
      <c r="T414" t="str">
        <f ca="1">VLOOKUP(RANDBETWEEN(1,17),'Auxiliar Vendas'!D:G,2,0)</f>
        <v>Produto 10</v>
      </c>
      <c r="U414">
        <v>150</v>
      </c>
      <c r="V414">
        <v>21.1</v>
      </c>
      <c r="W414">
        <v>0</v>
      </c>
      <c r="X414">
        <v>16.804400000000001</v>
      </c>
      <c r="Y414" s="3">
        <v>3165</v>
      </c>
      <c r="Z414">
        <v>78</v>
      </c>
      <c r="AA414" t="s">
        <v>79</v>
      </c>
      <c r="AB414">
        <v>0</v>
      </c>
      <c r="AC414">
        <v>0</v>
      </c>
      <c r="AH414" s="2">
        <v>44517.355555555558</v>
      </c>
      <c r="AI414">
        <v>0</v>
      </c>
      <c r="AJ414">
        <v>0</v>
      </c>
      <c r="AK414" s="30" t="str">
        <f ca="1">VLOOKUP(T414,'Auxiliar Vendas'!E:F,2,FALSE)</f>
        <v>Produto 10</v>
      </c>
      <c r="AL414" s="31">
        <f ca="1">U414*VLOOKUP(T414,'Auxiliar Vendas'!E:G,3,FALSE)</f>
        <v>165</v>
      </c>
    </row>
    <row r="415" spans="1:38">
      <c r="A415">
        <v>15310012504</v>
      </c>
      <c r="B415">
        <v>109</v>
      </c>
      <c r="D415" s="1">
        <v>44516</v>
      </c>
      <c r="E415">
        <v>15295545217</v>
      </c>
      <c r="F415" t="str">
        <f ca="1">VLOOKUP(RANDBETWEEN(1,20),'DBO Compras'!AA:AC,3,0)</f>
        <v>Comprador 08</v>
      </c>
      <c r="G415" t="s">
        <v>136</v>
      </c>
      <c r="H415" t="s">
        <v>137</v>
      </c>
      <c r="I415" t="s">
        <v>138</v>
      </c>
      <c r="J415" t="s">
        <v>39</v>
      </c>
      <c r="K415">
        <v>81910000</v>
      </c>
      <c r="L415" t="s">
        <v>40</v>
      </c>
      <c r="M415" t="s">
        <v>139</v>
      </c>
      <c r="N415">
        <v>41998481264</v>
      </c>
      <c r="O415">
        <v>0</v>
      </c>
      <c r="P415">
        <v>0</v>
      </c>
      <c r="R415" t="s">
        <v>42</v>
      </c>
      <c r="S415">
        <v>15016073255</v>
      </c>
      <c r="T415" t="str">
        <f ca="1">VLOOKUP(RANDBETWEEN(1,17),'Auxiliar Vendas'!D:G,2,0)</f>
        <v>Produto 01</v>
      </c>
      <c r="U415">
        <v>200</v>
      </c>
      <c r="V415">
        <v>16.100000000000001</v>
      </c>
      <c r="W415">
        <v>0</v>
      </c>
      <c r="X415">
        <v>10.747</v>
      </c>
      <c r="Y415" s="3">
        <v>3220</v>
      </c>
      <c r="Z415">
        <v>78</v>
      </c>
      <c r="AA415" t="s">
        <v>160</v>
      </c>
      <c r="AB415">
        <v>0</v>
      </c>
      <c r="AC415">
        <v>0</v>
      </c>
      <c r="AH415" s="2">
        <v>44517.355555555558</v>
      </c>
      <c r="AI415">
        <v>0</v>
      </c>
      <c r="AJ415">
        <v>0</v>
      </c>
      <c r="AK415" s="30" t="str">
        <f ca="1">VLOOKUP(T415,'Auxiliar Vendas'!E:F,2,FALSE)</f>
        <v>Produto 01</v>
      </c>
      <c r="AL415" s="31">
        <f ca="1">U415*VLOOKUP(T415,'Auxiliar Vendas'!E:G,3,FALSE)</f>
        <v>80</v>
      </c>
    </row>
    <row r="416" spans="1:38">
      <c r="A416">
        <v>15310012504</v>
      </c>
      <c r="B416">
        <v>109</v>
      </c>
      <c r="D416" s="1">
        <v>44516</v>
      </c>
      <c r="E416">
        <v>15295545217</v>
      </c>
      <c r="F416" t="str">
        <f ca="1">VLOOKUP(RANDBETWEEN(1,20),'DBO Compras'!AA:AC,3,0)</f>
        <v>Comprador 11</v>
      </c>
      <c r="G416" t="s">
        <v>136</v>
      </c>
      <c r="H416" t="s">
        <v>137</v>
      </c>
      <c r="I416" t="s">
        <v>138</v>
      </c>
      <c r="J416" t="s">
        <v>39</v>
      </c>
      <c r="K416">
        <v>81910000</v>
      </c>
      <c r="L416" t="s">
        <v>40</v>
      </c>
      <c r="M416" t="s">
        <v>139</v>
      </c>
      <c r="N416">
        <v>41998481264</v>
      </c>
      <c r="O416">
        <v>0</v>
      </c>
      <c r="P416">
        <v>0</v>
      </c>
      <c r="R416" t="s">
        <v>42</v>
      </c>
      <c r="S416">
        <v>15016043939</v>
      </c>
      <c r="T416" t="str">
        <f ca="1">VLOOKUP(RANDBETWEEN(1,17),'Auxiliar Vendas'!D:G,2,0)</f>
        <v>Produto 02</v>
      </c>
      <c r="U416">
        <v>500</v>
      </c>
      <c r="V416">
        <v>13.65</v>
      </c>
      <c r="W416">
        <v>0</v>
      </c>
      <c r="X416">
        <v>10.747</v>
      </c>
      <c r="Y416" s="3">
        <v>6825</v>
      </c>
      <c r="Z416">
        <v>78</v>
      </c>
      <c r="AA416" t="s">
        <v>50</v>
      </c>
      <c r="AB416">
        <v>0</v>
      </c>
      <c r="AC416">
        <v>0</v>
      </c>
      <c r="AH416" s="2">
        <v>44517.355555555558</v>
      </c>
      <c r="AI416">
        <v>0</v>
      </c>
      <c r="AJ416">
        <v>0</v>
      </c>
      <c r="AK416" s="30" t="str">
        <f ca="1">VLOOKUP(T416,'Auxiliar Vendas'!E:F,2,FALSE)</f>
        <v>Produto 02</v>
      </c>
      <c r="AL416" s="31">
        <f ca="1">U416*VLOOKUP(T416,'Auxiliar Vendas'!E:G,3,FALSE)</f>
        <v>135</v>
      </c>
    </row>
    <row r="417" spans="1:38">
      <c r="A417">
        <v>15310012504</v>
      </c>
      <c r="B417">
        <v>109</v>
      </c>
      <c r="D417" s="1">
        <v>44516</v>
      </c>
      <c r="E417">
        <v>15295545217</v>
      </c>
      <c r="F417" t="str">
        <f ca="1">VLOOKUP(RANDBETWEEN(1,20),'DBO Compras'!AA:AC,3,0)</f>
        <v>Comprador 02</v>
      </c>
      <c r="G417" t="s">
        <v>136</v>
      </c>
      <c r="H417" t="s">
        <v>137</v>
      </c>
      <c r="I417" t="s">
        <v>138</v>
      </c>
      <c r="J417" t="s">
        <v>39</v>
      </c>
      <c r="K417">
        <v>81910000</v>
      </c>
      <c r="L417" t="s">
        <v>40</v>
      </c>
      <c r="M417" t="s">
        <v>139</v>
      </c>
      <c r="N417">
        <v>41998481264</v>
      </c>
      <c r="O417">
        <v>0</v>
      </c>
      <c r="P417">
        <v>0</v>
      </c>
      <c r="R417" t="s">
        <v>42</v>
      </c>
      <c r="S417">
        <v>15016080333</v>
      </c>
      <c r="T417" t="str">
        <f ca="1">VLOOKUP(RANDBETWEEN(1,17),'Auxiliar Vendas'!D:G,2,0)</f>
        <v>Produto 16</v>
      </c>
      <c r="U417">
        <v>120</v>
      </c>
      <c r="V417">
        <v>14.7</v>
      </c>
      <c r="W417">
        <v>0</v>
      </c>
      <c r="X417">
        <v>10.747</v>
      </c>
      <c r="Y417" s="3">
        <v>1764</v>
      </c>
      <c r="Z417">
        <v>78</v>
      </c>
      <c r="AA417" t="s">
        <v>80</v>
      </c>
      <c r="AB417">
        <v>0</v>
      </c>
      <c r="AC417">
        <v>0</v>
      </c>
      <c r="AH417" s="2">
        <v>44517.355555555558</v>
      </c>
      <c r="AI417">
        <v>0</v>
      </c>
      <c r="AJ417">
        <v>0</v>
      </c>
      <c r="AK417" s="30" t="str">
        <f ca="1">VLOOKUP(T417,'Auxiliar Vendas'!E:F,2,FALSE)</f>
        <v>Produto 16</v>
      </c>
      <c r="AL417" s="31">
        <f ca="1">U417*VLOOKUP(T417,'Auxiliar Vendas'!E:G,3,FALSE)</f>
        <v>152.4</v>
      </c>
    </row>
    <row r="418" spans="1:38">
      <c r="A418">
        <v>15310012504</v>
      </c>
      <c r="B418">
        <v>109</v>
      </c>
      <c r="D418" s="1">
        <v>44516</v>
      </c>
      <c r="E418">
        <v>15295545217</v>
      </c>
      <c r="F418" t="str">
        <f ca="1">VLOOKUP(RANDBETWEEN(1,20),'DBO Compras'!AA:AC,3,0)</f>
        <v>Comprador 14</v>
      </c>
      <c r="G418" t="s">
        <v>136</v>
      </c>
      <c r="H418" t="s">
        <v>137</v>
      </c>
      <c r="I418" t="s">
        <v>138</v>
      </c>
      <c r="J418" t="s">
        <v>39</v>
      </c>
      <c r="K418">
        <v>81910000</v>
      </c>
      <c r="L418" t="s">
        <v>40</v>
      </c>
      <c r="M418" t="s">
        <v>139</v>
      </c>
      <c r="N418">
        <v>41998481264</v>
      </c>
      <c r="O418">
        <v>0</v>
      </c>
      <c r="P418">
        <v>0</v>
      </c>
      <c r="R418" t="s">
        <v>42</v>
      </c>
      <c r="S418">
        <v>15016087271</v>
      </c>
      <c r="T418" t="str">
        <f ca="1">VLOOKUP(RANDBETWEEN(1,17),'Auxiliar Vendas'!D:G,2,0)</f>
        <v>Produto 14</v>
      </c>
      <c r="U418">
        <v>100</v>
      </c>
      <c r="V418">
        <v>18.14</v>
      </c>
      <c r="W418">
        <v>0</v>
      </c>
      <c r="X418">
        <v>14.4596</v>
      </c>
      <c r="Y418" s="3">
        <v>1814</v>
      </c>
      <c r="Z418">
        <v>78</v>
      </c>
      <c r="AA418" t="s">
        <v>64</v>
      </c>
      <c r="AB418">
        <v>0</v>
      </c>
      <c r="AC418">
        <v>0</v>
      </c>
      <c r="AH418" s="2">
        <v>44517.355555555558</v>
      </c>
      <c r="AI418">
        <v>0</v>
      </c>
      <c r="AJ418">
        <v>0</v>
      </c>
      <c r="AK418" s="30" t="str">
        <f ca="1">VLOOKUP(T418,'Auxiliar Vendas'!E:F,2,FALSE)</f>
        <v>Produto 14</v>
      </c>
      <c r="AL418" s="31">
        <f ca="1">U418*VLOOKUP(T418,'Auxiliar Vendas'!E:G,3,FALSE)</f>
        <v>140</v>
      </c>
    </row>
    <row r="419" spans="1:38">
      <c r="A419">
        <v>15310012504</v>
      </c>
      <c r="B419">
        <v>109</v>
      </c>
      <c r="D419" s="1">
        <v>44516</v>
      </c>
      <c r="E419">
        <v>15295545217</v>
      </c>
      <c r="F419" t="str">
        <f ca="1">VLOOKUP(RANDBETWEEN(1,20),'DBO Compras'!AA:AC,3,0)</f>
        <v>Comprador 14</v>
      </c>
      <c r="G419" t="s">
        <v>136</v>
      </c>
      <c r="H419" t="s">
        <v>137</v>
      </c>
      <c r="I419" t="s">
        <v>138</v>
      </c>
      <c r="J419" t="s">
        <v>39</v>
      </c>
      <c r="K419">
        <v>81910000</v>
      </c>
      <c r="L419" t="s">
        <v>40</v>
      </c>
      <c r="M419" t="s">
        <v>139</v>
      </c>
      <c r="N419">
        <v>41998481264</v>
      </c>
      <c r="O419">
        <v>0</v>
      </c>
      <c r="P419">
        <v>0</v>
      </c>
      <c r="R419" t="s">
        <v>42</v>
      </c>
      <c r="S419">
        <v>15015918644</v>
      </c>
      <c r="T419" t="str">
        <f ca="1">VLOOKUP(RANDBETWEEN(1,17),'Auxiliar Vendas'!D:G,2,0)</f>
        <v>Produto 01</v>
      </c>
      <c r="U419">
        <v>500</v>
      </c>
      <c r="V419">
        <v>7.9</v>
      </c>
      <c r="W419">
        <v>0</v>
      </c>
      <c r="X419">
        <v>5.61</v>
      </c>
      <c r="Y419" s="3">
        <v>3950</v>
      </c>
      <c r="Z419">
        <v>78</v>
      </c>
      <c r="AA419" t="s">
        <v>59</v>
      </c>
      <c r="AB419">
        <v>0</v>
      </c>
      <c r="AC419">
        <v>0</v>
      </c>
      <c r="AH419" s="2">
        <v>44517.355555555558</v>
      </c>
      <c r="AI419">
        <v>0</v>
      </c>
      <c r="AJ419">
        <v>0</v>
      </c>
      <c r="AK419" s="30" t="str">
        <f ca="1">VLOOKUP(T419,'Auxiliar Vendas'!E:F,2,FALSE)</f>
        <v>Produto 01</v>
      </c>
      <c r="AL419" s="31">
        <f ca="1">U419*VLOOKUP(T419,'Auxiliar Vendas'!E:G,3,FALSE)</f>
        <v>200</v>
      </c>
    </row>
    <row r="420" spans="1:38">
      <c r="A420">
        <v>15310012504</v>
      </c>
      <c r="B420">
        <v>109</v>
      </c>
      <c r="D420" s="1">
        <v>44516</v>
      </c>
      <c r="E420">
        <v>15295545217</v>
      </c>
      <c r="F420" t="str">
        <f ca="1">VLOOKUP(RANDBETWEEN(1,20),'DBO Compras'!AA:AC,3,0)</f>
        <v>Comprador 14</v>
      </c>
      <c r="G420" t="s">
        <v>136</v>
      </c>
      <c r="H420" t="s">
        <v>137</v>
      </c>
      <c r="I420" t="s">
        <v>138</v>
      </c>
      <c r="J420" t="s">
        <v>39</v>
      </c>
      <c r="K420">
        <v>81910000</v>
      </c>
      <c r="L420" t="s">
        <v>40</v>
      </c>
      <c r="M420" t="s">
        <v>139</v>
      </c>
      <c r="N420">
        <v>41998481264</v>
      </c>
      <c r="O420">
        <v>0</v>
      </c>
      <c r="P420">
        <v>0</v>
      </c>
      <c r="R420" t="s">
        <v>42</v>
      </c>
      <c r="S420">
        <v>15015925662</v>
      </c>
      <c r="T420" t="str">
        <f ca="1">VLOOKUP(RANDBETWEEN(1,17),'Auxiliar Vendas'!D:G,2,0)</f>
        <v>Produto 06</v>
      </c>
      <c r="U420">
        <v>120</v>
      </c>
      <c r="V420">
        <v>7.9</v>
      </c>
      <c r="W420">
        <v>0</v>
      </c>
      <c r="X420">
        <v>3.74</v>
      </c>
      <c r="Y420">
        <v>948</v>
      </c>
      <c r="Z420">
        <v>78</v>
      </c>
      <c r="AA420" t="s">
        <v>82</v>
      </c>
      <c r="AB420">
        <v>0</v>
      </c>
      <c r="AC420">
        <v>0</v>
      </c>
      <c r="AH420" s="2">
        <v>44517.355555555558</v>
      </c>
      <c r="AI420">
        <v>0</v>
      </c>
      <c r="AJ420">
        <v>0</v>
      </c>
      <c r="AK420" s="30" t="str">
        <f ca="1">VLOOKUP(T420,'Auxiliar Vendas'!E:F,2,FALSE)</f>
        <v>Produto 06</v>
      </c>
      <c r="AL420" s="31">
        <f ca="1">U420*VLOOKUP(T420,'Auxiliar Vendas'!E:G,3,FALSE)</f>
        <v>60</v>
      </c>
    </row>
    <row r="421" spans="1:38">
      <c r="A421">
        <v>15310012504</v>
      </c>
      <c r="B421">
        <v>109</v>
      </c>
      <c r="D421" s="1">
        <v>44516</v>
      </c>
      <c r="E421">
        <v>15295545217</v>
      </c>
      <c r="F421" t="str">
        <f ca="1">VLOOKUP(RANDBETWEEN(1,20),'DBO Compras'!AA:AC,3,0)</f>
        <v>Comprador 17</v>
      </c>
      <c r="G421" t="s">
        <v>136</v>
      </c>
      <c r="H421" t="s">
        <v>137</v>
      </c>
      <c r="I421" t="s">
        <v>138</v>
      </c>
      <c r="J421" t="s">
        <v>39</v>
      </c>
      <c r="K421">
        <v>81910000</v>
      </c>
      <c r="L421" t="s">
        <v>40</v>
      </c>
      <c r="M421" t="s">
        <v>139</v>
      </c>
      <c r="N421">
        <v>41998481264</v>
      </c>
      <c r="O421">
        <v>0</v>
      </c>
      <c r="P421">
        <v>0</v>
      </c>
      <c r="R421" t="s">
        <v>42</v>
      </c>
      <c r="S421">
        <v>15016093155</v>
      </c>
      <c r="T421" t="str">
        <f ca="1">VLOOKUP(RANDBETWEEN(1,17),'Auxiliar Vendas'!D:G,2,0)</f>
        <v>Produto 05</v>
      </c>
      <c r="U421">
        <v>150</v>
      </c>
      <c r="V421">
        <v>16.93</v>
      </c>
      <c r="W421">
        <v>0</v>
      </c>
      <c r="X421">
        <v>14.4596</v>
      </c>
      <c r="Y421" s="3">
        <v>2539.5</v>
      </c>
      <c r="Z421">
        <v>78</v>
      </c>
      <c r="AA421" t="s">
        <v>65</v>
      </c>
      <c r="AB421">
        <v>0</v>
      </c>
      <c r="AC421">
        <v>0</v>
      </c>
      <c r="AH421" s="2">
        <v>44517.355555555558</v>
      </c>
      <c r="AI421">
        <v>0</v>
      </c>
      <c r="AJ421">
        <v>0</v>
      </c>
      <c r="AK421" s="30" t="str">
        <f ca="1">VLOOKUP(T421,'Auxiliar Vendas'!E:F,2,FALSE)</f>
        <v>Produto 05</v>
      </c>
      <c r="AL421" s="31">
        <f ca="1">U421*VLOOKUP(T421,'Auxiliar Vendas'!E:G,3,FALSE)</f>
        <v>90</v>
      </c>
    </row>
    <row r="422" spans="1:38">
      <c r="A422">
        <v>15310012504</v>
      </c>
      <c r="B422">
        <v>109</v>
      </c>
      <c r="D422" s="1">
        <v>44516</v>
      </c>
      <c r="E422">
        <v>15295545217</v>
      </c>
      <c r="F422" t="str">
        <f ca="1">VLOOKUP(RANDBETWEEN(1,20),'DBO Compras'!AA:AC,3,0)</f>
        <v>Comprador 11</v>
      </c>
      <c r="G422" t="s">
        <v>136</v>
      </c>
      <c r="H422" t="s">
        <v>137</v>
      </c>
      <c r="I422" t="s">
        <v>138</v>
      </c>
      <c r="J422" t="s">
        <v>39</v>
      </c>
      <c r="K422">
        <v>81910000</v>
      </c>
      <c r="L422" t="s">
        <v>40</v>
      </c>
      <c r="M422" t="s">
        <v>139</v>
      </c>
      <c r="N422">
        <v>41998481264</v>
      </c>
      <c r="O422">
        <v>0</v>
      </c>
      <c r="P422">
        <v>0</v>
      </c>
      <c r="R422" t="s">
        <v>42</v>
      </c>
      <c r="S422">
        <v>15016093155</v>
      </c>
      <c r="T422" t="str">
        <f ca="1">VLOOKUP(RANDBETWEEN(1,17),'Auxiliar Vendas'!D:G,2,0)</f>
        <v>Produto 01</v>
      </c>
      <c r="U422">
        <v>150</v>
      </c>
      <c r="V422">
        <v>15.11</v>
      </c>
      <c r="W422">
        <v>0</v>
      </c>
      <c r="X422">
        <v>14.4596</v>
      </c>
      <c r="Y422" s="3">
        <v>2266.5</v>
      </c>
      <c r="Z422">
        <v>78</v>
      </c>
      <c r="AA422" t="s">
        <v>65</v>
      </c>
      <c r="AB422">
        <v>0</v>
      </c>
      <c r="AC422">
        <v>0</v>
      </c>
      <c r="AH422" s="2">
        <v>44517.355555555558</v>
      </c>
      <c r="AI422">
        <v>0</v>
      </c>
      <c r="AJ422">
        <v>0</v>
      </c>
      <c r="AK422" s="30" t="str">
        <f ca="1">VLOOKUP(T422,'Auxiliar Vendas'!E:F,2,FALSE)</f>
        <v>Produto 01</v>
      </c>
      <c r="AL422" s="31">
        <f ca="1">U422*VLOOKUP(T422,'Auxiliar Vendas'!E:G,3,FALSE)</f>
        <v>60</v>
      </c>
    </row>
    <row r="423" spans="1:38">
      <c r="A423">
        <v>15410746195</v>
      </c>
      <c r="B423">
        <v>165</v>
      </c>
      <c r="D423" s="1">
        <v>44516</v>
      </c>
      <c r="E423">
        <v>15276719215</v>
      </c>
      <c r="F423" t="str">
        <f ca="1">VLOOKUP(RANDBETWEEN(1,20),'DBO Compras'!AA:AC,3,0)</f>
        <v>Comprador 19</v>
      </c>
      <c r="G423" t="s">
        <v>257</v>
      </c>
      <c r="H423" t="s">
        <v>258</v>
      </c>
      <c r="I423" t="s">
        <v>259</v>
      </c>
      <c r="J423" t="s">
        <v>252</v>
      </c>
      <c r="K423">
        <v>89503358</v>
      </c>
      <c r="L423" t="s">
        <v>92</v>
      </c>
      <c r="O423">
        <v>0</v>
      </c>
      <c r="P423">
        <v>0</v>
      </c>
      <c r="R423" t="s">
        <v>42</v>
      </c>
      <c r="S423">
        <v>15016087271</v>
      </c>
      <c r="T423" t="str">
        <f ca="1">VLOOKUP(RANDBETWEEN(1,17),'Auxiliar Vendas'!D:G,2,0)</f>
        <v>Produto 13</v>
      </c>
      <c r="U423">
        <v>280</v>
      </c>
      <c r="V423">
        <v>17.899999999999999</v>
      </c>
      <c r="W423">
        <v>3.5</v>
      </c>
      <c r="X423">
        <v>14.4596</v>
      </c>
      <c r="Y423" s="3">
        <v>5012</v>
      </c>
      <c r="Z423">
        <v>67</v>
      </c>
      <c r="AA423" t="s">
        <v>64</v>
      </c>
      <c r="AB423">
        <v>0</v>
      </c>
      <c r="AC423">
        <v>0</v>
      </c>
      <c r="AD423" t="s">
        <v>189</v>
      </c>
      <c r="AH423" s="2">
        <v>44516.475694444445</v>
      </c>
      <c r="AI423">
        <v>0</v>
      </c>
      <c r="AJ423">
        <v>0</v>
      </c>
      <c r="AK423" s="30" t="str">
        <f ca="1">VLOOKUP(T423,'Auxiliar Vendas'!E:F,2,FALSE)</f>
        <v>Produto 13</v>
      </c>
      <c r="AL423" s="31">
        <f ca="1">U423*VLOOKUP(T423,'Auxiliar Vendas'!E:G,3,FALSE)</f>
        <v>392</v>
      </c>
    </row>
    <row r="424" spans="1:38">
      <c r="A424">
        <v>15291487565</v>
      </c>
      <c r="B424">
        <v>90</v>
      </c>
      <c r="D424" s="1">
        <v>44517</v>
      </c>
      <c r="E424">
        <v>15179581888</v>
      </c>
      <c r="F424" t="str">
        <f ca="1">VLOOKUP(RANDBETWEEN(1,20),'DBO Compras'!AA:AC,3,0)</f>
        <v>Comprador 12</v>
      </c>
      <c r="G424" t="s">
        <v>54</v>
      </c>
      <c r="H424" t="s">
        <v>55</v>
      </c>
      <c r="I424" t="s">
        <v>56</v>
      </c>
      <c r="J424" t="s">
        <v>39</v>
      </c>
      <c r="K424">
        <v>81350610</v>
      </c>
      <c r="L424" t="s">
        <v>40</v>
      </c>
      <c r="M424" t="s">
        <v>57</v>
      </c>
      <c r="N424">
        <v>41996849234</v>
      </c>
      <c r="O424">
        <v>0</v>
      </c>
      <c r="P424">
        <v>0</v>
      </c>
      <c r="R424" t="s">
        <v>42</v>
      </c>
      <c r="S424">
        <v>15016099089</v>
      </c>
      <c r="T424" t="str">
        <f ca="1">VLOOKUP(RANDBETWEEN(1,17),'Auxiliar Vendas'!D:G,2,0)</f>
        <v>Produto 04</v>
      </c>
      <c r="U424">
        <v>150</v>
      </c>
      <c r="V424">
        <v>20.6</v>
      </c>
      <c r="W424">
        <v>0</v>
      </c>
      <c r="X424">
        <v>16.804400000000001</v>
      </c>
      <c r="Y424" s="3">
        <v>3090</v>
      </c>
      <c r="Z424">
        <v>41</v>
      </c>
      <c r="AA424" t="s">
        <v>79</v>
      </c>
      <c r="AB424">
        <v>0</v>
      </c>
      <c r="AC424">
        <v>0</v>
      </c>
      <c r="AH424" s="2">
        <v>44517.712500000001</v>
      </c>
      <c r="AI424">
        <v>0</v>
      </c>
      <c r="AJ424">
        <v>0</v>
      </c>
      <c r="AK424" s="30" t="str">
        <f ca="1">VLOOKUP(T424,'Auxiliar Vendas'!E:F,2,FALSE)</f>
        <v>Produto 04</v>
      </c>
      <c r="AL424" s="31">
        <f ca="1">U424*VLOOKUP(T424,'Auxiliar Vendas'!E:G,3,FALSE)</f>
        <v>90</v>
      </c>
    </row>
    <row r="425" spans="1:38">
      <c r="A425">
        <v>15291487565</v>
      </c>
      <c r="B425">
        <v>90</v>
      </c>
      <c r="D425" s="1">
        <v>44517</v>
      </c>
      <c r="E425">
        <v>15179581888</v>
      </c>
      <c r="F425" t="str">
        <f ca="1">VLOOKUP(RANDBETWEEN(1,20),'DBO Compras'!AA:AC,3,0)</f>
        <v>Comprador 02</v>
      </c>
      <c r="G425" t="s">
        <v>54</v>
      </c>
      <c r="H425" t="s">
        <v>55</v>
      </c>
      <c r="I425" t="s">
        <v>56</v>
      </c>
      <c r="J425" t="s">
        <v>39</v>
      </c>
      <c r="K425">
        <v>81350610</v>
      </c>
      <c r="L425" t="s">
        <v>40</v>
      </c>
      <c r="M425" t="s">
        <v>57</v>
      </c>
      <c r="N425">
        <v>41996849234</v>
      </c>
      <c r="O425">
        <v>0</v>
      </c>
      <c r="P425">
        <v>0</v>
      </c>
      <c r="R425" t="s">
        <v>42</v>
      </c>
      <c r="S425">
        <v>15016087271</v>
      </c>
      <c r="T425" t="str">
        <f ca="1">VLOOKUP(RANDBETWEEN(1,17),'Auxiliar Vendas'!D:G,2,0)</f>
        <v>Produto 01</v>
      </c>
      <c r="U425">
        <v>100</v>
      </c>
      <c r="V425">
        <v>17.8</v>
      </c>
      <c r="W425">
        <v>0</v>
      </c>
      <c r="X425">
        <v>14.4596</v>
      </c>
      <c r="Y425" s="3">
        <v>1780</v>
      </c>
      <c r="Z425">
        <v>41</v>
      </c>
      <c r="AA425" t="s">
        <v>64</v>
      </c>
      <c r="AB425">
        <v>0</v>
      </c>
      <c r="AC425">
        <v>0</v>
      </c>
      <c r="AH425" s="2">
        <v>44517.712500000001</v>
      </c>
      <c r="AI425">
        <v>0</v>
      </c>
      <c r="AJ425">
        <v>0</v>
      </c>
      <c r="AK425" s="30" t="str">
        <f ca="1">VLOOKUP(T425,'Auxiliar Vendas'!E:F,2,FALSE)</f>
        <v>Produto 01</v>
      </c>
      <c r="AL425" s="31">
        <f ca="1">U425*VLOOKUP(T425,'Auxiliar Vendas'!E:G,3,FALSE)</f>
        <v>40</v>
      </c>
    </row>
    <row r="426" spans="1:38">
      <c r="A426">
        <v>15291487565</v>
      </c>
      <c r="B426">
        <v>90</v>
      </c>
      <c r="D426" s="1">
        <v>44517</v>
      </c>
      <c r="E426">
        <v>15179581888</v>
      </c>
      <c r="F426" t="str">
        <f ca="1">VLOOKUP(RANDBETWEEN(1,20),'DBO Compras'!AA:AC,3,0)</f>
        <v>Comprador 03</v>
      </c>
      <c r="G426" t="s">
        <v>54</v>
      </c>
      <c r="H426" t="s">
        <v>55</v>
      </c>
      <c r="I426" t="s">
        <v>56</v>
      </c>
      <c r="J426" t="s">
        <v>39</v>
      </c>
      <c r="K426">
        <v>81350610</v>
      </c>
      <c r="L426" t="s">
        <v>40</v>
      </c>
      <c r="M426" t="s">
        <v>57</v>
      </c>
      <c r="N426">
        <v>41996849234</v>
      </c>
      <c r="O426">
        <v>0</v>
      </c>
      <c r="P426">
        <v>0</v>
      </c>
      <c r="R426" t="s">
        <v>42</v>
      </c>
      <c r="S426">
        <v>15016043939</v>
      </c>
      <c r="T426" t="str">
        <f ca="1">VLOOKUP(RANDBETWEEN(1,17),'Auxiliar Vendas'!D:G,2,0)</f>
        <v>Produto 12</v>
      </c>
      <c r="U426">
        <v>500</v>
      </c>
      <c r="V426">
        <v>12.9</v>
      </c>
      <c r="W426">
        <v>0</v>
      </c>
      <c r="X426">
        <v>10.747</v>
      </c>
      <c r="Y426" s="3">
        <v>6450</v>
      </c>
      <c r="Z426">
        <v>41</v>
      </c>
      <c r="AA426" t="s">
        <v>50</v>
      </c>
      <c r="AB426">
        <v>0</v>
      </c>
      <c r="AC426">
        <v>0</v>
      </c>
      <c r="AH426" s="2">
        <v>44517.712500000001</v>
      </c>
      <c r="AI426">
        <v>0</v>
      </c>
      <c r="AJ426">
        <v>0</v>
      </c>
      <c r="AK426" s="30" t="str">
        <f ca="1">VLOOKUP(T426,'Auxiliar Vendas'!E:F,2,FALSE)</f>
        <v>Produto 12</v>
      </c>
      <c r="AL426" s="31">
        <f ca="1">U426*VLOOKUP(T426,'Auxiliar Vendas'!E:G,3,FALSE)</f>
        <v>700</v>
      </c>
    </row>
    <row r="427" spans="1:38">
      <c r="A427">
        <v>15291487565</v>
      </c>
      <c r="B427">
        <v>90</v>
      </c>
      <c r="D427" s="1">
        <v>44517</v>
      </c>
      <c r="E427">
        <v>15179581888</v>
      </c>
      <c r="F427" t="str">
        <f ca="1">VLOOKUP(RANDBETWEEN(1,20),'DBO Compras'!AA:AC,3,0)</f>
        <v>Comprador 08</v>
      </c>
      <c r="G427" t="s">
        <v>54</v>
      </c>
      <c r="H427" t="s">
        <v>55</v>
      </c>
      <c r="I427" t="s">
        <v>56</v>
      </c>
      <c r="J427" t="s">
        <v>39</v>
      </c>
      <c r="K427">
        <v>81350610</v>
      </c>
      <c r="L427" t="s">
        <v>40</v>
      </c>
      <c r="M427" t="s">
        <v>57</v>
      </c>
      <c r="N427">
        <v>41996849234</v>
      </c>
      <c r="O427">
        <v>0</v>
      </c>
      <c r="P427">
        <v>0</v>
      </c>
      <c r="R427" t="s">
        <v>42</v>
      </c>
      <c r="S427">
        <v>15016073255</v>
      </c>
      <c r="T427" t="str">
        <f ca="1">VLOOKUP(RANDBETWEEN(1,17),'Auxiliar Vendas'!D:G,2,0)</f>
        <v>Produto 10</v>
      </c>
      <c r="U427">
        <v>100</v>
      </c>
      <c r="V427">
        <v>15.5</v>
      </c>
      <c r="W427">
        <v>0</v>
      </c>
      <c r="X427">
        <v>10.747</v>
      </c>
      <c r="Y427" s="3">
        <v>1550</v>
      </c>
      <c r="Z427">
        <v>41</v>
      </c>
      <c r="AA427" t="s">
        <v>160</v>
      </c>
      <c r="AB427">
        <v>0</v>
      </c>
      <c r="AC427">
        <v>0</v>
      </c>
      <c r="AH427" s="2">
        <v>44517.712500000001</v>
      </c>
      <c r="AI427">
        <v>0</v>
      </c>
      <c r="AJ427">
        <v>0</v>
      </c>
      <c r="AK427" s="30" t="str">
        <f ca="1">VLOOKUP(T427,'Auxiliar Vendas'!E:F,2,FALSE)</f>
        <v>Produto 10</v>
      </c>
      <c r="AL427" s="31">
        <f ca="1">U427*VLOOKUP(T427,'Auxiliar Vendas'!E:G,3,FALSE)</f>
        <v>110.00000000000001</v>
      </c>
    </row>
    <row r="428" spans="1:38">
      <c r="A428">
        <v>15291487565</v>
      </c>
      <c r="B428">
        <v>90</v>
      </c>
      <c r="D428" s="1">
        <v>44517</v>
      </c>
      <c r="E428">
        <v>15179581888</v>
      </c>
      <c r="F428" t="str">
        <f ca="1">VLOOKUP(RANDBETWEEN(1,20),'DBO Compras'!AA:AC,3,0)</f>
        <v>Comprador 14</v>
      </c>
      <c r="G428" t="s">
        <v>54</v>
      </c>
      <c r="H428" t="s">
        <v>55</v>
      </c>
      <c r="I428" t="s">
        <v>56</v>
      </c>
      <c r="J428" t="s">
        <v>39</v>
      </c>
      <c r="K428">
        <v>81350610</v>
      </c>
      <c r="L428" t="s">
        <v>40</v>
      </c>
      <c r="M428" t="s">
        <v>57</v>
      </c>
      <c r="N428">
        <v>41996849234</v>
      </c>
      <c r="O428">
        <v>0</v>
      </c>
      <c r="P428">
        <v>0</v>
      </c>
      <c r="R428" t="s">
        <v>42</v>
      </c>
      <c r="S428">
        <v>15015918644</v>
      </c>
      <c r="T428" t="str">
        <f ca="1">VLOOKUP(RANDBETWEEN(1,17),'Auxiliar Vendas'!D:G,2,0)</f>
        <v>Produto 01</v>
      </c>
      <c r="U428">
        <v>200</v>
      </c>
      <c r="V428">
        <v>7.35</v>
      </c>
      <c r="W428">
        <v>0</v>
      </c>
      <c r="X428">
        <v>5.61</v>
      </c>
      <c r="Y428" s="3">
        <v>1470</v>
      </c>
      <c r="Z428">
        <v>41</v>
      </c>
      <c r="AA428" t="s">
        <v>59</v>
      </c>
      <c r="AB428">
        <v>0</v>
      </c>
      <c r="AC428">
        <v>0</v>
      </c>
      <c r="AH428" s="2">
        <v>44517.712500000001</v>
      </c>
      <c r="AI428">
        <v>0</v>
      </c>
      <c r="AJ428">
        <v>0</v>
      </c>
      <c r="AK428" s="30" t="str">
        <f ca="1">VLOOKUP(T428,'Auxiliar Vendas'!E:F,2,FALSE)</f>
        <v>Produto 01</v>
      </c>
      <c r="AL428" s="31">
        <f ca="1">U428*VLOOKUP(T428,'Auxiliar Vendas'!E:G,3,FALSE)</f>
        <v>80</v>
      </c>
    </row>
    <row r="429" spans="1:38">
      <c r="A429">
        <v>15293092499</v>
      </c>
      <c r="B429">
        <v>94</v>
      </c>
      <c r="D429" s="1">
        <v>44517</v>
      </c>
      <c r="E429">
        <v>15279322250</v>
      </c>
      <c r="F429" t="str">
        <f ca="1">VLOOKUP(RANDBETWEEN(1,20),'DBO Compras'!AA:AC,3,0)</f>
        <v>Comprador 17</v>
      </c>
      <c r="G429" t="s">
        <v>83</v>
      </c>
      <c r="H429" t="s">
        <v>84</v>
      </c>
      <c r="I429" t="s">
        <v>85</v>
      </c>
      <c r="J429" t="s">
        <v>39</v>
      </c>
      <c r="K429">
        <v>80220100</v>
      </c>
      <c r="L429" t="s">
        <v>40</v>
      </c>
      <c r="M429" t="s">
        <v>86</v>
      </c>
      <c r="N429">
        <v>41993330017</v>
      </c>
      <c r="O429">
        <v>0</v>
      </c>
      <c r="P429">
        <v>0</v>
      </c>
      <c r="Q429" t="s">
        <v>260</v>
      </c>
      <c r="R429" t="s">
        <v>42</v>
      </c>
      <c r="S429">
        <v>15016043939</v>
      </c>
      <c r="T429" t="str">
        <f ca="1">VLOOKUP(RANDBETWEEN(1,17),'Auxiliar Vendas'!D:G,2,0)</f>
        <v>Produto 16</v>
      </c>
      <c r="U429">
        <v>500</v>
      </c>
      <c r="V429">
        <v>13.19</v>
      </c>
      <c r="W429">
        <v>0</v>
      </c>
      <c r="X429">
        <v>10.747</v>
      </c>
      <c r="Y429" s="3">
        <v>6595</v>
      </c>
      <c r="Z429">
        <v>68</v>
      </c>
      <c r="AA429" t="s">
        <v>50</v>
      </c>
      <c r="AB429">
        <v>0</v>
      </c>
      <c r="AC429">
        <v>0</v>
      </c>
      <c r="AH429" s="2">
        <v>44517.711805555555</v>
      </c>
      <c r="AI429">
        <v>0</v>
      </c>
      <c r="AJ429">
        <v>0</v>
      </c>
      <c r="AK429" s="30" t="str">
        <f ca="1">VLOOKUP(T429,'Auxiliar Vendas'!E:F,2,FALSE)</f>
        <v>Produto 16</v>
      </c>
      <c r="AL429" s="31">
        <f ca="1">U429*VLOOKUP(T429,'Auxiliar Vendas'!E:G,3,FALSE)</f>
        <v>635</v>
      </c>
    </row>
    <row r="430" spans="1:38">
      <c r="A430">
        <v>15293092499</v>
      </c>
      <c r="B430">
        <v>94</v>
      </c>
      <c r="D430" s="1">
        <v>44517</v>
      </c>
      <c r="E430">
        <v>15279322250</v>
      </c>
      <c r="F430" t="str">
        <f ca="1">VLOOKUP(RANDBETWEEN(1,20),'DBO Compras'!AA:AC,3,0)</f>
        <v>Comprador 13</v>
      </c>
      <c r="G430" t="s">
        <v>83</v>
      </c>
      <c r="H430" t="s">
        <v>84</v>
      </c>
      <c r="I430" t="s">
        <v>85</v>
      </c>
      <c r="J430" t="s">
        <v>39</v>
      </c>
      <c r="K430">
        <v>80220100</v>
      </c>
      <c r="L430" t="s">
        <v>40</v>
      </c>
      <c r="M430" t="s">
        <v>86</v>
      </c>
      <c r="N430">
        <v>41993330017</v>
      </c>
      <c r="O430">
        <v>0</v>
      </c>
      <c r="P430">
        <v>0</v>
      </c>
      <c r="Q430" t="s">
        <v>260</v>
      </c>
      <c r="R430" t="s">
        <v>42</v>
      </c>
      <c r="S430">
        <v>15015918644</v>
      </c>
      <c r="T430" t="str">
        <f ca="1">VLOOKUP(RANDBETWEEN(1,17),'Auxiliar Vendas'!D:G,2,0)</f>
        <v>Produto 06</v>
      </c>
      <c r="U430">
        <v>300</v>
      </c>
      <c r="V430">
        <v>7.6</v>
      </c>
      <c r="W430">
        <v>0</v>
      </c>
      <c r="X430">
        <v>5.61</v>
      </c>
      <c r="Y430" s="3">
        <v>2280</v>
      </c>
      <c r="Z430">
        <v>68</v>
      </c>
      <c r="AA430" t="s">
        <v>59</v>
      </c>
      <c r="AB430">
        <v>0</v>
      </c>
      <c r="AC430">
        <v>0</v>
      </c>
      <c r="AH430" s="2">
        <v>44517.711805555555</v>
      </c>
      <c r="AI430">
        <v>0</v>
      </c>
      <c r="AJ430">
        <v>0</v>
      </c>
      <c r="AK430" s="30" t="str">
        <f ca="1">VLOOKUP(T430,'Auxiliar Vendas'!E:F,2,FALSE)</f>
        <v>Produto 06</v>
      </c>
      <c r="AL430" s="31">
        <f ca="1">U430*VLOOKUP(T430,'Auxiliar Vendas'!E:G,3,FALSE)</f>
        <v>150</v>
      </c>
    </row>
    <row r="431" spans="1:38">
      <c r="A431">
        <v>15310095294</v>
      </c>
      <c r="B431">
        <v>110</v>
      </c>
      <c r="D431" s="1">
        <v>44517</v>
      </c>
      <c r="E431">
        <v>15295556615</v>
      </c>
      <c r="F431" t="str">
        <f ca="1">VLOOKUP(RANDBETWEEN(1,20),'DBO Compras'!AA:AC,3,0)</f>
        <v>Comprador 13</v>
      </c>
      <c r="G431" t="s">
        <v>261</v>
      </c>
      <c r="H431" t="s">
        <v>262</v>
      </c>
      <c r="I431" t="s">
        <v>69</v>
      </c>
      <c r="J431" t="s">
        <v>244</v>
      </c>
      <c r="K431">
        <v>84261350</v>
      </c>
      <c r="L431" t="s">
        <v>40</v>
      </c>
      <c r="N431">
        <v>4284158927</v>
      </c>
      <c r="O431">
        <v>0</v>
      </c>
      <c r="P431">
        <v>0</v>
      </c>
      <c r="R431" t="s">
        <v>42</v>
      </c>
      <c r="S431">
        <v>15016043939</v>
      </c>
      <c r="T431" t="str">
        <f ca="1">VLOOKUP(RANDBETWEEN(1,17),'Auxiliar Vendas'!D:G,2,0)</f>
        <v>Produto 12</v>
      </c>
      <c r="U431">
        <v>100</v>
      </c>
      <c r="V431">
        <v>14.25</v>
      </c>
      <c r="W431">
        <v>0</v>
      </c>
      <c r="X431">
        <v>10.747</v>
      </c>
      <c r="Y431" s="3">
        <v>1425</v>
      </c>
      <c r="Z431">
        <v>79</v>
      </c>
      <c r="AA431" t="s">
        <v>50</v>
      </c>
      <c r="AB431">
        <v>0</v>
      </c>
      <c r="AC431">
        <v>0</v>
      </c>
      <c r="AD431" t="s">
        <v>51</v>
      </c>
      <c r="AH431" s="2">
        <v>44518.345138888886</v>
      </c>
      <c r="AI431">
        <v>0</v>
      </c>
      <c r="AJ431">
        <v>0</v>
      </c>
      <c r="AK431" s="30" t="str">
        <f ca="1">VLOOKUP(T431,'Auxiliar Vendas'!E:F,2,FALSE)</f>
        <v>Produto 12</v>
      </c>
      <c r="AL431" s="31">
        <f ca="1">U431*VLOOKUP(T431,'Auxiliar Vendas'!E:G,3,FALSE)</f>
        <v>140</v>
      </c>
    </row>
    <row r="432" spans="1:38">
      <c r="A432">
        <v>15310095294</v>
      </c>
      <c r="B432">
        <v>110</v>
      </c>
      <c r="D432" s="1">
        <v>44517</v>
      </c>
      <c r="E432">
        <v>15295556615</v>
      </c>
      <c r="F432" t="str">
        <f ca="1">VLOOKUP(RANDBETWEEN(1,20),'DBO Compras'!AA:AC,3,0)</f>
        <v>Comprador 02</v>
      </c>
      <c r="G432" t="s">
        <v>261</v>
      </c>
      <c r="H432" t="s">
        <v>262</v>
      </c>
      <c r="I432" t="s">
        <v>69</v>
      </c>
      <c r="J432" t="s">
        <v>244</v>
      </c>
      <c r="K432">
        <v>84261350</v>
      </c>
      <c r="L432" t="s">
        <v>40</v>
      </c>
      <c r="N432">
        <v>4284158927</v>
      </c>
      <c r="O432">
        <v>0</v>
      </c>
      <c r="P432">
        <v>0</v>
      </c>
      <c r="R432" t="s">
        <v>42</v>
      </c>
      <c r="S432">
        <v>15016099089</v>
      </c>
      <c r="T432" t="str">
        <f ca="1">VLOOKUP(RANDBETWEEN(1,17),'Auxiliar Vendas'!D:G,2,0)</f>
        <v>Produto 17</v>
      </c>
      <c r="U432">
        <v>80</v>
      </c>
      <c r="V432">
        <v>21.75</v>
      </c>
      <c r="W432">
        <v>0</v>
      </c>
      <c r="X432">
        <v>16.804400000000001</v>
      </c>
      <c r="Y432" s="3">
        <v>1740</v>
      </c>
      <c r="Z432">
        <v>79</v>
      </c>
      <c r="AA432" t="s">
        <v>79</v>
      </c>
      <c r="AB432">
        <v>0</v>
      </c>
      <c r="AC432">
        <v>0</v>
      </c>
      <c r="AD432" t="s">
        <v>51</v>
      </c>
      <c r="AH432" s="2">
        <v>44518.345138888886</v>
      </c>
      <c r="AI432">
        <v>0</v>
      </c>
      <c r="AJ432">
        <v>0</v>
      </c>
      <c r="AK432" s="30" t="str">
        <f ca="1">VLOOKUP(T432,'Auxiliar Vendas'!E:F,2,FALSE)</f>
        <v>Produto 17</v>
      </c>
      <c r="AL432" s="31">
        <f ca="1">U432*VLOOKUP(T432,'Auxiliar Vendas'!E:G,3,FALSE)</f>
        <v>113.6</v>
      </c>
    </row>
    <row r="433" spans="1:38">
      <c r="A433">
        <v>15310095294</v>
      </c>
      <c r="B433">
        <v>110</v>
      </c>
      <c r="D433" s="1">
        <v>44517</v>
      </c>
      <c r="E433">
        <v>15295556615</v>
      </c>
      <c r="F433" t="str">
        <f ca="1">VLOOKUP(RANDBETWEEN(1,20),'DBO Compras'!AA:AC,3,0)</f>
        <v>Comprador 03</v>
      </c>
      <c r="G433" t="s">
        <v>261</v>
      </c>
      <c r="H433" t="s">
        <v>262</v>
      </c>
      <c r="I433" t="s">
        <v>69</v>
      </c>
      <c r="J433" t="s">
        <v>244</v>
      </c>
      <c r="K433">
        <v>84261350</v>
      </c>
      <c r="L433" t="s">
        <v>40</v>
      </c>
      <c r="N433">
        <v>4284158927</v>
      </c>
      <c r="O433">
        <v>0</v>
      </c>
      <c r="P433">
        <v>0</v>
      </c>
      <c r="R433" t="s">
        <v>42</v>
      </c>
      <c r="S433">
        <v>15016087271</v>
      </c>
      <c r="T433" t="str">
        <f ca="1">VLOOKUP(RANDBETWEEN(1,17),'Auxiliar Vendas'!D:G,2,0)</f>
        <v>Produto 01</v>
      </c>
      <c r="U433">
        <v>50</v>
      </c>
      <c r="V433">
        <v>18.649999999999999</v>
      </c>
      <c r="W433">
        <v>0</v>
      </c>
      <c r="X433">
        <v>14.4596</v>
      </c>
      <c r="Y433">
        <v>932.5</v>
      </c>
      <c r="Z433">
        <v>79</v>
      </c>
      <c r="AA433" t="s">
        <v>64</v>
      </c>
      <c r="AB433">
        <v>0</v>
      </c>
      <c r="AC433">
        <v>0</v>
      </c>
      <c r="AD433" t="s">
        <v>51</v>
      </c>
      <c r="AH433" s="2">
        <v>44518.345138888886</v>
      </c>
      <c r="AI433">
        <v>0</v>
      </c>
      <c r="AJ433">
        <v>0</v>
      </c>
      <c r="AK433" s="30" t="str">
        <f ca="1">VLOOKUP(T433,'Auxiliar Vendas'!E:F,2,FALSE)</f>
        <v>Produto 01</v>
      </c>
      <c r="AL433" s="31">
        <f ca="1">U433*VLOOKUP(T433,'Auxiliar Vendas'!E:G,3,FALSE)</f>
        <v>20</v>
      </c>
    </row>
    <row r="434" spans="1:38">
      <c r="A434">
        <v>15310095294</v>
      </c>
      <c r="B434">
        <v>110</v>
      </c>
      <c r="D434" s="1">
        <v>44517</v>
      </c>
      <c r="E434">
        <v>15295556615</v>
      </c>
      <c r="F434" t="str">
        <f ca="1">VLOOKUP(RANDBETWEEN(1,20),'DBO Compras'!AA:AC,3,0)</f>
        <v>Comprador 01</v>
      </c>
      <c r="G434" t="s">
        <v>261</v>
      </c>
      <c r="H434" t="s">
        <v>262</v>
      </c>
      <c r="I434" t="s">
        <v>69</v>
      </c>
      <c r="J434" t="s">
        <v>244</v>
      </c>
      <c r="K434">
        <v>84261350</v>
      </c>
      <c r="L434" t="s">
        <v>40</v>
      </c>
      <c r="N434">
        <v>4284158927</v>
      </c>
      <c r="O434">
        <v>0</v>
      </c>
      <c r="P434">
        <v>0</v>
      </c>
      <c r="R434" t="s">
        <v>42</v>
      </c>
      <c r="S434">
        <v>15016093155</v>
      </c>
      <c r="T434" t="str">
        <f ca="1">VLOOKUP(RANDBETWEEN(1,17),'Auxiliar Vendas'!D:G,2,0)</f>
        <v>Produto 09</v>
      </c>
      <c r="U434">
        <v>100</v>
      </c>
      <c r="V434">
        <v>18.649999999999999</v>
      </c>
      <c r="W434">
        <v>0</v>
      </c>
      <c r="X434">
        <v>14.4596</v>
      </c>
      <c r="Y434" s="3">
        <v>1865</v>
      </c>
      <c r="Z434">
        <v>79</v>
      </c>
      <c r="AA434" t="s">
        <v>65</v>
      </c>
      <c r="AB434">
        <v>0</v>
      </c>
      <c r="AC434">
        <v>0</v>
      </c>
      <c r="AD434" t="s">
        <v>51</v>
      </c>
      <c r="AH434" s="2">
        <v>44518.345138888886</v>
      </c>
      <c r="AI434">
        <v>0</v>
      </c>
      <c r="AJ434">
        <v>0</v>
      </c>
      <c r="AK434" s="30" t="str">
        <f ca="1">VLOOKUP(T434,'Auxiliar Vendas'!E:F,2,FALSE)</f>
        <v>Produto 09</v>
      </c>
      <c r="AL434" s="31">
        <f ca="1">U434*VLOOKUP(T434,'Auxiliar Vendas'!E:G,3,FALSE)</f>
        <v>110.00000000000001</v>
      </c>
    </row>
    <row r="435" spans="1:38">
      <c r="A435">
        <v>15310095294</v>
      </c>
      <c r="B435">
        <v>110</v>
      </c>
      <c r="D435" s="1">
        <v>44517</v>
      </c>
      <c r="E435">
        <v>15295556615</v>
      </c>
      <c r="F435" t="str">
        <f ca="1">VLOOKUP(RANDBETWEEN(1,20),'DBO Compras'!AA:AC,3,0)</f>
        <v>Comprador 20</v>
      </c>
      <c r="G435" t="s">
        <v>261</v>
      </c>
      <c r="H435" t="s">
        <v>262</v>
      </c>
      <c r="I435" t="s">
        <v>69</v>
      </c>
      <c r="J435" t="s">
        <v>244</v>
      </c>
      <c r="K435">
        <v>84261350</v>
      </c>
      <c r="L435" t="s">
        <v>40</v>
      </c>
      <c r="N435">
        <v>4284158927</v>
      </c>
      <c r="O435">
        <v>0</v>
      </c>
      <c r="P435">
        <v>0</v>
      </c>
      <c r="R435" t="s">
        <v>42</v>
      </c>
      <c r="S435">
        <v>15015918644</v>
      </c>
      <c r="T435" t="str">
        <f ca="1">VLOOKUP(RANDBETWEEN(1,17),'Auxiliar Vendas'!D:G,2,0)</f>
        <v>Produto 02</v>
      </c>
      <c r="U435">
        <v>100</v>
      </c>
      <c r="V435">
        <v>8.3800000000000008</v>
      </c>
      <c r="W435">
        <v>0</v>
      </c>
      <c r="X435">
        <v>5.61</v>
      </c>
      <c r="Y435">
        <v>838</v>
      </c>
      <c r="Z435">
        <v>79</v>
      </c>
      <c r="AA435" t="s">
        <v>59</v>
      </c>
      <c r="AB435">
        <v>0</v>
      </c>
      <c r="AC435">
        <v>0</v>
      </c>
      <c r="AD435" t="s">
        <v>51</v>
      </c>
      <c r="AH435" s="2">
        <v>44518.345138888886</v>
      </c>
      <c r="AI435">
        <v>0</v>
      </c>
      <c r="AJ435">
        <v>0</v>
      </c>
      <c r="AK435" s="30" t="str">
        <f ca="1">VLOOKUP(T435,'Auxiliar Vendas'!E:F,2,FALSE)</f>
        <v>Produto 02</v>
      </c>
      <c r="AL435" s="31">
        <f ca="1">U435*VLOOKUP(T435,'Auxiliar Vendas'!E:G,3,FALSE)</f>
        <v>27</v>
      </c>
    </row>
    <row r="436" spans="1:38">
      <c r="A436">
        <v>15310095294</v>
      </c>
      <c r="B436">
        <v>110</v>
      </c>
      <c r="D436" s="1">
        <v>44517</v>
      </c>
      <c r="E436">
        <v>15295556615</v>
      </c>
      <c r="F436" t="str">
        <f ca="1">VLOOKUP(RANDBETWEEN(1,20),'DBO Compras'!AA:AC,3,0)</f>
        <v>Comprador 15</v>
      </c>
      <c r="G436" t="s">
        <v>261</v>
      </c>
      <c r="H436" t="s">
        <v>262</v>
      </c>
      <c r="I436" t="s">
        <v>69</v>
      </c>
      <c r="J436" t="s">
        <v>244</v>
      </c>
      <c r="K436">
        <v>84261350</v>
      </c>
      <c r="L436" t="s">
        <v>40</v>
      </c>
      <c r="N436">
        <v>4284158927</v>
      </c>
      <c r="O436">
        <v>0</v>
      </c>
      <c r="P436">
        <v>0</v>
      </c>
      <c r="R436" t="s">
        <v>42</v>
      </c>
      <c r="S436">
        <v>15016080333</v>
      </c>
      <c r="T436" t="str">
        <f ca="1">VLOOKUP(RANDBETWEEN(1,17),'Auxiliar Vendas'!D:G,2,0)</f>
        <v>Produto 13</v>
      </c>
      <c r="U436">
        <v>50</v>
      </c>
      <c r="V436">
        <v>15.5</v>
      </c>
      <c r="W436">
        <v>0</v>
      </c>
      <c r="X436">
        <v>10.747</v>
      </c>
      <c r="Y436">
        <v>775</v>
      </c>
      <c r="Z436">
        <v>79</v>
      </c>
      <c r="AA436" t="s">
        <v>80</v>
      </c>
      <c r="AB436">
        <v>0</v>
      </c>
      <c r="AC436">
        <v>0</v>
      </c>
      <c r="AD436" t="s">
        <v>51</v>
      </c>
      <c r="AH436" s="2">
        <v>44518.345138888886</v>
      </c>
      <c r="AI436">
        <v>0</v>
      </c>
      <c r="AJ436">
        <v>0</v>
      </c>
      <c r="AK436" s="30" t="str">
        <f ca="1">VLOOKUP(T436,'Auxiliar Vendas'!E:F,2,FALSE)</f>
        <v>Produto 13</v>
      </c>
      <c r="AL436" s="31">
        <f ca="1">U436*VLOOKUP(T436,'Auxiliar Vendas'!E:G,3,FALSE)</f>
        <v>70</v>
      </c>
    </row>
    <row r="437" spans="1:38">
      <c r="A437">
        <v>15310095294</v>
      </c>
      <c r="B437">
        <v>110</v>
      </c>
      <c r="D437" s="1">
        <v>44517</v>
      </c>
      <c r="E437">
        <v>15295556615</v>
      </c>
      <c r="F437" t="str">
        <f ca="1">VLOOKUP(RANDBETWEEN(1,20),'DBO Compras'!AA:AC,3,0)</f>
        <v>Comprador 15</v>
      </c>
      <c r="G437" t="s">
        <v>261</v>
      </c>
      <c r="H437" t="s">
        <v>262</v>
      </c>
      <c r="I437" t="s">
        <v>69</v>
      </c>
      <c r="J437" t="s">
        <v>244</v>
      </c>
      <c r="K437">
        <v>84261350</v>
      </c>
      <c r="L437" t="s">
        <v>40</v>
      </c>
      <c r="N437">
        <v>4284158927</v>
      </c>
      <c r="O437">
        <v>0</v>
      </c>
      <c r="P437">
        <v>0</v>
      </c>
      <c r="R437" t="s">
        <v>42</v>
      </c>
      <c r="S437">
        <v>15015925662</v>
      </c>
      <c r="T437" t="str">
        <f ca="1">VLOOKUP(RANDBETWEEN(1,17),'Auxiliar Vendas'!D:G,2,0)</f>
        <v>Produto 11</v>
      </c>
      <c r="U437">
        <v>50</v>
      </c>
      <c r="V437">
        <v>8.3800000000000008</v>
      </c>
      <c r="W437">
        <v>0</v>
      </c>
      <c r="X437">
        <v>3.74</v>
      </c>
      <c r="Y437">
        <v>419</v>
      </c>
      <c r="Z437">
        <v>79</v>
      </c>
      <c r="AA437" t="s">
        <v>82</v>
      </c>
      <c r="AB437">
        <v>0</v>
      </c>
      <c r="AC437">
        <v>0</v>
      </c>
      <c r="AD437" t="s">
        <v>51</v>
      </c>
      <c r="AH437" s="2">
        <v>44518.345138888886</v>
      </c>
      <c r="AI437">
        <v>0</v>
      </c>
      <c r="AJ437">
        <v>0</v>
      </c>
      <c r="AK437" s="30" t="str">
        <f ca="1">VLOOKUP(T437,'Auxiliar Vendas'!E:F,2,FALSE)</f>
        <v>Produto 11</v>
      </c>
      <c r="AL437" s="31">
        <f ca="1">U437*VLOOKUP(T437,'Auxiliar Vendas'!E:G,3,FALSE)</f>
        <v>55.000000000000007</v>
      </c>
    </row>
    <row r="438" spans="1:38">
      <c r="A438">
        <v>15330116311</v>
      </c>
      <c r="B438">
        <v>112</v>
      </c>
      <c r="D438" s="1">
        <v>44518</v>
      </c>
      <c r="E438">
        <v>15179701182</v>
      </c>
      <c r="F438" t="str">
        <f ca="1">VLOOKUP(RANDBETWEEN(1,20),'DBO Compras'!AA:AC,3,0)</f>
        <v>Comprador 09</v>
      </c>
      <c r="G438" t="s">
        <v>140</v>
      </c>
      <c r="H438" t="s">
        <v>141</v>
      </c>
      <c r="I438" t="s">
        <v>142</v>
      </c>
      <c r="J438" t="s">
        <v>143</v>
      </c>
      <c r="K438">
        <v>84050290</v>
      </c>
      <c r="L438" t="s">
        <v>40</v>
      </c>
      <c r="M438" t="s">
        <v>144</v>
      </c>
      <c r="N438">
        <v>42999659968</v>
      </c>
      <c r="O438">
        <v>0</v>
      </c>
      <c r="P438">
        <v>0</v>
      </c>
      <c r="R438" t="s">
        <v>42</v>
      </c>
      <c r="S438">
        <v>15016043939</v>
      </c>
      <c r="T438" t="str">
        <f ca="1">VLOOKUP(RANDBETWEEN(1,17),'Auxiliar Vendas'!D:G,2,0)</f>
        <v>Produto 04</v>
      </c>
      <c r="U438">
        <v>200</v>
      </c>
      <c r="V438">
        <v>13.55</v>
      </c>
      <c r="W438">
        <v>0</v>
      </c>
      <c r="X438">
        <v>10.747</v>
      </c>
      <c r="Y438" s="3">
        <v>2710</v>
      </c>
      <c r="Z438">
        <v>46</v>
      </c>
      <c r="AA438" t="s">
        <v>50</v>
      </c>
      <c r="AB438">
        <v>0</v>
      </c>
      <c r="AC438">
        <v>0</v>
      </c>
      <c r="AD438" t="s">
        <v>51</v>
      </c>
      <c r="AH438" s="2">
        <v>44518.711111111108</v>
      </c>
      <c r="AI438">
        <v>0</v>
      </c>
      <c r="AJ438">
        <v>0</v>
      </c>
      <c r="AK438" s="30" t="str">
        <f ca="1">VLOOKUP(T438,'Auxiliar Vendas'!E:F,2,FALSE)</f>
        <v>Produto 04</v>
      </c>
      <c r="AL438" s="31">
        <f ca="1">U438*VLOOKUP(T438,'Auxiliar Vendas'!E:G,3,FALSE)</f>
        <v>120</v>
      </c>
    </row>
    <row r="439" spans="1:38">
      <c r="A439">
        <v>15330116311</v>
      </c>
      <c r="B439">
        <v>112</v>
      </c>
      <c r="D439" s="1">
        <v>44518</v>
      </c>
      <c r="E439">
        <v>15179701182</v>
      </c>
      <c r="F439" t="str">
        <f ca="1">VLOOKUP(RANDBETWEEN(1,20),'DBO Compras'!AA:AC,3,0)</f>
        <v>Comprador 06</v>
      </c>
      <c r="G439" t="s">
        <v>140</v>
      </c>
      <c r="H439" t="s">
        <v>141</v>
      </c>
      <c r="I439" t="s">
        <v>142</v>
      </c>
      <c r="J439" t="s">
        <v>143</v>
      </c>
      <c r="K439">
        <v>84050290</v>
      </c>
      <c r="L439" t="s">
        <v>40</v>
      </c>
      <c r="M439" t="s">
        <v>144</v>
      </c>
      <c r="N439">
        <v>42999659968</v>
      </c>
      <c r="O439">
        <v>0</v>
      </c>
      <c r="P439">
        <v>0</v>
      </c>
      <c r="R439" t="s">
        <v>42</v>
      </c>
      <c r="S439">
        <v>15016073255</v>
      </c>
      <c r="T439" t="str">
        <f ca="1">VLOOKUP(RANDBETWEEN(1,17),'Auxiliar Vendas'!D:G,2,0)</f>
        <v>Produto 05</v>
      </c>
      <c r="U439">
        <v>70</v>
      </c>
      <c r="V439">
        <v>16</v>
      </c>
      <c r="W439">
        <v>0</v>
      </c>
      <c r="X439">
        <v>10.747</v>
      </c>
      <c r="Y439" s="3">
        <v>1120</v>
      </c>
      <c r="Z439">
        <v>46</v>
      </c>
      <c r="AA439" t="s">
        <v>160</v>
      </c>
      <c r="AB439">
        <v>0</v>
      </c>
      <c r="AC439">
        <v>0</v>
      </c>
      <c r="AD439" t="s">
        <v>51</v>
      </c>
      <c r="AH439" s="2">
        <v>44518.711111111108</v>
      </c>
      <c r="AI439">
        <v>0</v>
      </c>
      <c r="AJ439">
        <v>0</v>
      </c>
      <c r="AK439" s="30" t="str">
        <f ca="1">VLOOKUP(T439,'Auxiliar Vendas'!E:F,2,FALSE)</f>
        <v>Produto 05</v>
      </c>
      <c r="AL439" s="31">
        <f ca="1">U439*VLOOKUP(T439,'Auxiliar Vendas'!E:G,3,FALSE)</f>
        <v>42</v>
      </c>
    </row>
    <row r="440" spans="1:38">
      <c r="A440">
        <v>15330116311</v>
      </c>
      <c r="B440">
        <v>112</v>
      </c>
      <c r="D440" s="1">
        <v>44518</v>
      </c>
      <c r="E440">
        <v>15179701182</v>
      </c>
      <c r="F440" t="str">
        <f ca="1">VLOOKUP(RANDBETWEEN(1,20),'DBO Compras'!AA:AC,3,0)</f>
        <v>Comprador 12</v>
      </c>
      <c r="G440" t="s">
        <v>140</v>
      </c>
      <c r="H440" t="s">
        <v>141</v>
      </c>
      <c r="I440" t="s">
        <v>142</v>
      </c>
      <c r="J440" t="s">
        <v>143</v>
      </c>
      <c r="K440">
        <v>84050290</v>
      </c>
      <c r="L440" t="s">
        <v>40</v>
      </c>
      <c r="M440" t="s">
        <v>144</v>
      </c>
      <c r="N440">
        <v>42999659968</v>
      </c>
      <c r="O440">
        <v>0</v>
      </c>
      <c r="P440">
        <v>0</v>
      </c>
      <c r="R440" t="s">
        <v>42</v>
      </c>
      <c r="S440">
        <v>15016087271</v>
      </c>
      <c r="T440" t="str">
        <f ca="1">VLOOKUP(RANDBETWEEN(1,17),'Auxiliar Vendas'!D:G,2,0)</f>
        <v>Produto 08</v>
      </c>
      <c r="U440">
        <v>80</v>
      </c>
      <c r="V440">
        <v>18.04</v>
      </c>
      <c r="W440">
        <v>0</v>
      </c>
      <c r="X440">
        <v>14.4596</v>
      </c>
      <c r="Y440" s="3">
        <v>1443.2</v>
      </c>
      <c r="Z440">
        <v>46</v>
      </c>
      <c r="AA440" t="s">
        <v>64</v>
      </c>
      <c r="AB440">
        <v>0</v>
      </c>
      <c r="AC440">
        <v>0</v>
      </c>
      <c r="AD440" t="s">
        <v>51</v>
      </c>
      <c r="AH440" s="2">
        <v>44518.711111111108</v>
      </c>
      <c r="AI440">
        <v>0</v>
      </c>
      <c r="AJ440">
        <v>0</v>
      </c>
      <c r="AK440" s="30" t="str">
        <f ca="1">VLOOKUP(T440,'Auxiliar Vendas'!E:F,2,FALSE)</f>
        <v>Produto 08</v>
      </c>
      <c r="AL440" s="31">
        <f ca="1">U440*VLOOKUP(T440,'Auxiliar Vendas'!E:G,3,FALSE)</f>
        <v>88</v>
      </c>
    </row>
    <row r="441" spans="1:38">
      <c r="A441">
        <v>15330116311</v>
      </c>
      <c r="B441">
        <v>112</v>
      </c>
      <c r="D441" s="1">
        <v>44518</v>
      </c>
      <c r="E441">
        <v>15179701182</v>
      </c>
      <c r="F441" t="str">
        <f ca="1">VLOOKUP(RANDBETWEEN(1,20),'DBO Compras'!AA:AC,3,0)</f>
        <v>Comprador 07</v>
      </c>
      <c r="G441" t="s">
        <v>140</v>
      </c>
      <c r="H441" t="s">
        <v>141</v>
      </c>
      <c r="I441" t="s">
        <v>142</v>
      </c>
      <c r="J441" t="s">
        <v>143</v>
      </c>
      <c r="K441">
        <v>84050290</v>
      </c>
      <c r="L441" t="s">
        <v>40</v>
      </c>
      <c r="M441" t="s">
        <v>144</v>
      </c>
      <c r="N441">
        <v>42999659968</v>
      </c>
      <c r="O441">
        <v>0</v>
      </c>
      <c r="P441">
        <v>0</v>
      </c>
      <c r="R441" t="s">
        <v>42</v>
      </c>
      <c r="S441">
        <v>15016099089</v>
      </c>
      <c r="T441" t="str">
        <f ca="1">VLOOKUP(RANDBETWEEN(1,17),'Auxiliar Vendas'!D:G,2,0)</f>
        <v>Produto 12</v>
      </c>
      <c r="U441">
        <v>200</v>
      </c>
      <c r="V441">
        <v>21</v>
      </c>
      <c r="W441">
        <v>0</v>
      </c>
      <c r="X441">
        <v>16.804400000000001</v>
      </c>
      <c r="Y441" s="3">
        <v>4200</v>
      </c>
      <c r="Z441">
        <v>46</v>
      </c>
      <c r="AA441" t="s">
        <v>79</v>
      </c>
      <c r="AB441">
        <v>0</v>
      </c>
      <c r="AC441">
        <v>0</v>
      </c>
      <c r="AD441" t="s">
        <v>51</v>
      </c>
      <c r="AH441" s="2">
        <v>44518.711111111108</v>
      </c>
      <c r="AI441">
        <v>0</v>
      </c>
      <c r="AJ441">
        <v>0</v>
      </c>
      <c r="AK441" s="30" t="str">
        <f ca="1">VLOOKUP(T441,'Auxiliar Vendas'!E:F,2,FALSE)</f>
        <v>Produto 12</v>
      </c>
      <c r="AL441" s="31">
        <f ca="1">U441*VLOOKUP(T441,'Auxiliar Vendas'!E:G,3,FALSE)</f>
        <v>280</v>
      </c>
    </row>
    <row r="442" spans="1:38">
      <c r="A442">
        <v>15330116311</v>
      </c>
      <c r="B442">
        <v>112</v>
      </c>
      <c r="D442" s="1">
        <v>44518</v>
      </c>
      <c r="E442">
        <v>15179701182</v>
      </c>
      <c r="F442" t="str">
        <f ca="1">VLOOKUP(RANDBETWEEN(1,20),'DBO Compras'!AA:AC,3,0)</f>
        <v>Comprador 18</v>
      </c>
      <c r="G442" t="s">
        <v>140</v>
      </c>
      <c r="H442" t="s">
        <v>141</v>
      </c>
      <c r="I442" t="s">
        <v>142</v>
      </c>
      <c r="J442" t="s">
        <v>143</v>
      </c>
      <c r="K442">
        <v>84050290</v>
      </c>
      <c r="L442" t="s">
        <v>40</v>
      </c>
      <c r="M442" t="s">
        <v>144</v>
      </c>
      <c r="N442">
        <v>42999659968</v>
      </c>
      <c r="O442">
        <v>0</v>
      </c>
      <c r="P442">
        <v>0</v>
      </c>
      <c r="R442" t="s">
        <v>42</v>
      </c>
      <c r="S442">
        <v>15015918644</v>
      </c>
      <c r="T442" t="str">
        <f ca="1">VLOOKUP(RANDBETWEEN(1,17),'Auxiliar Vendas'!D:G,2,0)</f>
        <v>Produto 08</v>
      </c>
      <c r="U442">
        <v>250</v>
      </c>
      <c r="V442">
        <v>7.8</v>
      </c>
      <c r="W442">
        <v>0</v>
      </c>
      <c r="X442">
        <v>5.61</v>
      </c>
      <c r="Y442" s="3">
        <v>1950</v>
      </c>
      <c r="Z442">
        <v>46</v>
      </c>
      <c r="AA442" t="s">
        <v>59</v>
      </c>
      <c r="AB442">
        <v>0</v>
      </c>
      <c r="AC442">
        <v>0</v>
      </c>
      <c r="AD442" t="s">
        <v>51</v>
      </c>
      <c r="AH442" s="2">
        <v>44518.711111111108</v>
      </c>
      <c r="AI442">
        <v>0</v>
      </c>
      <c r="AJ442">
        <v>0</v>
      </c>
      <c r="AK442" s="30" t="str">
        <f ca="1">VLOOKUP(T442,'Auxiliar Vendas'!E:F,2,FALSE)</f>
        <v>Produto 08</v>
      </c>
      <c r="AL442" s="31">
        <f ca="1">U442*VLOOKUP(T442,'Auxiliar Vendas'!E:G,3,FALSE)</f>
        <v>275</v>
      </c>
    </row>
    <row r="443" spans="1:38">
      <c r="A443">
        <v>15330187506</v>
      </c>
      <c r="B443">
        <v>113</v>
      </c>
      <c r="D443" s="1">
        <v>44518</v>
      </c>
      <c r="E443">
        <v>15179581888</v>
      </c>
      <c r="F443" t="str">
        <f ca="1">VLOOKUP(RANDBETWEEN(1,20),'DBO Compras'!AA:AC,3,0)</f>
        <v>Comprador 18</v>
      </c>
      <c r="G443" t="s">
        <v>54</v>
      </c>
      <c r="H443" t="s">
        <v>55</v>
      </c>
      <c r="I443" t="s">
        <v>56</v>
      </c>
      <c r="J443" t="s">
        <v>39</v>
      </c>
      <c r="K443">
        <v>81350610</v>
      </c>
      <c r="L443" t="s">
        <v>40</v>
      </c>
      <c r="M443" t="s">
        <v>57</v>
      </c>
      <c r="N443">
        <v>41996849234</v>
      </c>
      <c r="O443">
        <v>0</v>
      </c>
      <c r="P443">
        <v>0</v>
      </c>
      <c r="R443" t="s">
        <v>42</v>
      </c>
      <c r="S443">
        <v>15016093155</v>
      </c>
      <c r="T443" t="str">
        <f ca="1">VLOOKUP(RANDBETWEEN(1,17),'Auxiliar Vendas'!D:G,2,0)</f>
        <v>Produto 08</v>
      </c>
      <c r="U443">
        <v>50</v>
      </c>
      <c r="V443">
        <v>19.8</v>
      </c>
      <c r="W443">
        <v>0</v>
      </c>
      <c r="X443">
        <v>14.4596</v>
      </c>
      <c r="Y443">
        <v>990</v>
      </c>
      <c r="Z443">
        <v>41</v>
      </c>
      <c r="AA443" t="s">
        <v>65</v>
      </c>
      <c r="AB443">
        <v>0</v>
      </c>
      <c r="AC443">
        <v>0</v>
      </c>
      <c r="AH443" s="2">
        <v>44518.710416666669</v>
      </c>
      <c r="AI443">
        <v>0</v>
      </c>
      <c r="AJ443">
        <v>0</v>
      </c>
      <c r="AK443" s="30" t="str">
        <f ca="1">VLOOKUP(T443,'Auxiliar Vendas'!E:F,2,FALSE)</f>
        <v>Produto 08</v>
      </c>
      <c r="AL443" s="31">
        <f ca="1">U443*VLOOKUP(T443,'Auxiliar Vendas'!E:G,3,FALSE)</f>
        <v>55.000000000000007</v>
      </c>
    </row>
    <row r="444" spans="1:38">
      <c r="A444">
        <v>15330187506</v>
      </c>
      <c r="B444">
        <v>113</v>
      </c>
      <c r="D444" s="1">
        <v>44518</v>
      </c>
      <c r="E444">
        <v>15179581888</v>
      </c>
      <c r="F444" t="str">
        <f ca="1">VLOOKUP(RANDBETWEEN(1,20),'DBO Compras'!AA:AC,3,0)</f>
        <v>Comprador 09</v>
      </c>
      <c r="G444" t="s">
        <v>54</v>
      </c>
      <c r="H444" t="s">
        <v>55</v>
      </c>
      <c r="I444" t="s">
        <v>56</v>
      </c>
      <c r="J444" t="s">
        <v>39</v>
      </c>
      <c r="K444">
        <v>81350610</v>
      </c>
      <c r="L444" t="s">
        <v>40</v>
      </c>
      <c r="M444" t="s">
        <v>57</v>
      </c>
      <c r="N444">
        <v>41996849234</v>
      </c>
      <c r="O444">
        <v>0</v>
      </c>
      <c r="P444">
        <v>0</v>
      </c>
      <c r="R444" t="s">
        <v>42</v>
      </c>
      <c r="S444">
        <v>15016099089</v>
      </c>
      <c r="T444" t="str">
        <f ca="1">VLOOKUP(RANDBETWEEN(1,17),'Auxiliar Vendas'!D:G,2,0)</f>
        <v>Produto 08</v>
      </c>
      <c r="U444">
        <v>300</v>
      </c>
      <c r="V444">
        <v>20.6</v>
      </c>
      <c r="W444">
        <v>0</v>
      </c>
      <c r="X444">
        <v>16.804400000000001</v>
      </c>
      <c r="Y444" s="3">
        <v>6180</v>
      </c>
      <c r="Z444">
        <v>41</v>
      </c>
      <c r="AA444" t="s">
        <v>79</v>
      </c>
      <c r="AB444">
        <v>0</v>
      </c>
      <c r="AC444">
        <v>0</v>
      </c>
      <c r="AH444" s="2">
        <v>44518.710416666669</v>
      </c>
      <c r="AI444">
        <v>0</v>
      </c>
      <c r="AJ444">
        <v>0</v>
      </c>
      <c r="AK444" s="30" t="str">
        <f ca="1">VLOOKUP(T444,'Auxiliar Vendas'!E:F,2,FALSE)</f>
        <v>Produto 08</v>
      </c>
      <c r="AL444" s="31">
        <f ca="1">U444*VLOOKUP(T444,'Auxiliar Vendas'!E:G,3,FALSE)</f>
        <v>330</v>
      </c>
    </row>
    <row r="445" spans="1:38">
      <c r="A445">
        <v>15330187506</v>
      </c>
      <c r="B445">
        <v>113</v>
      </c>
      <c r="D445" s="1">
        <v>44518</v>
      </c>
      <c r="E445">
        <v>15179581888</v>
      </c>
      <c r="F445" t="str">
        <f ca="1">VLOOKUP(RANDBETWEEN(1,20),'DBO Compras'!AA:AC,3,0)</f>
        <v>Comprador 18</v>
      </c>
      <c r="G445" t="s">
        <v>54</v>
      </c>
      <c r="H445" t="s">
        <v>55</v>
      </c>
      <c r="I445" t="s">
        <v>56</v>
      </c>
      <c r="J445" t="s">
        <v>39</v>
      </c>
      <c r="K445">
        <v>81350610</v>
      </c>
      <c r="L445" t="s">
        <v>40</v>
      </c>
      <c r="M445" t="s">
        <v>57</v>
      </c>
      <c r="N445">
        <v>41996849234</v>
      </c>
      <c r="O445">
        <v>0</v>
      </c>
      <c r="P445">
        <v>0</v>
      </c>
      <c r="R445" t="s">
        <v>42</v>
      </c>
      <c r="S445">
        <v>15016087271</v>
      </c>
      <c r="T445" t="str">
        <f ca="1">VLOOKUP(RANDBETWEEN(1,17),'Auxiliar Vendas'!D:G,2,0)</f>
        <v>Produto 13</v>
      </c>
      <c r="U445">
        <v>60</v>
      </c>
      <c r="V445">
        <v>17.8</v>
      </c>
      <c r="W445">
        <v>0</v>
      </c>
      <c r="X445">
        <v>14.4596</v>
      </c>
      <c r="Y445" s="3">
        <v>1068</v>
      </c>
      <c r="Z445">
        <v>41</v>
      </c>
      <c r="AA445" t="s">
        <v>64</v>
      </c>
      <c r="AB445">
        <v>0</v>
      </c>
      <c r="AC445">
        <v>0</v>
      </c>
      <c r="AH445" s="2">
        <v>44518.710416666669</v>
      </c>
      <c r="AI445">
        <v>0</v>
      </c>
      <c r="AJ445">
        <v>0</v>
      </c>
      <c r="AK445" s="30" t="str">
        <f ca="1">VLOOKUP(T445,'Auxiliar Vendas'!E:F,2,FALSE)</f>
        <v>Produto 13</v>
      </c>
      <c r="AL445" s="31">
        <f ca="1">U445*VLOOKUP(T445,'Auxiliar Vendas'!E:G,3,FALSE)</f>
        <v>84</v>
      </c>
    </row>
    <row r="446" spans="1:38">
      <c r="A446">
        <v>15330187506</v>
      </c>
      <c r="B446">
        <v>113</v>
      </c>
      <c r="D446" s="1">
        <v>44518</v>
      </c>
      <c r="E446">
        <v>15179581888</v>
      </c>
      <c r="F446" t="str">
        <f ca="1">VLOOKUP(RANDBETWEEN(1,20),'DBO Compras'!AA:AC,3,0)</f>
        <v>Comprador 11</v>
      </c>
      <c r="G446" t="s">
        <v>54</v>
      </c>
      <c r="H446" t="s">
        <v>55</v>
      </c>
      <c r="I446" t="s">
        <v>56</v>
      </c>
      <c r="J446" t="s">
        <v>39</v>
      </c>
      <c r="K446">
        <v>81350610</v>
      </c>
      <c r="L446" t="s">
        <v>40</v>
      </c>
      <c r="M446" t="s">
        <v>57</v>
      </c>
      <c r="N446">
        <v>41996849234</v>
      </c>
      <c r="O446">
        <v>0</v>
      </c>
      <c r="P446">
        <v>0</v>
      </c>
      <c r="R446" t="s">
        <v>42</v>
      </c>
      <c r="S446">
        <v>15016080333</v>
      </c>
      <c r="T446" t="str">
        <f ca="1">VLOOKUP(RANDBETWEEN(1,17),'Auxiliar Vendas'!D:G,2,0)</f>
        <v>Produto 12</v>
      </c>
      <c r="U446">
        <v>20</v>
      </c>
      <c r="V446">
        <v>14</v>
      </c>
      <c r="W446">
        <v>0</v>
      </c>
      <c r="X446">
        <v>10.747</v>
      </c>
      <c r="Y446">
        <v>280</v>
      </c>
      <c r="Z446">
        <v>41</v>
      </c>
      <c r="AA446" t="s">
        <v>80</v>
      </c>
      <c r="AB446">
        <v>0</v>
      </c>
      <c r="AC446">
        <v>0</v>
      </c>
      <c r="AH446" s="2">
        <v>44518.710416666669</v>
      </c>
      <c r="AI446">
        <v>0</v>
      </c>
      <c r="AJ446">
        <v>0</v>
      </c>
      <c r="AK446" s="30" t="str">
        <f ca="1">VLOOKUP(T446,'Auxiliar Vendas'!E:F,2,FALSE)</f>
        <v>Produto 12</v>
      </c>
      <c r="AL446" s="31">
        <f ca="1">U446*VLOOKUP(T446,'Auxiliar Vendas'!E:G,3,FALSE)</f>
        <v>28</v>
      </c>
    </row>
    <row r="447" spans="1:38">
      <c r="A447">
        <v>15293497633</v>
      </c>
      <c r="B447">
        <v>101</v>
      </c>
      <c r="D447" s="1">
        <v>44519</v>
      </c>
      <c r="E447">
        <v>15293435625</v>
      </c>
      <c r="F447" t="str">
        <f ca="1">VLOOKUP(RANDBETWEEN(1,20),'DBO Compras'!AA:AC,3,0)</f>
        <v>Comprador 20</v>
      </c>
      <c r="G447" t="s">
        <v>177</v>
      </c>
      <c r="H447" t="s">
        <v>178</v>
      </c>
      <c r="I447" t="s">
        <v>179</v>
      </c>
      <c r="J447" t="s">
        <v>180</v>
      </c>
      <c r="K447">
        <v>88048000</v>
      </c>
      <c r="L447" t="s">
        <v>92</v>
      </c>
      <c r="M447" t="s">
        <v>181</v>
      </c>
      <c r="N447">
        <v>4833388551</v>
      </c>
      <c r="O447">
        <v>0</v>
      </c>
      <c r="P447">
        <v>0</v>
      </c>
      <c r="R447" t="s">
        <v>42</v>
      </c>
      <c r="S447">
        <v>15015746121</v>
      </c>
      <c r="T447" t="str">
        <f ca="1">VLOOKUP(RANDBETWEEN(1,17),'Auxiliar Vendas'!D:G,2,0)</f>
        <v>Produto 15</v>
      </c>
      <c r="U447">
        <v>200</v>
      </c>
      <c r="V447">
        <v>17.8</v>
      </c>
      <c r="W447">
        <v>0</v>
      </c>
      <c r="X447">
        <v>13.763999999999999</v>
      </c>
      <c r="Y447" s="3">
        <v>3560</v>
      </c>
      <c r="Z447">
        <v>76</v>
      </c>
      <c r="AA447" t="s">
        <v>81</v>
      </c>
      <c r="AB447">
        <v>0</v>
      </c>
      <c r="AC447">
        <v>0</v>
      </c>
      <c r="AD447" t="s">
        <v>189</v>
      </c>
      <c r="AH447" s="2">
        <v>44518.354166666664</v>
      </c>
      <c r="AI447">
        <v>0</v>
      </c>
      <c r="AJ447">
        <v>0</v>
      </c>
      <c r="AK447" s="30" t="str">
        <f ca="1">VLOOKUP(T447,'Auxiliar Vendas'!E:F,2,FALSE)</f>
        <v>Produto 15</v>
      </c>
      <c r="AL447" s="31">
        <f ca="1">U447*VLOOKUP(T447,'Auxiliar Vendas'!E:G,3,FALSE)</f>
        <v>284</v>
      </c>
    </row>
    <row r="448" spans="1:38">
      <c r="A448">
        <v>15293497633</v>
      </c>
      <c r="B448">
        <v>101</v>
      </c>
      <c r="D448" s="1">
        <v>44519</v>
      </c>
      <c r="E448">
        <v>15293435625</v>
      </c>
      <c r="F448" t="str">
        <f ca="1">VLOOKUP(RANDBETWEEN(1,20),'DBO Compras'!AA:AC,3,0)</f>
        <v>Comprador 13</v>
      </c>
      <c r="G448" t="s">
        <v>177</v>
      </c>
      <c r="H448" t="s">
        <v>178</v>
      </c>
      <c r="I448" t="s">
        <v>179</v>
      </c>
      <c r="J448" t="s">
        <v>180</v>
      </c>
      <c r="K448">
        <v>88048000</v>
      </c>
      <c r="L448" t="s">
        <v>92</v>
      </c>
      <c r="M448" t="s">
        <v>181</v>
      </c>
      <c r="N448">
        <v>4833388551</v>
      </c>
      <c r="O448">
        <v>0</v>
      </c>
      <c r="P448">
        <v>0</v>
      </c>
      <c r="R448" t="s">
        <v>42</v>
      </c>
      <c r="S448">
        <v>15016099089</v>
      </c>
      <c r="T448" t="str">
        <f ca="1">VLOOKUP(RANDBETWEEN(1,17),'Auxiliar Vendas'!D:G,2,0)</f>
        <v>Produto 05</v>
      </c>
      <c r="U448">
        <v>500</v>
      </c>
      <c r="V448">
        <v>20.79</v>
      </c>
      <c r="W448">
        <v>0</v>
      </c>
      <c r="X448">
        <v>16.804400000000001</v>
      </c>
      <c r="Y448" s="3">
        <v>10395</v>
      </c>
      <c r="Z448">
        <v>76</v>
      </c>
      <c r="AA448" t="s">
        <v>79</v>
      </c>
      <c r="AB448">
        <v>0</v>
      </c>
      <c r="AC448">
        <v>0</v>
      </c>
      <c r="AD448" t="s">
        <v>189</v>
      </c>
      <c r="AH448" s="2">
        <v>44518.354166666664</v>
      </c>
      <c r="AI448">
        <v>0</v>
      </c>
      <c r="AJ448">
        <v>0</v>
      </c>
      <c r="AK448" s="30" t="str">
        <f ca="1">VLOOKUP(T448,'Auxiliar Vendas'!E:F,2,FALSE)</f>
        <v>Produto 05</v>
      </c>
      <c r="AL448" s="31">
        <f ca="1">U448*VLOOKUP(T448,'Auxiliar Vendas'!E:G,3,FALSE)</f>
        <v>300</v>
      </c>
    </row>
    <row r="449" spans="1:38">
      <c r="A449">
        <v>15293497633</v>
      </c>
      <c r="B449">
        <v>101</v>
      </c>
      <c r="D449" s="1">
        <v>44519</v>
      </c>
      <c r="E449">
        <v>15293435625</v>
      </c>
      <c r="F449" t="str">
        <f ca="1">VLOOKUP(RANDBETWEEN(1,20),'DBO Compras'!AA:AC,3,0)</f>
        <v>Comprador 20</v>
      </c>
      <c r="G449" t="s">
        <v>177</v>
      </c>
      <c r="H449" t="s">
        <v>178</v>
      </c>
      <c r="I449" t="s">
        <v>179</v>
      </c>
      <c r="J449" t="s">
        <v>180</v>
      </c>
      <c r="K449">
        <v>88048000</v>
      </c>
      <c r="L449" t="s">
        <v>92</v>
      </c>
      <c r="M449" t="s">
        <v>181</v>
      </c>
      <c r="N449">
        <v>4833388551</v>
      </c>
      <c r="O449">
        <v>0</v>
      </c>
      <c r="P449">
        <v>0</v>
      </c>
      <c r="R449" t="s">
        <v>42</v>
      </c>
      <c r="S449">
        <v>15016093155</v>
      </c>
      <c r="T449" t="str">
        <f ca="1">VLOOKUP(RANDBETWEEN(1,17),'Auxiliar Vendas'!D:G,2,0)</f>
        <v>Produto 08</v>
      </c>
      <c r="U449">
        <v>500</v>
      </c>
      <c r="V449">
        <v>17.899999999999999</v>
      </c>
      <c r="W449">
        <v>0</v>
      </c>
      <c r="X449">
        <v>14.4596</v>
      </c>
      <c r="Y449" s="3">
        <v>8950</v>
      </c>
      <c r="Z449">
        <v>76</v>
      </c>
      <c r="AA449" t="s">
        <v>65</v>
      </c>
      <c r="AB449">
        <v>0</v>
      </c>
      <c r="AC449">
        <v>0</v>
      </c>
      <c r="AD449" t="s">
        <v>189</v>
      </c>
      <c r="AH449" s="2">
        <v>44518.354166666664</v>
      </c>
      <c r="AI449">
        <v>0</v>
      </c>
      <c r="AJ449">
        <v>0</v>
      </c>
      <c r="AK449" s="30" t="str">
        <f ca="1">VLOOKUP(T449,'Auxiliar Vendas'!E:F,2,FALSE)</f>
        <v>Produto 08</v>
      </c>
      <c r="AL449" s="31">
        <f ca="1">U449*VLOOKUP(T449,'Auxiliar Vendas'!E:G,3,FALSE)</f>
        <v>550</v>
      </c>
    </row>
    <row r="450" spans="1:38">
      <c r="A450">
        <v>15293497633</v>
      </c>
      <c r="B450">
        <v>101</v>
      </c>
      <c r="D450" s="1">
        <v>44519</v>
      </c>
      <c r="E450">
        <v>15293435625</v>
      </c>
      <c r="F450" t="str">
        <f ca="1">VLOOKUP(RANDBETWEEN(1,20),'DBO Compras'!AA:AC,3,0)</f>
        <v>Comprador 19</v>
      </c>
      <c r="G450" t="s">
        <v>177</v>
      </c>
      <c r="H450" t="s">
        <v>178</v>
      </c>
      <c r="I450" t="s">
        <v>179</v>
      </c>
      <c r="J450" t="s">
        <v>180</v>
      </c>
      <c r="K450">
        <v>88048000</v>
      </c>
      <c r="L450" t="s">
        <v>92</v>
      </c>
      <c r="M450" t="s">
        <v>181</v>
      </c>
      <c r="N450">
        <v>4833388551</v>
      </c>
      <c r="O450">
        <v>0</v>
      </c>
      <c r="P450">
        <v>0</v>
      </c>
      <c r="R450" t="s">
        <v>42</v>
      </c>
      <c r="S450">
        <v>15016080333</v>
      </c>
      <c r="T450" t="str">
        <f ca="1">VLOOKUP(RANDBETWEEN(1,17),'Auxiliar Vendas'!D:G,2,0)</f>
        <v>Produto 13</v>
      </c>
      <c r="U450">
        <v>200</v>
      </c>
      <c r="V450">
        <v>13.95</v>
      </c>
      <c r="W450">
        <v>0</v>
      </c>
      <c r="X450">
        <v>10.747</v>
      </c>
      <c r="Y450" s="3">
        <v>2790</v>
      </c>
      <c r="Z450">
        <v>76</v>
      </c>
      <c r="AA450" t="s">
        <v>80</v>
      </c>
      <c r="AB450">
        <v>0</v>
      </c>
      <c r="AC450">
        <v>0</v>
      </c>
      <c r="AD450" t="s">
        <v>189</v>
      </c>
      <c r="AH450" s="2">
        <v>44518.354166666664</v>
      </c>
      <c r="AI450">
        <v>0</v>
      </c>
      <c r="AJ450">
        <v>0</v>
      </c>
      <c r="AK450" s="30" t="str">
        <f ca="1">VLOOKUP(T450,'Auxiliar Vendas'!E:F,2,FALSE)</f>
        <v>Produto 13</v>
      </c>
      <c r="AL450" s="31">
        <f ca="1">U450*VLOOKUP(T450,'Auxiliar Vendas'!E:G,3,FALSE)</f>
        <v>280</v>
      </c>
    </row>
    <row r="451" spans="1:38">
      <c r="A451">
        <v>15293497633</v>
      </c>
      <c r="B451">
        <v>101</v>
      </c>
      <c r="D451" s="1">
        <v>44519</v>
      </c>
      <c r="E451">
        <v>15293435625</v>
      </c>
      <c r="F451" t="str">
        <f ca="1">VLOOKUP(RANDBETWEEN(1,20),'DBO Compras'!AA:AC,3,0)</f>
        <v>Comprador 16</v>
      </c>
      <c r="G451" t="s">
        <v>177</v>
      </c>
      <c r="H451" t="s">
        <v>178</v>
      </c>
      <c r="I451" t="s">
        <v>179</v>
      </c>
      <c r="J451" t="s">
        <v>180</v>
      </c>
      <c r="K451">
        <v>88048000</v>
      </c>
      <c r="L451" t="s">
        <v>92</v>
      </c>
      <c r="M451" t="s">
        <v>181</v>
      </c>
      <c r="N451">
        <v>4833388551</v>
      </c>
      <c r="O451">
        <v>0</v>
      </c>
      <c r="P451">
        <v>0</v>
      </c>
      <c r="R451" t="s">
        <v>42</v>
      </c>
      <c r="S451">
        <v>15016093155</v>
      </c>
      <c r="T451" t="str">
        <f ca="1">VLOOKUP(RANDBETWEEN(1,17),'Auxiliar Vendas'!D:G,2,0)</f>
        <v>Produto 02</v>
      </c>
      <c r="U451">
        <v>200</v>
      </c>
      <c r="V451">
        <v>16.7</v>
      </c>
      <c r="W451">
        <v>0</v>
      </c>
      <c r="X451">
        <v>14.4596</v>
      </c>
      <c r="Y451" s="3">
        <v>3340</v>
      </c>
      <c r="Z451">
        <v>76</v>
      </c>
      <c r="AA451" t="s">
        <v>65</v>
      </c>
      <c r="AB451">
        <v>0</v>
      </c>
      <c r="AC451">
        <v>0</v>
      </c>
      <c r="AD451" t="s">
        <v>189</v>
      </c>
      <c r="AH451" s="2">
        <v>44518.354166666664</v>
      </c>
      <c r="AI451">
        <v>0</v>
      </c>
      <c r="AJ451">
        <v>0</v>
      </c>
      <c r="AK451" s="30" t="str">
        <f ca="1">VLOOKUP(T451,'Auxiliar Vendas'!E:F,2,FALSE)</f>
        <v>Produto 02</v>
      </c>
      <c r="AL451" s="31">
        <f ca="1">U451*VLOOKUP(T451,'Auxiliar Vendas'!E:G,3,FALSE)</f>
        <v>54</v>
      </c>
    </row>
    <row r="452" spans="1:38">
      <c r="A452">
        <v>15293497633</v>
      </c>
      <c r="B452">
        <v>101</v>
      </c>
      <c r="D452" s="1">
        <v>44519</v>
      </c>
      <c r="E452">
        <v>15293435625</v>
      </c>
      <c r="F452" t="str">
        <f ca="1">VLOOKUP(RANDBETWEEN(1,20),'DBO Compras'!AA:AC,3,0)</f>
        <v>Comprador 01</v>
      </c>
      <c r="G452" t="s">
        <v>177</v>
      </c>
      <c r="H452" t="s">
        <v>178</v>
      </c>
      <c r="I452" t="s">
        <v>179</v>
      </c>
      <c r="J452" t="s">
        <v>180</v>
      </c>
      <c r="K452">
        <v>88048000</v>
      </c>
      <c r="L452" t="s">
        <v>92</v>
      </c>
      <c r="M452" t="s">
        <v>181</v>
      </c>
      <c r="N452">
        <v>4833388551</v>
      </c>
      <c r="O452">
        <v>0</v>
      </c>
      <c r="P452">
        <v>0</v>
      </c>
      <c r="R452" t="s">
        <v>42</v>
      </c>
      <c r="S452">
        <v>15015925662</v>
      </c>
      <c r="T452" t="str">
        <f ca="1">VLOOKUP(RANDBETWEEN(1,17),'Auxiliar Vendas'!D:G,2,0)</f>
        <v>Produto 02</v>
      </c>
      <c r="U452" s="3">
        <v>1000</v>
      </c>
      <c r="V452">
        <v>7.7</v>
      </c>
      <c r="W452">
        <v>0</v>
      </c>
      <c r="X452">
        <v>3.74</v>
      </c>
      <c r="Y452" s="3">
        <v>7700</v>
      </c>
      <c r="Z452">
        <v>76</v>
      </c>
      <c r="AA452" t="s">
        <v>82</v>
      </c>
      <c r="AB452">
        <v>0</v>
      </c>
      <c r="AC452">
        <v>0</v>
      </c>
      <c r="AD452" t="s">
        <v>189</v>
      </c>
      <c r="AH452" s="2">
        <v>44518.354166666664</v>
      </c>
      <c r="AI452">
        <v>0</v>
      </c>
      <c r="AJ452">
        <v>0</v>
      </c>
      <c r="AK452" s="30" t="str">
        <f ca="1">VLOOKUP(T452,'Auxiliar Vendas'!E:F,2,FALSE)</f>
        <v>Produto 02</v>
      </c>
      <c r="AL452" s="31">
        <f ca="1">U452*VLOOKUP(T452,'Auxiliar Vendas'!E:G,3,FALSE)</f>
        <v>270</v>
      </c>
    </row>
    <row r="453" spans="1:38">
      <c r="A453">
        <v>15293497633</v>
      </c>
      <c r="B453">
        <v>101</v>
      </c>
      <c r="D453" s="1">
        <v>44519</v>
      </c>
      <c r="E453">
        <v>15293435625</v>
      </c>
      <c r="F453" t="str">
        <f ca="1">VLOOKUP(RANDBETWEEN(1,20),'DBO Compras'!AA:AC,3,0)</f>
        <v>Comprador 20</v>
      </c>
      <c r="G453" t="s">
        <v>177</v>
      </c>
      <c r="H453" t="s">
        <v>178</v>
      </c>
      <c r="I453" t="s">
        <v>179</v>
      </c>
      <c r="J453" t="s">
        <v>180</v>
      </c>
      <c r="K453">
        <v>88048000</v>
      </c>
      <c r="L453" t="s">
        <v>92</v>
      </c>
      <c r="M453" t="s">
        <v>181</v>
      </c>
      <c r="N453">
        <v>4833388551</v>
      </c>
      <c r="O453">
        <v>0</v>
      </c>
      <c r="P453">
        <v>0</v>
      </c>
      <c r="R453" t="s">
        <v>42</v>
      </c>
      <c r="S453">
        <v>15015918644</v>
      </c>
      <c r="T453" t="str">
        <f ca="1">VLOOKUP(RANDBETWEEN(1,17),'Auxiliar Vendas'!D:G,2,0)</f>
        <v>Produto 05</v>
      </c>
      <c r="U453" s="3">
        <v>1000</v>
      </c>
      <c r="V453">
        <v>7.9</v>
      </c>
      <c r="W453">
        <v>0</v>
      </c>
      <c r="X453">
        <v>5.61</v>
      </c>
      <c r="Y453" s="3">
        <v>7900</v>
      </c>
      <c r="Z453">
        <v>76</v>
      </c>
      <c r="AA453" t="s">
        <v>59</v>
      </c>
      <c r="AB453">
        <v>0</v>
      </c>
      <c r="AC453">
        <v>0</v>
      </c>
      <c r="AD453" t="s">
        <v>189</v>
      </c>
      <c r="AH453" s="2">
        <v>44518.354166666664</v>
      </c>
      <c r="AI453">
        <v>0</v>
      </c>
      <c r="AJ453">
        <v>0</v>
      </c>
      <c r="AK453" s="30" t="str">
        <f ca="1">VLOOKUP(T453,'Auxiliar Vendas'!E:F,2,FALSE)</f>
        <v>Produto 05</v>
      </c>
      <c r="AL453" s="31">
        <f ca="1">U453*VLOOKUP(T453,'Auxiliar Vendas'!E:G,3,FALSE)</f>
        <v>600</v>
      </c>
    </row>
    <row r="454" spans="1:38">
      <c r="A454">
        <v>15330432201</v>
      </c>
      <c r="B454">
        <v>114</v>
      </c>
      <c r="D454" s="1">
        <v>44519</v>
      </c>
      <c r="E454">
        <v>15291803674</v>
      </c>
      <c r="F454" t="str">
        <f ca="1">VLOOKUP(RANDBETWEEN(1,20),'DBO Compras'!AA:AC,3,0)</f>
        <v>Comprador 01</v>
      </c>
      <c r="G454" t="s">
        <v>88</v>
      </c>
      <c r="H454" t="s">
        <v>89</v>
      </c>
      <c r="I454" t="s">
        <v>90</v>
      </c>
      <c r="J454" t="s">
        <v>91</v>
      </c>
      <c r="K454">
        <v>88337440</v>
      </c>
      <c r="L454" t="s">
        <v>92</v>
      </c>
      <c r="M454" t="s">
        <v>93</v>
      </c>
      <c r="N454">
        <v>47996529345</v>
      </c>
      <c r="O454">
        <v>0</v>
      </c>
      <c r="P454">
        <v>0</v>
      </c>
      <c r="R454" t="s">
        <v>42</v>
      </c>
      <c r="S454">
        <v>15015918644</v>
      </c>
      <c r="T454" t="str">
        <f ca="1">VLOOKUP(RANDBETWEEN(1,17),'Auxiliar Vendas'!D:G,2,0)</f>
        <v>Produto 11</v>
      </c>
      <c r="U454" s="3">
        <v>1000</v>
      </c>
      <c r="V454">
        <v>7.5</v>
      </c>
      <c r="W454">
        <v>0</v>
      </c>
      <c r="X454">
        <v>5.61</v>
      </c>
      <c r="Y454" s="3">
        <v>7500</v>
      </c>
      <c r="Z454">
        <v>73</v>
      </c>
      <c r="AA454" t="s">
        <v>59</v>
      </c>
      <c r="AB454">
        <v>0</v>
      </c>
      <c r="AC454">
        <v>0</v>
      </c>
      <c r="AH454" s="2">
        <v>44519.643750000003</v>
      </c>
      <c r="AI454">
        <v>0</v>
      </c>
      <c r="AJ454">
        <v>0</v>
      </c>
      <c r="AK454" s="30" t="str">
        <f ca="1">VLOOKUP(T454,'Auxiliar Vendas'!E:F,2,FALSE)</f>
        <v>Produto 11</v>
      </c>
      <c r="AL454" s="31">
        <f ca="1">U454*VLOOKUP(T454,'Auxiliar Vendas'!E:G,3,FALSE)</f>
        <v>1100</v>
      </c>
    </row>
    <row r="455" spans="1:38">
      <c r="A455">
        <v>15330552244</v>
      </c>
      <c r="B455">
        <v>115</v>
      </c>
      <c r="D455" s="1">
        <v>44519</v>
      </c>
      <c r="E455">
        <v>15339582855</v>
      </c>
      <c r="F455" t="str">
        <f ca="1">VLOOKUP(RANDBETWEEN(1,20),'DBO Compras'!AA:AC,3,0)</f>
        <v>Comprador 19</v>
      </c>
      <c r="G455" t="s">
        <v>263</v>
      </c>
      <c r="H455" t="s">
        <v>264</v>
      </c>
      <c r="I455" t="s">
        <v>265</v>
      </c>
      <c r="J455" t="s">
        <v>39</v>
      </c>
      <c r="K455">
        <v>82840020</v>
      </c>
      <c r="L455" t="s">
        <v>40</v>
      </c>
      <c r="M455" t="s">
        <v>266</v>
      </c>
      <c r="N455">
        <v>41995546245</v>
      </c>
      <c r="O455">
        <v>0</v>
      </c>
      <c r="P455">
        <v>0</v>
      </c>
      <c r="R455" t="s">
        <v>42</v>
      </c>
      <c r="S455">
        <v>15016099089</v>
      </c>
      <c r="T455" t="str">
        <f ca="1">VLOOKUP(RANDBETWEEN(1,17),'Auxiliar Vendas'!D:G,2,0)</f>
        <v>Produto 16</v>
      </c>
      <c r="U455">
        <v>500</v>
      </c>
      <c r="V455">
        <v>17.97</v>
      </c>
      <c r="W455">
        <v>0</v>
      </c>
      <c r="X455">
        <v>16.804400000000001</v>
      </c>
      <c r="Y455" s="3">
        <v>8985</v>
      </c>
      <c r="Z455">
        <v>83</v>
      </c>
      <c r="AA455" t="s">
        <v>79</v>
      </c>
      <c r="AB455">
        <v>0</v>
      </c>
      <c r="AC455">
        <v>0</v>
      </c>
      <c r="AD455" t="s">
        <v>58</v>
      </c>
      <c r="AH455" s="2">
        <v>44520.352083333331</v>
      </c>
      <c r="AI455">
        <v>0</v>
      </c>
      <c r="AJ455">
        <v>0</v>
      </c>
      <c r="AK455" s="30" t="str">
        <f ca="1">VLOOKUP(T455,'Auxiliar Vendas'!E:F,2,FALSE)</f>
        <v>Produto 16</v>
      </c>
      <c r="AL455" s="31">
        <f ca="1">U455*VLOOKUP(T455,'Auxiliar Vendas'!E:G,3,FALSE)</f>
        <v>635</v>
      </c>
    </row>
    <row r="456" spans="1:38">
      <c r="A456">
        <v>15330552244</v>
      </c>
      <c r="B456">
        <v>115</v>
      </c>
      <c r="D456" s="1">
        <v>44519</v>
      </c>
      <c r="E456">
        <v>15339582855</v>
      </c>
      <c r="F456" t="str">
        <f ca="1">VLOOKUP(RANDBETWEEN(1,20),'DBO Compras'!AA:AC,3,0)</f>
        <v>Comprador 06</v>
      </c>
      <c r="G456" t="s">
        <v>263</v>
      </c>
      <c r="H456" t="s">
        <v>264</v>
      </c>
      <c r="I456" t="s">
        <v>265</v>
      </c>
      <c r="J456" t="s">
        <v>39</v>
      </c>
      <c r="K456">
        <v>82840020</v>
      </c>
      <c r="L456" t="s">
        <v>40</v>
      </c>
      <c r="M456" t="s">
        <v>266</v>
      </c>
      <c r="N456">
        <v>41995546245</v>
      </c>
      <c r="O456">
        <v>0</v>
      </c>
      <c r="P456">
        <v>0</v>
      </c>
      <c r="R456" t="s">
        <v>42</v>
      </c>
      <c r="S456">
        <v>15016093155</v>
      </c>
      <c r="T456" t="str">
        <f ca="1">VLOOKUP(RANDBETWEEN(1,17),'Auxiliar Vendas'!D:G,2,0)</f>
        <v>Produto 15</v>
      </c>
      <c r="U456">
        <v>520</v>
      </c>
      <c r="V456">
        <v>16.399999999999999</v>
      </c>
      <c r="W456">
        <v>0</v>
      </c>
      <c r="X456">
        <v>14.4596</v>
      </c>
      <c r="Y456" s="3">
        <v>8528</v>
      </c>
      <c r="Z456">
        <v>83</v>
      </c>
      <c r="AA456" t="s">
        <v>65</v>
      </c>
      <c r="AB456">
        <v>0</v>
      </c>
      <c r="AC456">
        <v>0</v>
      </c>
      <c r="AD456" t="s">
        <v>58</v>
      </c>
      <c r="AH456" s="2">
        <v>44520.352083333331</v>
      </c>
      <c r="AI456">
        <v>0</v>
      </c>
      <c r="AJ456">
        <v>0</v>
      </c>
      <c r="AK456" s="30" t="str">
        <f ca="1">VLOOKUP(T456,'Auxiliar Vendas'!E:F,2,FALSE)</f>
        <v>Produto 15</v>
      </c>
      <c r="AL456" s="31">
        <f ca="1">U456*VLOOKUP(T456,'Auxiliar Vendas'!E:G,3,FALSE)</f>
        <v>738.4</v>
      </c>
    </row>
    <row r="457" spans="1:38">
      <c r="A457">
        <v>15330552244</v>
      </c>
      <c r="B457">
        <v>115</v>
      </c>
      <c r="D457" s="1">
        <v>44519</v>
      </c>
      <c r="E457">
        <v>15339582855</v>
      </c>
      <c r="F457" t="str">
        <f ca="1">VLOOKUP(RANDBETWEEN(1,20),'DBO Compras'!AA:AC,3,0)</f>
        <v>Comprador 02</v>
      </c>
      <c r="G457" t="s">
        <v>263</v>
      </c>
      <c r="H457" t="s">
        <v>264</v>
      </c>
      <c r="I457" t="s">
        <v>265</v>
      </c>
      <c r="J457" t="s">
        <v>39</v>
      </c>
      <c r="K457">
        <v>82840020</v>
      </c>
      <c r="L457" t="s">
        <v>40</v>
      </c>
      <c r="M457" t="s">
        <v>266</v>
      </c>
      <c r="N457">
        <v>41995546245</v>
      </c>
      <c r="O457">
        <v>0</v>
      </c>
      <c r="P457">
        <v>0</v>
      </c>
      <c r="R457" t="s">
        <v>42</v>
      </c>
      <c r="S457">
        <v>15016099089</v>
      </c>
      <c r="T457" t="str">
        <f ca="1">VLOOKUP(RANDBETWEEN(1,17),'Auxiliar Vendas'!D:G,2,0)</f>
        <v>Produto 08</v>
      </c>
      <c r="U457">
        <v>588</v>
      </c>
      <c r="V457">
        <v>19.25</v>
      </c>
      <c r="W457">
        <v>0</v>
      </c>
      <c r="X457">
        <v>16.804400000000001</v>
      </c>
      <c r="Y457" s="3">
        <v>11319</v>
      </c>
      <c r="Z457">
        <v>83</v>
      </c>
      <c r="AA457" t="s">
        <v>79</v>
      </c>
      <c r="AB457">
        <v>0</v>
      </c>
      <c r="AC457">
        <v>0</v>
      </c>
      <c r="AD457" t="s">
        <v>58</v>
      </c>
      <c r="AH457" s="2">
        <v>44520.352083333331</v>
      </c>
      <c r="AI457">
        <v>0</v>
      </c>
      <c r="AJ457">
        <v>0</v>
      </c>
      <c r="AK457" s="30" t="str">
        <f ca="1">VLOOKUP(T457,'Auxiliar Vendas'!E:F,2,FALSE)</f>
        <v>Produto 08</v>
      </c>
      <c r="AL457" s="31">
        <f ca="1">U457*VLOOKUP(T457,'Auxiliar Vendas'!E:G,3,FALSE)</f>
        <v>646.80000000000007</v>
      </c>
    </row>
    <row r="458" spans="1:38">
      <c r="A458">
        <v>15330552244</v>
      </c>
      <c r="B458">
        <v>115</v>
      </c>
      <c r="D458" s="1">
        <v>44519</v>
      </c>
      <c r="E458">
        <v>15339582855</v>
      </c>
      <c r="F458" t="str">
        <f ca="1">VLOOKUP(RANDBETWEEN(1,20),'DBO Compras'!AA:AC,3,0)</f>
        <v>Comprador 19</v>
      </c>
      <c r="G458" t="s">
        <v>263</v>
      </c>
      <c r="H458" t="s">
        <v>264</v>
      </c>
      <c r="I458" t="s">
        <v>265</v>
      </c>
      <c r="J458" t="s">
        <v>39</v>
      </c>
      <c r="K458">
        <v>82840020</v>
      </c>
      <c r="L458" t="s">
        <v>40</v>
      </c>
      <c r="M458" t="s">
        <v>266</v>
      </c>
      <c r="N458">
        <v>41995546245</v>
      </c>
      <c r="O458">
        <v>0</v>
      </c>
      <c r="P458">
        <v>0</v>
      </c>
      <c r="R458" t="s">
        <v>42</v>
      </c>
      <c r="S458">
        <v>15016087271</v>
      </c>
      <c r="T458" t="str">
        <f ca="1">VLOOKUP(RANDBETWEEN(1,17),'Auxiliar Vendas'!D:G,2,0)</f>
        <v>Produto 02</v>
      </c>
      <c r="U458">
        <v>273</v>
      </c>
      <c r="V458">
        <v>16.64</v>
      </c>
      <c r="W458">
        <v>0</v>
      </c>
      <c r="X458">
        <v>14.4596</v>
      </c>
      <c r="Y458" s="3">
        <v>4542.72</v>
      </c>
      <c r="Z458">
        <v>83</v>
      </c>
      <c r="AA458" t="s">
        <v>64</v>
      </c>
      <c r="AB458">
        <v>0</v>
      </c>
      <c r="AC458">
        <v>0</v>
      </c>
      <c r="AD458" t="s">
        <v>58</v>
      </c>
      <c r="AH458" s="2">
        <v>44520.352083333331</v>
      </c>
      <c r="AI458">
        <v>0</v>
      </c>
      <c r="AJ458">
        <v>0</v>
      </c>
      <c r="AK458" s="30" t="str">
        <f ca="1">VLOOKUP(T458,'Auxiliar Vendas'!E:F,2,FALSE)</f>
        <v>Produto 02</v>
      </c>
      <c r="AL458" s="31">
        <f ca="1">U458*VLOOKUP(T458,'Auxiliar Vendas'!E:G,3,FALSE)</f>
        <v>73.710000000000008</v>
      </c>
    </row>
    <row r="459" spans="1:38">
      <c r="A459">
        <v>15330552244</v>
      </c>
      <c r="B459">
        <v>115</v>
      </c>
      <c r="D459" s="1">
        <v>44519</v>
      </c>
      <c r="E459">
        <v>15339582855</v>
      </c>
      <c r="F459" t="str">
        <f ca="1">VLOOKUP(RANDBETWEEN(1,20),'DBO Compras'!AA:AC,3,0)</f>
        <v>Comprador 08</v>
      </c>
      <c r="G459" t="s">
        <v>263</v>
      </c>
      <c r="H459" t="s">
        <v>264</v>
      </c>
      <c r="I459" t="s">
        <v>265</v>
      </c>
      <c r="J459" t="s">
        <v>39</v>
      </c>
      <c r="K459">
        <v>82840020</v>
      </c>
      <c r="L459" t="s">
        <v>40</v>
      </c>
      <c r="M459" t="s">
        <v>266</v>
      </c>
      <c r="N459">
        <v>41995546245</v>
      </c>
      <c r="O459">
        <v>0</v>
      </c>
      <c r="P459">
        <v>0</v>
      </c>
      <c r="R459" t="s">
        <v>42</v>
      </c>
      <c r="S459">
        <v>15016080333</v>
      </c>
      <c r="T459" t="str">
        <f ca="1">VLOOKUP(RANDBETWEEN(1,17),'Auxiliar Vendas'!D:G,2,0)</f>
        <v>Produto 04</v>
      </c>
      <c r="U459">
        <v>70</v>
      </c>
      <c r="V459">
        <v>13.4</v>
      </c>
      <c r="W459">
        <v>0</v>
      </c>
      <c r="X459">
        <v>10.747</v>
      </c>
      <c r="Y459">
        <v>938</v>
      </c>
      <c r="Z459">
        <v>83</v>
      </c>
      <c r="AA459" t="s">
        <v>80</v>
      </c>
      <c r="AB459">
        <v>0</v>
      </c>
      <c r="AC459">
        <v>0</v>
      </c>
      <c r="AD459" t="s">
        <v>58</v>
      </c>
      <c r="AH459" s="2">
        <v>44520.352083333331</v>
      </c>
      <c r="AI459">
        <v>0</v>
      </c>
      <c r="AJ459">
        <v>0</v>
      </c>
      <c r="AK459" s="30" t="str">
        <f ca="1">VLOOKUP(T459,'Auxiliar Vendas'!E:F,2,FALSE)</f>
        <v>Produto 04</v>
      </c>
      <c r="AL459" s="31">
        <f ca="1">U459*VLOOKUP(T459,'Auxiliar Vendas'!E:G,3,FALSE)</f>
        <v>42</v>
      </c>
    </row>
    <row r="460" spans="1:38">
      <c r="A460">
        <v>15330552244</v>
      </c>
      <c r="B460">
        <v>115</v>
      </c>
      <c r="D460" s="1">
        <v>44519</v>
      </c>
      <c r="E460">
        <v>15339582855</v>
      </c>
      <c r="F460" t="str">
        <f ca="1">VLOOKUP(RANDBETWEEN(1,20),'DBO Compras'!AA:AC,3,0)</f>
        <v>Comprador 11</v>
      </c>
      <c r="G460" t="s">
        <v>263</v>
      </c>
      <c r="H460" t="s">
        <v>264</v>
      </c>
      <c r="I460" t="s">
        <v>265</v>
      </c>
      <c r="J460" t="s">
        <v>39</v>
      </c>
      <c r="K460">
        <v>82840020</v>
      </c>
      <c r="L460" t="s">
        <v>40</v>
      </c>
      <c r="M460" t="s">
        <v>266</v>
      </c>
      <c r="N460">
        <v>41995546245</v>
      </c>
      <c r="O460">
        <v>0</v>
      </c>
      <c r="P460">
        <v>0</v>
      </c>
      <c r="R460" t="s">
        <v>42</v>
      </c>
      <c r="S460">
        <v>15016093155</v>
      </c>
      <c r="T460" t="str">
        <f ca="1">VLOOKUP(RANDBETWEEN(1,17),'Auxiliar Vendas'!D:G,2,0)</f>
        <v>Produto 03</v>
      </c>
      <c r="U460">
        <v>500</v>
      </c>
      <c r="V460">
        <v>13.66</v>
      </c>
      <c r="W460">
        <v>0</v>
      </c>
      <c r="X460">
        <v>14.4596</v>
      </c>
      <c r="Y460" s="3">
        <v>6830</v>
      </c>
      <c r="Z460">
        <v>83</v>
      </c>
      <c r="AA460" t="s">
        <v>65</v>
      </c>
      <c r="AB460">
        <v>0</v>
      </c>
      <c r="AC460">
        <v>0</v>
      </c>
      <c r="AD460" t="s">
        <v>58</v>
      </c>
      <c r="AH460" s="2">
        <v>44520.352083333331</v>
      </c>
      <c r="AI460">
        <v>0</v>
      </c>
      <c r="AJ460">
        <v>0</v>
      </c>
      <c r="AK460" s="30" t="str">
        <f ca="1">VLOOKUP(T460,'Auxiliar Vendas'!E:F,2,FALSE)</f>
        <v>Produto 03</v>
      </c>
      <c r="AL460" s="31">
        <f ca="1">U460*VLOOKUP(T460,'Auxiliar Vendas'!E:G,3,FALSE)</f>
        <v>300</v>
      </c>
    </row>
    <row r="461" spans="1:38">
      <c r="A461">
        <v>15330552244</v>
      </c>
      <c r="B461">
        <v>115</v>
      </c>
      <c r="D461" s="1">
        <v>44519</v>
      </c>
      <c r="E461">
        <v>15339582855</v>
      </c>
      <c r="F461" t="str">
        <f ca="1">VLOOKUP(RANDBETWEEN(1,20),'DBO Compras'!AA:AC,3,0)</f>
        <v>Comprador 12</v>
      </c>
      <c r="G461" t="s">
        <v>263</v>
      </c>
      <c r="H461" t="s">
        <v>264</v>
      </c>
      <c r="I461" t="s">
        <v>265</v>
      </c>
      <c r="J461" t="s">
        <v>39</v>
      </c>
      <c r="K461">
        <v>82840020</v>
      </c>
      <c r="L461" t="s">
        <v>40</v>
      </c>
      <c r="M461" t="s">
        <v>266</v>
      </c>
      <c r="N461">
        <v>41995546245</v>
      </c>
      <c r="O461">
        <v>0</v>
      </c>
      <c r="P461">
        <v>0</v>
      </c>
      <c r="R461" t="s">
        <v>42</v>
      </c>
      <c r="S461">
        <v>15016093155</v>
      </c>
      <c r="T461" t="str">
        <f ca="1">VLOOKUP(RANDBETWEEN(1,17),'Auxiliar Vendas'!D:G,2,0)</f>
        <v>Produto 01</v>
      </c>
      <c r="U461">
        <v>500</v>
      </c>
      <c r="V461">
        <v>15.3</v>
      </c>
      <c r="W461">
        <v>0</v>
      </c>
      <c r="X461">
        <v>14.4596</v>
      </c>
      <c r="Y461" s="3">
        <v>7650</v>
      </c>
      <c r="Z461">
        <v>83</v>
      </c>
      <c r="AA461" t="s">
        <v>65</v>
      </c>
      <c r="AB461">
        <v>0</v>
      </c>
      <c r="AC461">
        <v>0</v>
      </c>
      <c r="AD461" t="s">
        <v>58</v>
      </c>
      <c r="AH461" s="2">
        <v>44520.352083333331</v>
      </c>
      <c r="AI461">
        <v>0</v>
      </c>
      <c r="AJ461">
        <v>0</v>
      </c>
      <c r="AK461" s="30" t="str">
        <f ca="1">VLOOKUP(T461,'Auxiliar Vendas'!E:F,2,FALSE)</f>
        <v>Produto 01</v>
      </c>
      <c r="AL461" s="31">
        <f ca="1">U461*VLOOKUP(T461,'Auxiliar Vendas'!E:G,3,FALSE)</f>
        <v>200</v>
      </c>
    </row>
    <row r="462" spans="1:38">
      <c r="A462">
        <v>15330673193</v>
      </c>
      <c r="B462">
        <v>116</v>
      </c>
      <c r="D462" s="1">
        <v>44522</v>
      </c>
      <c r="E462">
        <v>15179803016</v>
      </c>
      <c r="F462" t="str">
        <f ca="1">VLOOKUP(RANDBETWEEN(1,20),'DBO Compras'!AA:AC,3,0)</f>
        <v>Comprador 05</v>
      </c>
      <c r="G462" t="s">
        <v>155</v>
      </c>
      <c r="H462" t="s">
        <v>156</v>
      </c>
      <c r="I462" t="s">
        <v>157</v>
      </c>
      <c r="J462" t="s">
        <v>158</v>
      </c>
      <c r="K462">
        <v>84500000</v>
      </c>
      <c r="L462" t="s">
        <v>40</v>
      </c>
      <c r="M462" t="s">
        <v>159</v>
      </c>
      <c r="N462">
        <v>42999250064</v>
      </c>
      <c r="O462">
        <v>0</v>
      </c>
      <c r="P462">
        <v>0</v>
      </c>
      <c r="R462" t="s">
        <v>42</v>
      </c>
      <c r="S462">
        <v>15016093155</v>
      </c>
      <c r="T462" t="str">
        <f ca="1">VLOOKUP(RANDBETWEEN(1,17),'Auxiliar Vendas'!D:G,2,0)</f>
        <v>Produto 05</v>
      </c>
      <c r="U462">
        <v>200</v>
      </c>
      <c r="V462">
        <v>18.2</v>
      </c>
      <c r="W462">
        <v>0</v>
      </c>
      <c r="X462">
        <v>14.4596</v>
      </c>
      <c r="Y462" s="3">
        <v>3640</v>
      </c>
      <c r="Z462">
        <v>50</v>
      </c>
      <c r="AA462" t="s">
        <v>65</v>
      </c>
      <c r="AB462">
        <v>0</v>
      </c>
      <c r="AC462">
        <v>0</v>
      </c>
      <c r="AD462" t="s">
        <v>51</v>
      </c>
      <c r="AH462" s="2">
        <v>44522.654861111114</v>
      </c>
      <c r="AI462">
        <v>0</v>
      </c>
      <c r="AJ462">
        <v>0</v>
      </c>
      <c r="AK462" s="30" t="str">
        <f ca="1">VLOOKUP(T462,'Auxiliar Vendas'!E:F,2,FALSE)</f>
        <v>Produto 05</v>
      </c>
      <c r="AL462" s="31">
        <f ca="1">U462*VLOOKUP(T462,'Auxiliar Vendas'!E:G,3,FALSE)</f>
        <v>120</v>
      </c>
    </row>
    <row r="463" spans="1:38">
      <c r="A463">
        <v>15330673193</v>
      </c>
      <c r="B463">
        <v>116</v>
      </c>
      <c r="D463" s="1">
        <v>44522</v>
      </c>
      <c r="E463">
        <v>15179803016</v>
      </c>
      <c r="F463" t="str">
        <f ca="1">VLOOKUP(RANDBETWEEN(1,20),'DBO Compras'!AA:AC,3,0)</f>
        <v>Comprador 05</v>
      </c>
      <c r="G463" t="s">
        <v>155</v>
      </c>
      <c r="H463" t="s">
        <v>156</v>
      </c>
      <c r="I463" t="s">
        <v>157</v>
      </c>
      <c r="J463" t="s">
        <v>158</v>
      </c>
      <c r="K463">
        <v>84500000</v>
      </c>
      <c r="L463" t="s">
        <v>40</v>
      </c>
      <c r="M463" t="s">
        <v>159</v>
      </c>
      <c r="N463">
        <v>42999250064</v>
      </c>
      <c r="O463">
        <v>0</v>
      </c>
      <c r="P463">
        <v>0</v>
      </c>
      <c r="R463" t="s">
        <v>42</v>
      </c>
      <c r="S463">
        <v>15016080333</v>
      </c>
      <c r="T463" t="str">
        <f ca="1">VLOOKUP(RANDBETWEEN(1,17),'Auxiliar Vendas'!D:G,2,0)</f>
        <v>Produto 14</v>
      </c>
      <c r="U463">
        <v>100</v>
      </c>
      <c r="V463">
        <v>15.2</v>
      </c>
      <c r="W463">
        <v>0</v>
      </c>
      <c r="X463">
        <v>10.747</v>
      </c>
      <c r="Y463" s="3">
        <v>1520</v>
      </c>
      <c r="Z463">
        <v>50</v>
      </c>
      <c r="AA463" t="s">
        <v>80</v>
      </c>
      <c r="AB463">
        <v>0</v>
      </c>
      <c r="AC463">
        <v>0</v>
      </c>
      <c r="AD463" t="s">
        <v>51</v>
      </c>
      <c r="AH463" s="2">
        <v>44522.654861111114</v>
      </c>
      <c r="AI463">
        <v>0</v>
      </c>
      <c r="AJ463">
        <v>0</v>
      </c>
      <c r="AK463" s="30" t="str">
        <f ca="1">VLOOKUP(T463,'Auxiliar Vendas'!E:F,2,FALSE)</f>
        <v>Produto 14</v>
      </c>
      <c r="AL463" s="31">
        <f ca="1">U463*VLOOKUP(T463,'Auxiliar Vendas'!E:G,3,FALSE)</f>
        <v>140</v>
      </c>
    </row>
    <row r="464" spans="1:38">
      <c r="A464">
        <v>15330673193</v>
      </c>
      <c r="B464">
        <v>116</v>
      </c>
      <c r="D464" s="1">
        <v>44522</v>
      </c>
      <c r="E464">
        <v>15179803016</v>
      </c>
      <c r="F464" t="str">
        <f ca="1">VLOOKUP(RANDBETWEEN(1,20),'DBO Compras'!AA:AC,3,0)</f>
        <v>Comprador 11</v>
      </c>
      <c r="G464" t="s">
        <v>155</v>
      </c>
      <c r="H464" t="s">
        <v>156</v>
      </c>
      <c r="I464" t="s">
        <v>157</v>
      </c>
      <c r="J464" t="s">
        <v>158</v>
      </c>
      <c r="K464">
        <v>84500000</v>
      </c>
      <c r="L464" t="s">
        <v>40</v>
      </c>
      <c r="M464" t="s">
        <v>159</v>
      </c>
      <c r="N464">
        <v>42999250064</v>
      </c>
      <c r="O464">
        <v>0</v>
      </c>
      <c r="P464">
        <v>0</v>
      </c>
      <c r="R464" t="s">
        <v>42</v>
      </c>
      <c r="S464">
        <v>15016043939</v>
      </c>
      <c r="T464" t="str">
        <f ca="1">VLOOKUP(RANDBETWEEN(1,17),'Auxiliar Vendas'!D:G,2,0)</f>
        <v>Produto 11</v>
      </c>
      <c r="U464">
        <v>60</v>
      </c>
      <c r="V464">
        <v>13.9</v>
      </c>
      <c r="W464">
        <v>0</v>
      </c>
      <c r="X464">
        <v>10.747</v>
      </c>
      <c r="Y464">
        <v>834</v>
      </c>
      <c r="Z464">
        <v>50</v>
      </c>
      <c r="AA464" t="s">
        <v>50</v>
      </c>
      <c r="AB464">
        <v>0</v>
      </c>
      <c r="AC464">
        <v>0</v>
      </c>
      <c r="AD464" t="s">
        <v>51</v>
      </c>
      <c r="AH464" s="2">
        <v>44522.654861111114</v>
      </c>
      <c r="AI464">
        <v>0</v>
      </c>
      <c r="AJ464">
        <v>0</v>
      </c>
      <c r="AK464" s="30" t="str">
        <f ca="1">VLOOKUP(T464,'Auxiliar Vendas'!E:F,2,FALSE)</f>
        <v>Produto 11</v>
      </c>
      <c r="AL464" s="31">
        <f ca="1">U464*VLOOKUP(T464,'Auxiliar Vendas'!E:G,3,FALSE)</f>
        <v>66</v>
      </c>
    </row>
    <row r="465" spans="1:38">
      <c r="A465">
        <v>15350515499</v>
      </c>
      <c r="B465">
        <v>145</v>
      </c>
      <c r="D465" s="1">
        <v>44523</v>
      </c>
      <c r="E465">
        <v>15179581888</v>
      </c>
      <c r="F465" t="str">
        <f ca="1">VLOOKUP(RANDBETWEEN(1,20),'DBO Compras'!AA:AC,3,0)</f>
        <v>Comprador 06</v>
      </c>
      <c r="G465" t="s">
        <v>54</v>
      </c>
      <c r="H465" t="s">
        <v>55</v>
      </c>
      <c r="I465" t="s">
        <v>56</v>
      </c>
      <c r="J465" t="s">
        <v>39</v>
      </c>
      <c r="K465">
        <v>81350610</v>
      </c>
      <c r="L465" t="s">
        <v>40</v>
      </c>
      <c r="M465" t="s">
        <v>57</v>
      </c>
      <c r="N465">
        <v>41996849234</v>
      </c>
      <c r="O465">
        <v>0</v>
      </c>
      <c r="P465">
        <v>0</v>
      </c>
      <c r="R465" t="s">
        <v>42</v>
      </c>
      <c r="S465">
        <v>15016099089</v>
      </c>
      <c r="T465" t="str">
        <f ca="1">VLOOKUP(RANDBETWEEN(1,17),'Auxiliar Vendas'!D:G,2,0)</f>
        <v>Produto 04</v>
      </c>
      <c r="U465">
        <v>200</v>
      </c>
      <c r="V465">
        <v>20.6</v>
      </c>
      <c r="W465">
        <v>0</v>
      </c>
      <c r="X465">
        <v>16.804400000000001</v>
      </c>
      <c r="Y465" s="3">
        <v>4120</v>
      </c>
      <c r="Z465">
        <v>41</v>
      </c>
      <c r="AA465" t="s">
        <v>79</v>
      </c>
      <c r="AB465">
        <v>0</v>
      </c>
      <c r="AC465">
        <v>0</v>
      </c>
      <c r="AD465" t="s">
        <v>58</v>
      </c>
      <c r="AH465" s="2">
        <v>44524.350694444445</v>
      </c>
      <c r="AI465">
        <v>0</v>
      </c>
      <c r="AJ465">
        <v>0</v>
      </c>
      <c r="AK465" s="30" t="str">
        <f ca="1">VLOOKUP(T465,'Auxiliar Vendas'!E:F,2,FALSE)</f>
        <v>Produto 04</v>
      </c>
      <c r="AL465" s="31">
        <f ca="1">U465*VLOOKUP(T465,'Auxiliar Vendas'!E:G,3,FALSE)</f>
        <v>120</v>
      </c>
    </row>
    <row r="466" spans="1:38">
      <c r="A466">
        <v>15350515499</v>
      </c>
      <c r="B466">
        <v>145</v>
      </c>
      <c r="D466" s="1">
        <v>44523</v>
      </c>
      <c r="E466">
        <v>15179581888</v>
      </c>
      <c r="F466" t="str">
        <f ca="1">VLOOKUP(RANDBETWEEN(1,20),'DBO Compras'!AA:AC,3,0)</f>
        <v>Comprador 04</v>
      </c>
      <c r="G466" t="s">
        <v>54</v>
      </c>
      <c r="H466" t="s">
        <v>55</v>
      </c>
      <c r="I466" t="s">
        <v>56</v>
      </c>
      <c r="J466" t="s">
        <v>39</v>
      </c>
      <c r="K466">
        <v>81350610</v>
      </c>
      <c r="L466" t="s">
        <v>40</v>
      </c>
      <c r="M466" t="s">
        <v>57</v>
      </c>
      <c r="N466">
        <v>41996849234</v>
      </c>
      <c r="O466">
        <v>0</v>
      </c>
      <c r="P466">
        <v>0</v>
      </c>
      <c r="R466" t="s">
        <v>42</v>
      </c>
      <c r="S466">
        <v>15016043939</v>
      </c>
      <c r="T466" t="str">
        <f ca="1">VLOOKUP(RANDBETWEEN(1,17),'Auxiliar Vendas'!D:G,2,0)</f>
        <v>Produto 07</v>
      </c>
      <c r="U466">
        <v>200</v>
      </c>
      <c r="V466">
        <v>12.9</v>
      </c>
      <c r="W466">
        <v>0</v>
      </c>
      <c r="X466">
        <v>10.747</v>
      </c>
      <c r="Y466" s="3">
        <v>2580</v>
      </c>
      <c r="Z466">
        <v>41</v>
      </c>
      <c r="AA466" t="s">
        <v>50</v>
      </c>
      <c r="AB466">
        <v>0</v>
      </c>
      <c r="AC466">
        <v>0</v>
      </c>
      <c r="AD466" t="s">
        <v>58</v>
      </c>
      <c r="AH466" s="2">
        <v>44524.350694444445</v>
      </c>
      <c r="AI466">
        <v>0</v>
      </c>
      <c r="AJ466">
        <v>0</v>
      </c>
      <c r="AK466" s="30" t="str">
        <f ca="1">VLOOKUP(T466,'Auxiliar Vendas'!E:F,2,FALSE)</f>
        <v>Produto 07</v>
      </c>
      <c r="AL466" s="31">
        <f ca="1">U466*VLOOKUP(T466,'Auxiliar Vendas'!E:G,3,FALSE)</f>
        <v>220.00000000000003</v>
      </c>
    </row>
    <row r="467" spans="1:38">
      <c r="A467">
        <v>15350515499</v>
      </c>
      <c r="B467">
        <v>145</v>
      </c>
      <c r="D467" s="1">
        <v>44523</v>
      </c>
      <c r="E467">
        <v>15179581888</v>
      </c>
      <c r="F467" t="str">
        <f ca="1">VLOOKUP(RANDBETWEEN(1,20),'DBO Compras'!AA:AC,3,0)</f>
        <v>Comprador 15</v>
      </c>
      <c r="G467" t="s">
        <v>54</v>
      </c>
      <c r="H467" t="s">
        <v>55</v>
      </c>
      <c r="I467" t="s">
        <v>56</v>
      </c>
      <c r="J467" t="s">
        <v>39</v>
      </c>
      <c r="K467">
        <v>81350610</v>
      </c>
      <c r="L467" t="s">
        <v>40</v>
      </c>
      <c r="M467" t="s">
        <v>57</v>
      </c>
      <c r="N467">
        <v>41996849234</v>
      </c>
      <c r="O467">
        <v>0</v>
      </c>
      <c r="P467">
        <v>0</v>
      </c>
      <c r="R467" t="s">
        <v>42</v>
      </c>
      <c r="S467">
        <v>15015918644</v>
      </c>
      <c r="T467" t="str">
        <f ca="1">VLOOKUP(RANDBETWEEN(1,17),'Auxiliar Vendas'!D:G,2,0)</f>
        <v>Produto 05</v>
      </c>
      <c r="U467">
        <v>400</v>
      </c>
      <c r="V467">
        <v>7.35</v>
      </c>
      <c r="W467">
        <v>0</v>
      </c>
      <c r="X467">
        <v>5.61</v>
      </c>
      <c r="Y467" s="3">
        <v>2940</v>
      </c>
      <c r="Z467">
        <v>41</v>
      </c>
      <c r="AA467" t="s">
        <v>59</v>
      </c>
      <c r="AB467">
        <v>0</v>
      </c>
      <c r="AC467">
        <v>0</v>
      </c>
      <c r="AD467" t="s">
        <v>58</v>
      </c>
      <c r="AH467" s="2">
        <v>44524.350694444445</v>
      </c>
      <c r="AI467">
        <v>0</v>
      </c>
      <c r="AJ467">
        <v>0</v>
      </c>
      <c r="AK467" s="30" t="str">
        <f ca="1">VLOOKUP(T467,'Auxiliar Vendas'!E:F,2,FALSE)</f>
        <v>Produto 05</v>
      </c>
      <c r="AL467" s="31">
        <f ca="1">U467*VLOOKUP(T467,'Auxiliar Vendas'!E:G,3,FALSE)</f>
        <v>240</v>
      </c>
    </row>
    <row r="468" spans="1:38">
      <c r="A468">
        <v>15350515499</v>
      </c>
      <c r="B468">
        <v>145</v>
      </c>
      <c r="D468" s="1">
        <v>44523</v>
      </c>
      <c r="E468">
        <v>15179581888</v>
      </c>
      <c r="F468" t="str">
        <f ca="1">VLOOKUP(RANDBETWEEN(1,20),'DBO Compras'!AA:AC,3,0)</f>
        <v>Comprador 05</v>
      </c>
      <c r="G468" t="s">
        <v>54</v>
      </c>
      <c r="H468" t="s">
        <v>55</v>
      </c>
      <c r="I468" t="s">
        <v>56</v>
      </c>
      <c r="J468" t="s">
        <v>39</v>
      </c>
      <c r="K468">
        <v>81350610</v>
      </c>
      <c r="L468" t="s">
        <v>40</v>
      </c>
      <c r="M468" t="s">
        <v>57</v>
      </c>
      <c r="N468">
        <v>41996849234</v>
      </c>
      <c r="O468">
        <v>0</v>
      </c>
      <c r="P468">
        <v>0</v>
      </c>
      <c r="R468" t="s">
        <v>42</v>
      </c>
      <c r="S468">
        <v>15016066088</v>
      </c>
      <c r="T468" t="str">
        <f ca="1">VLOOKUP(RANDBETWEEN(1,17),'Auxiliar Vendas'!D:G,2,0)</f>
        <v>Produto 10</v>
      </c>
      <c r="U468">
        <v>150</v>
      </c>
      <c r="V468">
        <v>15.5</v>
      </c>
      <c r="W468">
        <v>0</v>
      </c>
      <c r="X468">
        <v>10.747</v>
      </c>
      <c r="Y468" s="3">
        <v>2325</v>
      </c>
      <c r="Z468">
        <v>41</v>
      </c>
      <c r="AA468" t="s">
        <v>126</v>
      </c>
      <c r="AB468">
        <v>0</v>
      </c>
      <c r="AC468">
        <v>0</v>
      </c>
      <c r="AD468" t="s">
        <v>58</v>
      </c>
      <c r="AH468" s="2">
        <v>44524.350694444445</v>
      </c>
      <c r="AI468">
        <v>0</v>
      </c>
      <c r="AJ468">
        <v>0</v>
      </c>
      <c r="AK468" s="30" t="str">
        <f ca="1">VLOOKUP(T468,'Auxiliar Vendas'!E:F,2,FALSE)</f>
        <v>Produto 10</v>
      </c>
      <c r="AL468" s="31">
        <f ca="1">U468*VLOOKUP(T468,'Auxiliar Vendas'!E:G,3,FALSE)</f>
        <v>165</v>
      </c>
    </row>
    <row r="469" spans="1:38">
      <c r="A469">
        <v>15350515499</v>
      </c>
      <c r="B469">
        <v>145</v>
      </c>
      <c r="D469" s="1">
        <v>44523</v>
      </c>
      <c r="E469">
        <v>15179581888</v>
      </c>
      <c r="F469" t="str">
        <f ca="1">VLOOKUP(RANDBETWEEN(1,20),'DBO Compras'!AA:AC,3,0)</f>
        <v>Comprador 02</v>
      </c>
      <c r="G469" t="s">
        <v>54</v>
      </c>
      <c r="H469" t="s">
        <v>55</v>
      </c>
      <c r="I469" t="s">
        <v>56</v>
      </c>
      <c r="J469" t="s">
        <v>39</v>
      </c>
      <c r="K469">
        <v>81350610</v>
      </c>
      <c r="L469" t="s">
        <v>40</v>
      </c>
      <c r="M469" t="s">
        <v>57</v>
      </c>
      <c r="N469">
        <v>41996849234</v>
      </c>
      <c r="O469">
        <v>0</v>
      </c>
      <c r="P469">
        <v>0</v>
      </c>
      <c r="R469" t="s">
        <v>42</v>
      </c>
      <c r="S469">
        <v>15016093155</v>
      </c>
      <c r="T469" t="str">
        <f ca="1">VLOOKUP(RANDBETWEEN(1,17),'Auxiliar Vendas'!D:G,2,0)</f>
        <v>Produto 05</v>
      </c>
      <c r="U469">
        <v>200</v>
      </c>
      <c r="V469">
        <v>17.8</v>
      </c>
      <c r="W469">
        <v>0</v>
      </c>
      <c r="X469">
        <v>14.4596</v>
      </c>
      <c r="Y469" s="3">
        <v>3560</v>
      </c>
      <c r="Z469">
        <v>41</v>
      </c>
      <c r="AA469" t="s">
        <v>65</v>
      </c>
      <c r="AB469">
        <v>0</v>
      </c>
      <c r="AC469">
        <v>0</v>
      </c>
      <c r="AD469" t="s">
        <v>58</v>
      </c>
      <c r="AH469" s="2">
        <v>44524.350694444445</v>
      </c>
      <c r="AI469">
        <v>0</v>
      </c>
      <c r="AJ469">
        <v>0</v>
      </c>
      <c r="AK469" s="30" t="str">
        <f ca="1">VLOOKUP(T469,'Auxiliar Vendas'!E:F,2,FALSE)</f>
        <v>Produto 05</v>
      </c>
      <c r="AL469" s="31">
        <f ca="1">U469*VLOOKUP(T469,'Auxiliar Vendas'!E:G,3,FALSE)</f>
        <v>120</v>
      </c>
    </row>
    <row r="470" spans="1:38">
      <c r="A470">
        <v>15343757243</v>
      </c>
      <c r="B470">
        <v>142</v>
      </c>
      <c r="D470" s="1">
        <v>44524</v>
      </c>
      <c r="E470">
        <v>15020006032</v>
      </c>
      <c r="F470" t="str">
        <f ca="1">VLOOKUP(RANDBETWEEN(1,20),'DBO Compras'!AA:AC,3,0)</f>
        <v>Comprador 19</v>
      </c>
      <c r="G470" t="s">
        <v>36</v>
      </c>
      <c r="H470" t="s">
        <v>37</v>
      </c>
      <c r="I470" t="s">
        <v>38</v>
      </c>
      <c r="J470" t="s">
        <v>39</v>
      </c>
      <c r="K470">
        <v>82960015</v>
      </c>
      <c r="L470" t="s">
        <v>40</v>
      </c>
      <c r="M470" t="s">
        <v>41</v>
      </c>
      <c r="N470">
        <v>41996838559</v>
      </c>
      <c r="O470">
        <v>0</v>
      </c>
      <c r="P470">
        <v>0</v>
      </c>
      <c r="R470" t="s">
        <v>42</v>
      </c>
      <c r="S470">
        <v>15016093155</v>
      </c>
      <c r="T470" t="str">
        <f ca="1">VLOOKUP(RANDBETWEEN(1,17),'Auxiliar Vendas'!D:G,2,0)</f>
        <v>Produto 04</v>
      </c>
      <c r="U470">
        <v>500</v>
      </c>
      <c r="V470">
        <v>17.899999999999999</v>
      </c>
      <c r="W470">
        <v>0</v>
      </c>
      <c r="X470">
        <v>14.4596</v>
      </c>
      <c r="Y470" s="3">
        <v>8950</v>
      </c>
      <c r="Z470">
        <v>16</v>
      </c>
      <c r="AA470" t="s">
        <v>65</v>
      </c>
      <c r="AB470">
        <v>0</v>
      </c>
      <c r="AC470">
        <v>0</v>
      </c>
      <c r="AD470" t="s">
        <v>58</v>
      </c>
      <c r="AH470" s="2">
        <v>44525.334722222222</v>
      </c>
      <c r="AI470">
        <v>0</v>
      </c>
      <c r="AJ470">
        <v>0</v>
      </c>
      <c r="AK470" s="30" t="str">
        <f ca="1">VLOOKUP(T470,'Auxiliar Vendas'!E:F,2,FALSE)</f>
        <v>Produto 04</v>
      </c>
      <c r="AL470" s="31">
        <f ca="1">U470*VLOOKUP(T470,'Auxiliar Vendas'!E:G,3,FALSE)</f>
        <v>300</v>
      </c>
    </row>
    <row r="471" spans="1:38">
      <c r="A471">
        <v>15344142814</v>
      </c>
      <c r="B471">
        <v>143</v>
      </c>
      <c r="D471" s="1">
        <v>44524</v>
      </c>
      <c r="E471">
        <v>15179581888</v>
      </c>
      <c r="F471" t="str">
        <f ca="1">VLOOKUP(RANDBETWEEN(1,20),'DBO Compras'!AA:AC,3,0)</f>
        <v>Comprador 16</v>
      </c>
      <c r="G471" t="s">
        <v>54</v>
      </c>
      <c r="H471" t="s">
        <v>55</v>
      </c>
      <c r="I471" t="s">
        <v>56</v>
      </c>
      <c r="J471" t="s">
        <v>39</v>
      </c>
      <c r="K471">
        <v>81350610</v>
      </c>
      <c r="L471" t="s">
        <v>40</v>
      </c>
      <c r="M471" t="s">
        <v>57</v>
      </c>
      <c r="N471">
        <v>41996849234</v>
      </c>
      <c r="O471">
        <v>0</v>
      </c>
      <c r="P471">
        <v>0</v>
      </c>
      <c r="R471" t="s">
        <v>42</v>
      </c>
      <c r="S471">
        <v>15016043939</v>
      </c>
      <c r="T471" t="str">
        <f ca="1">VLOOKUP(RANDBETWEEN(1,17),'Auxiliar Vendas'!D:G,2,0)</f>
        <v>Produto 15</v>
      </c>
      <c r="U471">
        <v>100</v>
      </c>
      <c r="V471">
        <v>12.9</v>
      </c>
      <c r="W471">
        <v>0</v>
      </c>
      <c r="X471">
        <v>10.747</v>
      </c>
      <c r="Y471" s="3">
        <v>1290</v>
      </c>
      <c r="Z471">
        <v>41</v>
      </c>
      <c r="AA471" t="s">
        <v>50</v>
      </c>
      <c r="AB471">
        <v>0</v>
      </c>
      <c r="AC471">
        <v>0</v>
      </c>
      <c r="AD471" t="s">
        <v>58</v>
      </c>
      <c r="AH471" s="2">
        <v>44525.35</v>
      </c>
      <c r="AI471">
        <v>0</v>
      </c>
      <c r="AJ471">
        <v>0</v>
      </c>
      <c r="AK471" s="30" t="str">
        <f ca="1">VLOOKUP(T471,'Auxiliar Vendas'!E:F,2,FALSE)</f>
        <v>Produto 15</v>
      </c>
      <c r="AL471" s="31">
        <f ca="1">U471*VLOOKUP(T471,'Auxiliar Vendas'!E:G,3,FALSE)</f>
        <v>142</v>
      </c>
    </row>
    <row r="472" spans="1:38">
      <c r="A472">
        <v>15344142814</v>
      </c>
      <c r="B472">
        <v>143</v>
      </c>
      <c r="D472" s="1">
        <v>44524</v>
      </c>
      <c r="E472">
        <v>15179581888</v>
      </c>
      <c r="F472" t="str">
        <f ca="1">VLOOKUP(RANDBETWEEN(1,20),'DBO Compras'!AA:AC,3,0)</f>
        <v>Comprador 14</v>
      </c>
      <c r="G472" t="s">
        <v>54</v>
      </c>
      <c r="H472" t="s">
        <v>55</v>
      </c>
      <c r="I472" t="s">
        <v>56</v>
      </c>
      <c r="J472" t="s">
        <v>39</v>
      </c>
      <c r="K472">
        <v>81350610</v>
      </c>
      <c r="L472" t="s">
        <v>40</v>
      </c>
      <c r="M472" t="s">
        <v>57</v>
      </c>
      <c r="N472">
        <v>41996849234</v>
      </c>
      <c r="O472">
        <v>0</v>
      </c>
      <c r="P472">
        <v>0</v>
      </c>
      <c r="R472" t="s">
        <v>42</v>
      </c>
      <c r="S472">
        <v>15016099089</v>
      </c>
      <c r="T472" t="str">
        <f ca="1">VLOOKUP(RANDBETWEEN(1,17),'Auxiliar Vendas'!D:G,2,0)</f>
        <v>Produto 16</v>
      </c>
      <c r="U472">
        <v>130</v>
      </c>
      <c r="V472">
        <v>10</v>
      </c>
      <c r="W472">
        <v>0</v>
      </c>
      <c r="X472">
        <v>16.804400000000001</v>
      </c>
      <c r="Y472" s="3">
        <v>1300</v>
      </c>
      <c r="Z472">
        <v>41</v>
      </c>
      <c r="AA472" t="s">
        <v>79</v>
      </c>
      <c r="AB472">
        <v>0</v>
      </c>
      <c r="AC472">
        <v>0</v>
      </c>
      <c r="AD472" t="s">
        <v>58</v>
      </c>
      <c r="AH472" s="2">
        <v>44525.35</v>
      </c>
      <c r="AI472">
        <v>0</v>
      </c>
      <c r="AJ472">
        <v>0</v>
      </c>
      <c r="AK472" s="30" t="str">
        <f ca="1">VLOOKUP(T472,'Auxiliar Vendas'!E:F,2,FALSE)</f>
        <v>Produto 16</v>
      </c>
      <c r="AL472" s="31">
        <f ca="1">U472*VLOOKUP(T472,'Auxiliar Vendas'!E:G,3,FALSE)</f>
        <v>165.1</v>
      </c>
    </row>
    <row r="473" spans="1:38">
      <c r="A473">
        <v>15344142814</v>
      </c>
      <c r="B473">
        <v>143</v>
      </c>
      <c r="D473" s="1">
        <v>44524</v>
      </c>
      <c r="E473">
        <v>15179581888</v>
      </c>
      <c r="F473" t="str">
        <f ca="1">VLOOKUP(RANDBETWEEN(1,20),'DBO Compras'!AA:AC,3,0)</f>
        <v>Comprador 13</v>
      </c>
      <c r="G473" t="s">
        <v>54</v>
      </c>
      <c r="H473" t="s">
        <v>55</v>
      </c>
      <c r="I473" t="s">
        <v>56</v>
      </c>
      <c r="J473" t="s">
        <v>39</v>
      </c>
      <c r="K473">
        <v>81350610</v>
      </c>
      <c r="L473" t="s">
        <v>40</v>
      </c>
      <c r="M473" t="s">
        <v>57</v>
      </c>
      <c r="N473">
        <v>41996849234</v>
      </c>
      <c r="O473">
        <v>0</v>
      </c>
      <c r="P473">
        <v>0</v>
      </c>
      <c r="R473" t="s">
        <v>42</v>
      </c>
      <c r="S473">
        <v>15016093155</v>
      </c>
      <c r="T473" t="str">
        <f ca="1">VLOOKUP(RANDBETWEEN(1,17),'Auxiliar Vendas'!D:G,2,0)</f>
        <v>Produto 12</v>
      </c>
      <c r="U473">
        <v>140</v>
      </c>
      <c r="V473">
        <v>8</v>
      </c>
      <c r="W473">
        <v>0</v>
      </c>
      <c r="X473">
        <v>14.4596</v>
      </c>
      <c r="Y473" s="3">
        <v>1120</v>
      </c>
      <c r="Z473">
        <v>41</v>
      </c>
      <c r="AA473" t="s">
        <v>65</v>
      </c>
      <c r="AB473">
        <v>0</v>
      </c>
      <c r="AC473">
        <v>0</v>
      </c>
      <c r="AD473" t="s">
        <v>58</v>
      </c>
      <c r="AH473" s="2">
        <v>44525.35</v>
      </c>
      <c r="AI473">
        <v>0</v>
      </c>
      <c r="AJ473">
        <v>0</v>
      </c>
      <c r="AK473" s="30" t="str">
        <f ca="1">VLOOKUP(T473,'Auxiliar Vendas'!E:F,2,FALSE)</f>
        <v>Produto 12</v>
      </c>
      <c r="AL473" s="31">
        <f ca="1">U473*VLOOKUP(T473,'Auxiliar Vendas'!E:G,3,FALSE)</f>
        <v>196</v>
      </c>
    </row>
    <row r="474" spans="1:38">
      <c r="A474">
        <v>15344142814</v>
      </c>
      <c r="B474">
        <v>143</v>
      </c>
      <c r="D474" s="1">
        <v>44524</v>
      </c>
      <c r="E474">
        <v>15179581888</v>
      </c>
      <c r="F474" t="str">
        <f ca="1">VLOOKUP(RANDBETWEEN(1,20),'DBO Compras'!AA:AC,3,0)</f>
        <v>Comprador 12</v>
      </c>
      <c r="G474" t="s">
        <v>54</v>
      </c>
      <c r="H474" t="s">
        <v>55</v>
      </c>
      <c r="I474" t="s">
        <v>56</v>
      </c>
      <c r="J474" t="s">
        <v>39</v>
      </c>
      <c r="K474">
        <v>81350610</v>
      </c>
      <c r="L474" t="s">
        <v>40</v>
      </c>
      <c r="M474" t="s">
        <v>57</v>
      </c>
      <c r="N474">
        <v>41996849234</v>
      </c>
      <c r="O474">
        <v>0</v>
      </c>
      <c r="P474">
        <v>0</v>
      </c>
      <c r="R474" t="s">
        <v>42</v>
      </c>
      <c r="S474">
        <v>15016043939</v>
      </c>
      <c r="T474" t="str">
        <f ca="1">VLOOKUP(RANDBETWEEN(1,17),'Auxiliar Vendas'!D:G,2,0)</f>
        <v>Produto 11</v>
      </c>
      <c r="U474">
        <v>98</v>
      </c>
      <c r="V474">
        <v>6</v>
      </c>
      <c r="W474">
        <v>0</v>
      </c>
      <c r="X474">
        <v>10.747</v>
      </c>
      <c r="Y474">
        <v>588</v>
      </c>
      <c r="Z474">
        <v>41</v>
      </c>
      <c r="AA474" t="s">
        <v>50</v>
      </c>
      <c r="AB474">
        <v>0</v>
      </c>
      <c r="AC474">
        <v>0</v>
      </c>
      <c r="AD474" t="s">
        <v>58</v>
      </c>
      <c r="AH474" s="2">
        <v>44525.35</v>
      </c>
      <c r="AI474">
        <v>0</v>
      </c>
      <c r="AJ474">
        <v>0</v>
      </c>
      <c r="AK474" s="30" t="str">
        <f ca="1">VLOOKUP(T474,'Auxiliar Vendas'!E:F,2,FALSE)</f>
        <v>Produto 11</v>
      </c>
      <c r="AL474" s="31">
        <f ca="1">U474*VLOOKUP(T474,'Auxiliar Vendas'!E:G,3,FALSE)</f>
        <v>107.80000000000001</v>
      </c>
    </row>
    <row r="475" spans="1:38">
      <c r="A475">
        <v>15344142814</v>
      </c>
      <c r="B475">
        <v>143</v>
      </c>
      <c r="D475" s="1">
        <v>44524</v>
      </c>
      <c r="E475">
        <v>15179581888</v>
      </c>
      <c r="F475" t="str">
        <f ca="1">VLOOKUP(RANDBETWEEN(1,20),'DBO Compras'!AA:AC,3,0)</f>
        <v>Comprador 04</v>
      </c>
      <c r="G475" t="s">
        <v>54</v>
      </c>
      <c r="H475" t="s">
        <v>55</v>
      </c>
      <c r="I475" t="s">
        <v>56</v>
      </c>
      <c r="J475" t="s">
        <v>39</v>
      </c>
      <c r="K475">
        <v>81350610</v>
      </c>
      <c r="L475" t="s">
        <v>40</v>
      </c>
      <c r="M475" t="s">
        <v>57</v>
      </c>
      <c r="N475">
        <v>41996849234</v>
      </c>
      <c r="O475">
        <v>0</v>
      </c>
      <c r="P475">
        <v>0</v>
      </c>
      <c r="R475" t="s">
        <v>42</v>
      </c>
      <c r="S475">
        <v>15016066088</v>
      </c>
      <c r="T475" t="str">
        <f ca="1">VLOOKUP(RANDBETWEEN(1,17),'Auxiliar Vendas'!D:G,2,0)</f>
        <v>Produto 10</v>
      </c>
      <c r="U475">
        <v>46</v>
      </c>
      <c r="V475">
        <v>6</v>
      </c>
      <c r="W475">
        <v>0</v>
      </c>
      <c r="X475">
        <v>10.747</v>
      </c>
      <c r="Y475">
        <v>276</v>
      </c>
      <c r="Z475">
        <v>41</v>
      </c>
      <c r="AA475" t="s">
        <v>126</v>
      </c>
      <c r="AB475">
        <v>0</v>
      </c>
      <c r="AC475">
        <v>0</v>
      </c>
      <c r="AD475" t="s">
        <v>58</v>
      </c>
      <c r="AH475" s="2">
        <v>44525.35</v>
      </c>
      <c r="AI475">
        <v>0</v>
      </c>
      <c r="AJ475">
        <v>0</v>
      </c>
      <c r="AK475" s="30" t="str">
        <f ca="1">VLOOKUP(T475,'Auxiliar Vendas'!E:F,2,FALSE)</f>
        <v>Produto 10</v>
      </c>
      <c r="AL475" s="31">
        <f ca="1">U475*VLOOKUP(T475,'Auxiliar Vendas'!E:G,3,FALSE)</f>
        <v>50.6</v>
      </c>
    </row>
    <row r="476" spans="1:38">
      <c r="A476">
        <v>15344142814</v>
      </c>
      <c r="B476">
        <v>143</v>
      </c>
      <c r="D476" s="1">
        <v>44524</v>
      </c>
      <c r="E476">
        <v>15179581888</v>
      </c>
      <c r="F476" t="str">
        <f ca="1">VLOOKUP(RANDBETWEEN(1,20),'DBO Compras'!AA:AC,3,0)</f>
        <v>Comprador 01</v>
      </c>
      <c r="G476" t="s">
        <v>54</v>
      </c>
      <c r="H476" t="s">
        <v>55</v>
      </c>
      <c r="I476" t="s">
        <v>56</v>
      </c>
      <c r="J476" t="s">
        <v>39</v>
      </c>
      <c r="K476">
        <v>81350610</v>
      </c>
      <c r="L476" t="s">
        <v>40</v>
      </c>
      <c r="M476" t="s">
        <v>57</v>
      </c>
      <c r="N476">
        <v>41996849234</v>
      </c>
      <c r="O476">
        <v>0</v>
      </c>
      <c r="P476">
        <v>0</v>
      </c>
      <c r="R476" t="s">
        <v>42</v>
      </c>
      <c r="S476">
        <v>15015918644</v>
      </c>
      <c r="T476" t="str">
        <f ca="1">VLOOKUP(RANDBETWEEN(1,17),'Auxiliar Vendas'!D:G,2,0)</f>
        <v>Produto 03</v>
      </c>
      <c r="U476">
        <v>200</v>
      </c>
      <c r="V476">
        <v>7.35</v>
      </c>
      <c r="W476">
        <v>0</v>
      </c>
      <c r="X476">
        <v>5.61</v>
      </c>
      <c r="Y476" s="3">
        <v>1470</v>
      </c>
      <c r="Z476">
        <v>41</v>
      </c>
      <c r="AA476" t="s">
        <v>59</v>
      </c>
      <c r="AB476">
        <v>0</v>
      </c>
      <c r="AC476">
        <v>0</v>
      </c>
      <c r="AD476" t="s">
        <v>58</v>
      </c>
      <c r="AH476" s="2">
        <v>44525.35</v>
      </c>
      <c r="AI476">
        <v>0</v>
      </c>
      <c r="AJ476">
        <v>0</v>
      </c>
      <c r="AK476" s="30" t="str">
        <f ca="1">VLOOKUP(T476,'Auxiliar Vendas'!E:F,2,FALSE)</f>
        <v>Produto 03</v>
      </c>
      <c r="AL476" s="31">
        <f ca="1">U476*VLOOKUP(T476,'Auxiliar Vendas'!E:G,3,FALSE)</f>
        <v>120</v>
      </c>
    </row>
    <row r="477" spans="1:38">
      <c r="A477">
        <v>15344144850</v>
      </c>
      <c r="B477">
        <v>144</v>
      </c>
      <c r="D477" s="1">
        <v>44524</v>
      </c>
      <c r="E477">
        <v>15179608501</v>
      </c>
      <c r="F477" t="str">
        <f ca="1">VLOOKUP(RANDBETWEEN(1,20),'DBO Compras'!AA:AC,3,0)</f>
        <v>Comprador 18</v>
      </c>
      <c r="G477" t="s">
        <v>60</v>
      </c>
      <c r="H477" t="s">
        <v>61</v>
      </c>
      <c r="I477" t="s">
        <v>62</v>
      </c>
      <c r="J477" t="s">
        <v>39</v>
      </c>
      <c r="K477">
        <v>82720070</v>
      </c>
      <c r="L477" t="s">
        <v>40</v>
      </c>
      <c r="M477" t="s">
        <v>63</v>
      </c>
      <c r="N477">
        <v>41992354686</v>
      </c>
      <c r="O477">
        <v>0</v>
      </c>
      <c r="P477">
        <v>0</v>
      </c>
      <c r="R477" t="s">
        <v>42</v>
      </c>
      <c r="S477">
        <v>15016093155</v>
      </c>
      <c r="T477" t="str">
        <f ca="1">VLOOKUP(RANDBETWEEN(1,17),'Auxiliar Vendas'!D:G,2,0)</f>
        <v>Produto 02</v>
      </c>
      <c r="U477">
        <v>200</v>
      </c>
      <c r="V477">
        <v>18.100000000000001</v>
      </c>
      <c r="W477">
        <v>0</v>
      </c>
      <c r="X477">
        <v>14.4596</v>
      </c>
      <c r="Y477" s="3">
        <v>3620</v>
      </c>
      <c r="Z477">
        <v>42</v>
      </c>
      <c r="AA477" t="s">
        <v>65</v>
      </c>
      <c r="AB477">
        <v>0</v>
      </c>
      <c r="AC477">
        <v>0</v>
      </c>
      <c r="AD477" t="s">
        <v>58</v>
      </c>
      <c r="AH477" s="2">
        <v>44525.334027777775</v>
      </c>
      <c r="AI477">
        <v>0</v>
      </c>
      <c r="AJ477">
        <v>0</v>
      </c>
      <c r="AK477" s="30" t="str">
        <f ca="1">VLOOKUP(T477,'Auxiliar Vendas'!E:F,2,FALSE)</f>
        <v>Produto 02</v>
      </c>
      <c r="AL477" s="31">
        <f ca="1">U477*VLOOKUP(T477,'Auxiliar Vendas'!E:G,3,FALSE)</f>
        <v>54</v>
      </c>
    </row>
    <row r="478" spans="1:38">
      <c r="A478">
        <v>15344144850</v>
      </c>
      <c r="B478">
        <v>144</v>
      </c>
      <c r="D478" s="1">
        <v>44524</v>
      </c>
      <c r="E478">
        <v>15179608501</v>
      </c>
      <c r="F478" t="str">
        <f ca="1">VLOOKUP(RANDBETWEEN(1,20),'DBO Compras'!AA:AC,3,0)</f>
        <v>Comprador 14</v>
      </c>
      <c r="G478" t="s">
        <v>60</v>
      </c>
      <c r="H478" t="s">
        <v>61</v>
      </c>
      <c r="I478" t="s">
        <v>62</v>
      </c>
      <c r="J478" t="s">
        <v>39</v>
      </c>
      <c r="K478">
        <v>82720070</v>
      </c>
      <c r="L478" t="s">
        <v>40</v>
      </c>
      <c r="M478" t="s">
        <v>63</v>
      </c>
      <c r="N478">
        <v>41992354686</v>
      </c>
      <c r="O478">
        <v>0</v>
      </c>
      <c r="P478">
        <v>0</v>
      </c>
      <c r="R478" t="s">
        <v>42</v>
      </c>
      <c r="S478">
        <v>15016080333</v>
      </c>
      <c r="T478" t="str">
        <f ca="1">VLOOKUP(RANDBETWEEN(1,17),'Auxiliar Vendas'!D:G,2,0)</f>
        <v>Produto 02</v>
      </c>
      <c r="U478">
        <v>200</v>
      </c>
      <c r="V478">
        <v>13.9</v>
      </c>
      <c r="W478">
        <v>0</v>
      </c>
      <c r="X478">
        <v>10.747</v>
      </c>
      <c r="Y478" s="3">
        <v>2780</v>
      </c>
      <c r="Z478">
        <v>42</v>
      </c>
      <c r="AA478" t="s">
        <v>80</v>
      </c>
      <c r="AB478">
        <v>0</v>
      </c>
      <c r="AC478">
        <v>0</v>
      </c>
      <c r="AD478" t="s">
        <v>58</v>
      </c>
      <c r="AH478" s="2">
        <v>44525.334027777775</v>
      </c>
      <c r="AI478">
        <v>0</v>
      </c>
      <c r="AJ478">
        <v>0</v>
      </c>
      <c r="AK478" s="30" t="str">
        <f ca="1">VLOOKUP(T478,'Auxiliar Vendas'!E:F,2,FALSE)</f>
        <v>Produto 02</v>
      </c>
      <c r="AL478" s="31">
        <f ca="1">U478*VLOOKUP(T478,'Auxiliar Vendas'!E:G,3,FALSE)</f>
        <v>54</v>
      </c>
    </row>
    <row r="479" spans="1:38">
      <c r="A479">
        <v>15344144850</v>
      </c>
      <c r="B479">
        <v>144</v>
      </c>
      <c r="D479" s="1">
        <v>44524</v>
      </c>
      <c r="E479">
        <v>15179608501</v>
      </c>
      <c r="F479" t="str">
        <f ca="1">VLOOKUP(RANDBETWEEN(1,20),'DBO Compras'!AA:AC,3,0)</f>
        <v>Comprador 12</v>
      </c>
      <c r="G479" t="s">
        <v>60</v>
      </c>
      <c r="H479" t="s">
        <v>61</v>
      </c>
      <c r="I479" t="s">
        <v>62</v>
      </c>
      <c r="J479" t="s">
        <v>39</v>
      </c>
      <c r="K479">
        <v>82720070</v>
      </c>
      <c r="L479" t="s">
        <v>40</v>
      </c>
      <c r="M479" t="s">
        <v>63</v>
      </c>
      <c r="N479">
        <v>41992354686</v>
      </c>
      <c r="O479">
        <v>0</v>
      </c>
      <c r="P479">
        <v>0</v>
      </c>
      <c r="R479" t="s">
        <v>42</v>
      </c>
      <c r="S479">
        <v>15016087271</v>
      </c>
      <c r="T479" t="str">
        <f ca="1">VLOOKUP(RANDBETWEEN(1,17),'Auxiliar Vendas'!D:G,2,0)</f>
        <v>Produto 16</v>
      </c>
      <c r="U479">
        <v>200</v>
      </c>
      <c r="V479">
        <v>18.100000000000001</v>
      </c>
      <c r="W479">
        <v>0</v>
      </c>
      <c r="X479">
        <v>14.4596</v>
      </c>
      <c r="Y479" s="3">
        <v>3620</v>
      </c>
      <c r="Z479">
        <v>42</v>
      </c>
      <c r="AA479" t="s">
        <v>64</v>
      </c>
      <c r="AB479">
        <v>0</v>
      </c>
      <c r="AC479">
        <v>0</v>
      </c>
      <c r="AD479" t="s">
        <v>58</v>
      </c>
      <c r="AH479" s="2">
        <v>44525.334027777775</v>
      </c>
      <c r="AI479">
        <v>0</v>
      </c>
      <c r="AJ479">
        <v>0</v>
      </c>
      <c r="AK479" s="30" t="str">
        <f ca="1">VLOOKUP(T479,'Auxiliar Vendas'!E:F,2,FALSE)</f>
        <v>Produto 16</v>
      </c>
      <c r="AL479" s="31">
        <f ca="1">U479*VLOOKUP(T479,'Auxiliar Vendas'!E:G,3,FALSE)</f>
        <v>254</v>
      </c>
    </row>
    <row r="480" spans="1:38">
      <c r="A480">
        <v>15350656598</v>
      </c>
      <c r="B480">
        <v>146</v>
      </c>
      <c r="D480" s="1">
        <v>44524</v>
      </c>
      <c r="E480">
        <v>15059089666</v>
      </c>
      <c r="F480" t="str">
        <f ca="1">VLOOKUP(RANDBETWEEN(1,20),'DBO Compras'!AA:AC,3,0)</f>
        <v>Comprador 13</v>
      </c>
      <c r="G480" t="s">
        <v>190</v>
      </c>
      <c r="H480" t="s">
        <v>191</v>
      </c>
      <c r="I480" t="s">
        <v>192</v>
      </c>
      <c r="J480" t="s">
        <v>193</v>
      </c>
      <c r="K480">
        <v>89216222</v>
      </c>
      <c r="L480" t="s">
        <v>92</v>
      </c>
      <c r="M480" t="s">
        <v>194</v>
      </c>
      <c r="N480">
        <v>4730290337</v>
      </c>
      <c r="O480">
        <v>0</v>
      </c>
      <c r="P480">
        <v>0</v>
      </c>
      <c r="R480" t="s">
        <v>42</v>
      </c>
      <c r="S480">
        <v>15016087271</v>
      </c>
      <c r="T480" t="str">
        <f ca="1">VLOOKUP(RANDBETWEEN(1,17),'Auxiliar Vendas'!D:G,2,0)</f>
        <v>Produto 07</v>
      </c>
      <c r="U480">
        <v>100</v>
      </c>
      <c r="V480">
        <v>17.8</v>
      </c>
      <c r="W480">
        <v>0</v>
      </c>
      <c r="X480">
        <v>14.4596</v>
      </c>
      <c r="Y480" s="3">
        <v>1780</v>
      </c>
      <c r="Z480">
        <v>31</v>
      </c>
      <c r="AA480" t="s">
        <v>64</v>
      </c>
      <c r="AB480">
        <v>0</v>
      </c>
      <c r="AC480">
        <v>0</v>
      </c>
      <c r="AD480" t="s">
        <v>189</v>
      </c>
      <c r="AH480" s="2">
        <v>44524.423611111109</v>
      </c>
      <c r="AI480">
        <v>0</v>
      </c>
      <c r="AJ480">
        <v>0</v>
      </c>
      <c r="AK480" s="30" t="str">
        <f ca="1">VLOOKUP(T480,'Auxiliar Vendas'!E:F,2,FALSE)</f>
        <v>Produto 07</v>
      </c>
      <c r="AL480" s="31">
        <f ca="1">U480*VLOOKUP(T480,'Auxiliar Vendas'!E:G,3,FALSE)</f>
        <v>110.00000000000001</v>
      </c>
    </row>
    <row r="481" spans="1:38">
      <c r="A481">
        <v>15350656598</v>
      </c>
      <c r="B481">
        <v>146</v>
      </c>
      <c r="D481" s="1">
        <v>44524</v>
      </c>
      <c r="E481">
        <v>15059089666</v>
      </c>
      <c r="F481" t="str">
        <f ca="1">VLOOKUP(RANDBETWEEN(1,20),'DBO Compras'!AA:AC,3,0)</f>
        <v>Comprador 11</v>
      </c>
      <c r="G481" t="s">
        <v>190</v>
      </c>
      <c r="H481" t="s">
        <v>191</v>
      </c>
      <c r="I481" t="s">
        <v>192</v>
      </c>
      <c r="J481" t="s">
        <v>193</v>
      </c>
      <c r="K481">
        <v>89216222</v>
      </c>
      <c r="L481" t="s">
        <v>92</v>
      </c>
      <c r="M481" t="s">
        <v>194</v>
      </c>
      <c r="N481">
        <v>4730290337</v>
      </c>
      <c r="O481">
        <v>0</v>
      </c>
      <c r="P481">
        <v>0</v>
      </c>
      <c r="R481" t="s">
        <v>42</v>
      </c>
      <c r="S481">
        <v>15016099089</v>
      </c>
      <c r="T481" t="str">
        <f ca="1">VLOOKUP(RANDBETWEEN(1,17),'Auxiliar Vendas'!D:G,2,0)</f>
        <v>Produto 13</v>
      </c>
      <c r="U481">
        <v>150</v>
      </c>
      <c r="V481">
        <v>20.79</v>
      </c>
      <c r="W481">
        <v>0</v>
      </c>
      <c r="X481">
        <v>16.804400000000001</v>
      </c>
      <c r="Y481" s="3">
        <v>3118.5</v>
      </c>
      <c r="Z481">
        <v>31</v>
      </c>
      <c r="AA481" t="s">
        <v>79</v>
      </c>
      <c r="AB481">
        <v>0</v>
      </c>
      <c r="AC481">
        <v>0</v>
      </c>
      <c r="AD481" t="s">
        <v>189</v>
      </c>
      <c r="AH481" s="2">
        <v>44524.423611111109</v>
      </c>
      <c r="AI481">
        <v>0</v>
      </c>
      <c r="AJ481">
        <v>0</v>
      </c>
      <c r="AK481" s="30" t="str">
        <f ca="1">VLOOKUP(T481,'Auxiliar Vendas'!E:F,2,FALSE)</f>
        <v>Produto 13</v>
      </c>
      <c r="AL481" s="31">
        <f ca="1">U481*VLOOKUP(T481,'Auxiliar Vendas'!E:G,3,FALSE)</f>
        <v>210</v>
      </c>
    </row>
    <row r="482" spans="1:38">
      <c r="A482">
        <v>15350656598</v>
      </c>
      <c r="B482">
        <v>146</v>
      </c>
      <c r="D482" s="1">
        <v>44524</v>
      </c>
      <c r="E482">
        <v>15059089666</v>
      </c>
      <c r="F482" t="str">
        <f ca="1">VLOOKUP(RANDBETWEEN(1,20),'DBO Compras'!AA:AC,3,0)</f>
        <v>Comprador 20</v>
      </c>
      <c r="G482" t="s">
        <v>190</v>
      </c>
      <c r="H482" t="s">
        <v>191</v>
      </c>
      <c r="I482" t="s">
        <v>192</v>
      </c>
      <c r="J482" t="s">
        <v>193</v>
      </c>
      <c r="K482">
        <v>89216222</v>
      </c>
      <c r="L482" t="s">
        <v>92</v>
      </c>
      <c r="M482" t="s">
        <v>194</v>
      </c>
      <c r="N482">
        <v>4730290337</v>
      </c>
      <c r="O482">
        <v>0</v>
      </c>
      <c r="P482">
        <v>0</v>
      </c>
      <c r="R482" t="s">
        <v>42</v>
      </c>
      <c r="S482">
        <v>15015918644</v>
      </c>
      <c r="T482" t="str">
        <f ca="1">VLOOKUP(RANDBETWEEN(1,17),'Auxiliar Vendas'!D:G,2,0)</f>
        <v>Produto 15</v>
      </c>
      <c r="U482">
        <v>90</v>
      </c>
      <c r="V482">
        <v>7.9</v>
      </c>
      <c r="W482">
        <v>0</v>
      </c>
      <c r="X482">
        <v>5.61</v>
      </c>
      <c r="Y482">
        <v>711</v>
      </c>
      <c r="Z482">
        <v>31</v>
      </c>
      <c r="AA482" t="s">
        <v>59</v>
      </c>
      <c r="AB482">
        <v>0</v>
      </c>
      <c r="AC482">
        <v>0</v>
      </c>
      <c r="AD482" t="s">
        <v>189</v>
      </c>
      <c r="AH482" s="2">
        <v>44524.423611111109</v>
      </c>
      <c r="AI482">
        <v>0</v>
      </c>
      <c r="AJ482">
        <v>0</v>
      </c>
      <c r="AK482" s="30" t="str">
        <f ca="1">VLOOKUP(T482,'Auxiliar Vendas'!E:F,2,FALSE)</f>
        <v>Produto 15</v>
      </c>
      <c r="AL482" s="31">
        <f ca="1">U482*VLOOKUP(T482,'Auxiliar Vendas'!E:G,3,FALSE)</f>
        <v>127.8</v>
      </c>
    </row>
    <row r="483" spans="1:38">
      <c r="A483">
        <v>15350656598</v>
      </c>
      <c r="B483">
        <v>146</v>
      </c>
      <c r="D483" s="1">
        <v>44524</v>
      </c>
      <c r="E483">
        <v>15059089666</v>
      </c>
      <c r="F483" t="str">
        <f ca="1">VLOOKUP(RANDBETWEEN(1,20),'DBO Compras'!AA:AC,3,0)</f>
        <v>Comprador 17</v>
      </c>
      <c r="G483" t="s">
        <v>190</v>
      </c>
      <c r="H483" t="s">
        <v>191</v>
      </c>
      <c r="I483" t="s">
        <v>192</v>
      </c>
      <c r="J483" t="s">
        <v>193</v>
      </c>
      <c r="K483">
        <v>89216222</v>
      </c>
      <c r="L483" t="s">
        <v>92</v>
      </c>
      <c r="M483" t="s">
        <v>194</v>
      </c>
      <c r="N483">
        <v>4730290337</v>
      </c>
      <c r="O483">
        <v>0</v>
      </c>
      <c r="P483">
        <v>0</v>
      </c>
      <c r="R483" t="s">
        <v>42</v>
      </c>
      <c r="S483">
        <v>15016043939</v>
      </c>
      <c r="T483" t="str">
        <f ca="1">VLOOKUP(RANDBETWEEN(1,17),'Auxiliar Vendas'!D:G,2,0)</f>
        <v>Produto 12</v>
      </c>
      <c r="U483">
        <v>130</v>
      </c>
      <c r="V483">
        <v>13.5</v>
      </c>
      <c r="W483">
        <v>0</v>
      </c>
      <c r="X483">
        <v>10.747</v>
      </c>
      <c r="Y483" s="3">
        <v>1755</v>
      </c>
      <c r="Z483">
        <v>31</v>
      </c>
      <c r="AA483" t="s">
        <v>50</v>
      </c>
      <c r="AB483">
        <v>0</v>
      </c>
      <c r="AC483">
        <v>0</v>
      </c>
      <c r="AD483" t="s">
        <v>189</v>
      </c>
      <c r="AH483" s="2">
        <v>44524.423611111109</v>
      </c>
      <c r="AI483">
        <v>0</v>
      </c>
      <c r="AJ483">
        <v>0</v>
      </c>
      <c r="AK483" s="30" t="str">
        <f ca="1">VLOOKUP(T483,'Auxiliar Vendas'!E:F,2,FALSE)</f>
        <v>Produto 12</v>
      </c>
      <c r="AL483" s="31">
        <f ca="1">U483*VLOOKUP(T483,'Auxiliar Vendas'!E:G,3,FALSE)</f>
        <v>182</v>
      </c>
    </row>
    <row r="484" spans="1:38">
      <c r="A484">
        <v>15350656598</v>
      </c>
      <c r="B484">
        <v>146</v>
      </c>
      <c r="D484" s="1">
        <v>44524</v>
      </c>
      <c r="E484">
        <v>15059089666</v>
      </c>
      <c r="F484" t="str">
        <f ca="1">VLOOKUP(RANDBETWEEN(1,20),'DBO Compras'!AA:AC,3,0)</f>
        <v>Comprador 17</v>
      </c>
      <c r="G484" t="s">
        <v>190</v>
      </c>
      <c r="H484" t="s">
        <v>191</v>
      </c>
      <c r="I484" t="s">
        <v>192</v>
      </c>
      <c r="J484" t="s">
        <v>193</v>
      </c>
      <c r="K484">
        <v>89216222</v>
      </c>
      <c r="L484" t="s">
        <v>92</v>
      </c>
      <c r="M484" t="s">
        <v>194</v>
      </c>
      <c r="N484">
        <v>4730290337</v>
      </c>
      <c r="O484">
        <v>0</v>
      </c>
      <c r="P484">
        <v>0</v>
      </c>
      <c r="R484" t="s">
        <v>42</v>
      </c>
      <c r="S484">
        <v>15015511068</v>
      </c>
      <c r="T484" t="str">
        <f ca="1">VLOOKUP(RANDBETWEEN(1,17),'Auxiliar Vendas'!D:G,2,0)</f>
        <v>Produto 01</v>
      </c>
      <c r="U484">
        <v>100</v>
      </c>
      <c r="V484">
        <v>16.100000000000001</v>
      </c>
      <c r="W484">
        <v>0</v>
      </c>
      <c r="X484">
        <v>10.23</v>
      </c>
      <c r="Y484" s="3">
        <v>1610</v>
      </c>
      <c r="Z484">
        <v>31</v>
      </c>
      <c r="AA484" t="s">
        <v>53</v>
      </c>
      <c r="AB484">
        <v>0</v>
      </c>
      <c r="AC484">
        <v>0</v>
      </c>
      <c r="AD484" t="s">
        <v>189</v>
      </c>
      <c r="AH484" s="2">
        <v>44524.423611111109</v>
      </c>
      <c r="AI484">
        <v>0</v>
      </c>
      <c r="AJ484">
        <v>0</v>
      </c>
      <c r="AK484" s="30" t="str">
        <f ca="1">VLOOKUP(T484,'Auxiliar Vendas'!E:F,2,FALSE)</f>
        <v>Produto 01</v>
      </c>
      <c r="AL484" s="31">
        <f ca="1">U484*VLOOKUP(T484,'Auxiliar Vendas'!E:G,3,FALSE)</f>
        <v>40</v>
      </c>
    </row>
    <row r="485" spans="1:38">
      <c r="A485">
        <v>15350724383</v>
      </c>
      <c r="B485">
        <v>147</v>
      </c>
      <c r="D485" s="1">
        <v>44524</v>
      </c>
      <c r="E485">
        <v>15059049115</v>
      </c>
      <c r="F485" t="str">
        <f ca="1">VLOOKUP(RANDBETWEEN(1,20),'DBO Compras'!AA:AC,3,0)</f>
        <v>Comprador 10</v>
      </c>
      <c r="G485" t="s">
        <v>185</v>
      </c>
      <c r="H485" t="s">
        <v>186</v>
      </c>
      <c r="I485" t="s">
        <v>187</v>
      </c>
      <c r="J485" t="s">
        <v>188</v>
      </c>
      <c r="K485">
        <v>88220000</v>
      </c>
      <c r="L485" t="s">
        <v>92</v>
      </c>
      <c r="O485">
        <v>0</v>
      </c>
      <c r="P485">
        <v>0</v>
      </c>
      <c r="R485" t="s">
        <v>42</v>
      </c>
      <c r="S485">
        <v>15016043939</v>
      </c>
      <c r="T485" t="str">
        <f ca="1">VLOOKUP(RANDBETWEEN(1,17),'Auxiliar Vendas'!D:G,2,0)</f>
        <v>Produto 09</v>
      </c>
      <c r="U485">
        <v>800</v>
      </c>
      <c r="V485">
        <v>13.5</v>
      </c>
      <c r="W485">
        <v>0</v>
      </c>
      <c r="X485">
        <v>10.747</v>
      </c>
      <c r="Y485" s="3">
        <v>10800</v>
      </c>
      <c r="Z485">
        <v>29</v>
      </c>
      <c r="AA485" t="s">
        <v>50</v>
      </c>
      <c r="AB485">
        <v>0</v>
      </c>
      <c r="AC485">
        <v>0</v>
      </c>
      <c r="AD485" t="s">
        <v>189</v>
      </c>
      <c r="AH485" s="2">
        <v>44524.425694444442</v>
      </c>
      <c r="AI485">
        <v>0</v>
      </c>
      <c r="AJ485">
        <v>0</v>
      </c>
      <c r="AK485" s="30" t="str">
        <f ca="1">VLOOKUP(T485,'Auxiliar Vendas'!E:F,2,FALSE)</f>
        <v>Produto 09</v>
      </c>
      <c r="AL485" s="31">
        <f ca="1">U485*VLOOKUP(T485,'Auxiliar Vendas'!E:G,3,FALSE)</f>
        <v>880.00000000000011</v>
      </c>
    </row>
    <row r="486" spans="1:38">
      <c r="A486">
        <v>15350724383</v>
      </c>
      <c r="B486">
        <v>147</v>
      </c>
      <c r="D486" s="1">
        <v>44524</v>
      </c>
      <c r="E486">
        <v>15059049115</v>
      </c>
      <c r="F486" t="str">
        <f ca="1">VLOOKUP(RANDBETWEEN(1,20),'DBO Compras'!AA:AC,3,0)</f>
        <v>Comprador 10</v>
      </c>
      <c r="G486" t="s">
        <v>185</v>
      </c>
      <c r="H486" t="s">
        <v>186</v>
      </c>
      <c r="I486" t="s">
        <v>187</v>
      </c>
      <c r="J486" t="s">
        <v>188</v>
      </c>
      <c r="K486">
        <v>88220000</v>
      </c>
      <c r="L486" t="s">
        <v>92</v>
      </c>
      <c r="O486">
        <v>0</v>
      </c>
      <c r="P486">
        <v>0</v>
      </c>
      <c r="R486" t="s">
        <v>42</v>
      </c>
      <c r="S486">
        <v>15016099089</v>
      </c>
      <c r="T486" t="str">
        <f ca="1">VLOOKUP(RANDBETWEEN(1,17),'Auxiliar Vendas'!D:G,2,0)</f>
        <v>Produto 09</v>
      </c>
      <c r="U486">
        <v>300</v>
      </c>
      <c r="V486">
        <v>20.79</v>
      </c>
      <c r="W486">
        <v>0</v>
      </c>
      <c r="X486">
        <v>16.804400000000001</v>
      </c>
      <c r="Y486" s="3">
        <v>6237</v>
      </c>
      <c r="Z486">
        <v>29</v>
      </c>
      <c r="AA486" t="s">
        <v>79</v>
      </c>
      <c r="AB486">
        <v>0</v>
      </c>
      <c r="AC486">
        <v>0</v>
      </c>
      <c r="AD486" t="s">
        <v>189</v>
      </c>
      <c r="AH486" s="2">
        <v>44524.425694444442</v>
      </c>
      <c r="AI486">
        <v>0</v>
      </c>
      <c r="AJ486">
        <v>0</v>
      </c>
      <c r="AK486" s="30" t="str">
        <f ca="1">VLOOKUP(T486,'Auxiliar Vendas'!E:F,2,FALSE)</f>
        <v>Produto 09</v>
      </c>
      <c r="AL486" s="31">
        <f ca="1">U486*VLOOKUP(T486,'Auxiliar Vendas'!E:G,3,FALSE)</f>
        <v>330</v>
      </c>
    </row>
    <row r="487" spans="1:38">
      <c r="A487">
        <v>15350724383</v>
      </c>
      <c r="B487">
        <v>147</v>
      </c>
      <c r="D487" s="1">
        <v>44524</v>
      </c>
      <c r="E487">
        <v>15059049115</v>
      </c>
      <c r="F487" t="str">
        <f ca="1">VLOOKUP(RANDBETWEEN(1,20),'DBO Compras'!AA:AC,3,0)</f>
        <v>Comprador 05</v>
      </c>
      <c r="G487" t="s">
        <v>185</v>
      </c>
      <c r="H487" t="s">
        <v>186</v>
      </c>
      <c r="I487" t="s">
        <v>187</v>
      </c>
      <c r="J487" t="s">
        <v>188</v>
      </c>
      <c r="K487">
        <v>88220000</v>
      </c>
      <c r="L487" t="s">
        <v>92</v>
      </c>
      <c r="O487">
        <v>0</v>
      </c>
      <c r="P487">
        <v>0</v>
      </c>
      <c r="R487" t="s">
        <v>42</v>
      </c>
      <c r="S487">
        <v>15016087271</v>
      </c>
      <c r="T487" t="str">
        <f ca="1">VLOOKUP(RANDBETWEEN(1,17),'Auxiliar Vendas'!D:G,2,0)</f>
        <v>Produto 04</v>
      </c>
      <c r="U487">
        <v>100</v>
      </c>
      <c r="V487">
        <v>17.8</v>
      </c>
      <c r="W487">
        <v>0</v>
      </c>
      <c r="X487">
        <v>14.4596</v>
      </c>
      <c r="Y487" s="3">
        <v>1780</v>
      </c>
      <c r="Z487">
        <v>29</v>
      </c>
      <c r="AA487" t="s">
        <v>64</v>
      </c>
      <c r="AB487">
        <v>0</v>
      </c>
      <c r="AC487">
        <v>0</v>
      </c>
      <c r="AD487" t="s">
        <v>189</v>
      </c>
      <c r="AH487" s="2">
        <v>44524.425694444442</v>
      </c>
      <c r="AI487">
        <v>0</v>
      </c>
      <c r="AJ487">
        <v>0</v>
      </c>
      <c r="AK487" s="30" t="str">
        <f ca="1">VLOOKUP(T487,'Auxiliar Vendas'!E:F,2,FALSE)</f>
        <v>Produto 04</v>
      </c>
      <c r="AL487" s="31">
        <f ca="1">U487*VLOOKUP(T487,'Auxiliar Vendas'!E:G,3,FALSE)</f>
        <v>60</v>
      </c>
    </row>
    <row r="488" spans="1:38">
      <c r="A488">
        <v>15350908694</v>
      </c>
      <c r="B488">
        <v>148</v>
      </c>
      <c r="D488" s="1">
        <v>44524</v>
      </c>
      <c r="E488">
        <v>15272395368</v>
      </c>
      <c r="F488" t="str">
        <f ca="1">VLOOKUP(RANDBETWEEN(1,20),'DBO Compras'!AA:AC,3,0)</f>
        <v>Comprador 03</v>
      </c>
      <c r="G488" t="s">
        <v>210</v>
      </c>
      <c r="H488" t="s">
        <v>211</v>
      </c>
      <c r="I488" t="s">
        <v>212</v>
      </c>
      <c r="J488" t="s">
        <v>213</v>
      </c>
      <c r="K488">
        <v>88130780</v>
      </c>
      <c r="L488" t="s">
        <v>92</v>
      </c>
      <c r="M488" t="s">
        <v>214</v>
      </c>
      <c r="N488">
        <v>4833440100</v>
      </c>
      <c r="O488">
        <v>0</v>
      </c>
      <c r="P488">
        <v>0</v>
      </c>
      <c r="R488" t="s">
        <v>42</v>
      </c>
      <c r="S488">
        <v>15015511068</v>
      </c>
      <c r="T488" t="str">
        <f ca="1">VLOOKUP(RANDBETWEEN(1,17),'Auxiliar Vendas'!D:G,2,0)</f>
        <v>Produto 08</v>
      </c>
      <c r="U488">
        <v>300</v>
      </c>
      <c r="V488">
        <v>16.100000000000001</v>
      </c>
      <c r="W488">
        <v>0</v>
      </c>
      <c r="X488">
        <v>10.23</v>
      </c>
      <c r="Y488" s="3">
        <v>4830</v>
      </c>
      <c r="Z488">
        <v>65</v>
      </c>
      <c r="AA488" t="s">
        <v>53</v>
      </c>
      <c r="AB488">
        <v>0</v>
      </c>
      <c r="AC488">
        <v>0</v>
      </c>
      <c r="AD488" t="s">
        <v>189</v>
      </c>
      <c r="AH488" s="2">
        <v>44525.334027777775</v>
      </c>
      <c r="AI488">
        <v>0</v>
      </c>
      <c r="AJ488">
        <v>0</v>
      </c>
      <c r="AK488" s="30" t="str">
        <f ca="1">VLOOKUP(T488,'Auxiliar Vendas'!E:F,2,FALSE)</f>
        <v>Produto 08</v>
      </c>
      <c r="AL488" s="31">
        <f ca="1">U488*VLOOKUP(T488,'Auxiliar Vendas'!E:G,3,FALSE)</f>
        <v>330</v>
      </c>
    </row>
    <row r="489" spans="1:38">
      <c r="A489">
        <v>15350908694</v>
      </c>
      <c r="B489">
        <v>148</v>
      </c>
      <c r="D489" s="1">
        <v>44524</v>
      </c>
      <c r="E489">
        <v>15272395368</v>
      </c>
      <c r="F489" t="str">
        <f ca="1">VLOOKUP(RANDBETWEEN(1,20),'DBO Compras'!AA:AC,3,0)</f>
        <v>Comprador 09</v>
      </c>
      <c r="G489" t="s">
        <v>210</v>
      </c>
      <c r="H489" t="s">
        <v>211</v>
      </c>
      <c r="I489" t="s">
        <v>212</v>
      </c>
      <c r="J489" t="s">
        <v>213</v>
      </c>
      <c r="K489">
        <v>88130780</v>
      </c>
      <c r="L489" t="s">
        <v>92</v>
      </c>
      <c r="M489" t="s">
        <v>214</v>
      </c>
      <c r="N489">
        <v>4833440100</v>
      </c>
      <c r="O489">
        <v>0</v>
      </c>
      <c r="P489">
        <v>0</v>
      </c>
      <c r="R489" t="s">
        <v>42</v>
      </c>
      <c r="S489">
        <v>15139727614</v>
      </c>
      <c r="T489" t="str">
        <f ca="1">VLOOKUP(RANDBETWEEN(1,17),'Auxiliar Vendas'!D:G,2,0)</f>
        <v>Produto 06</v>
      </c>
      <c r="U489">
        <v>50</v>
      </c>
      <c r="V489">
        <v>23.8</v>
      </c>
      <c r="W489">
        <v>0</v>
      </c>
      <c r="X489">
        <v>0</v>
      </c>
      <c r="Y489" s="3">
        <v>1190</v>
      </c>
      <c r="Z489">
        <v>65</v>
      </c>
      <c r="AA489" t="s">
        <v>146</v>
      </c>
      <c r="AB489">
        <v>0</v>
      </c>
      <c r="AC489">
        <v>0</v>
      </c>
      <c r="AD489" t="s">
        <v>189</v>
      </c>
      <c r="AH489" s="2">
        <v>44525.334027777775</v>
      </c>
      <c r="AI489">
        <v>0</v>
      </c>
      <c r="AJ489">
        <v>0</v>
      </c>
      <c r="AK489" s="30" t="str">
        <f ca="1">VLOOKUP(T489,'Auxiliar Vendas'!E:F,2,FALSE)</f>
        <v>Produto 06</v>
      </c>
      <c r="AL489" s="31">
        <f ca="1">U489*VLOOKUP(T489,'Auxiliar Vendas'!E:G,3,FALSE)</f>
        <v>25</v>
      </c>
    </row>
    <row r="490" spans="1:38">
      <c r="A490">
        <v>15350908694</v>
      </c>
      <c r="B490">
        <v>148</v>
      </c>
      <c r="D490" s="1">
        <v>44524</v>
      </c>
      <c r="E490">
        <v>15272395368</v>
      </c>
      <c r="F490" t="str">
        <f ca="1">VLOOKUP(RANDBETWEEN(1,20),'DBO Compras'!AA:AC,3,0)</f>
        <v>Comprador 10</v>
      </c>
      <c r="G490" t="s">
        <v>210</v>
      </c>
      <c r="H490" t="s">
        <v>211</v>
      </c>
      <c r="I490" t="s">
        <v>212</v>
      </c>
      <c r="J490" t="s">
        <v>213</v>
      </c>
      <c r="K490">
        <v>88130780</v>
      </c>
      <c r="L490" t="s">
        <v>92</v>
      </c>
      <c r="M490" t="s">
        <v>214</v>
      </c>
      <c r="N490">
        <v>4833440100</v>
      </c>
      <c r="O490">
        <v>0</v>
      </c>
      <c r="P490">
        <v>0</v>
      </c>
      <c r="R490" t="s">
        <v>42</v>
      </c>
      <c r="S490">
        <v>15016093155</v>
      </c>
      <c r="T490" t="str">
        <f ca="1">VLOOKUP(RANDBETWEEN(1,17),'Auxiliar Vendas'!D:G,2,0)</f>
        <v>Produto 01</v>
      </c>
      <c r="U490">
        <v>300</v>
      </c>
      <c r="V490">
        <v>17.989999999999998</v>
      </c>
      <c r="W490">
        <v>0</v>
      </c>
      <c r="X490">
        <v>14.4596</v>
      </c>
      <c r="Y490" s="3">
        <v>5397</v>
      </c>
      <c r="Z490">
        <v>65</v>
      </c>
      <c r="AA490" t="s">
        <v>65</v>
      </c>
      <c r="AB490">
        <v>0</v>
      </c>
      <c r="AC490">
        <v>0</v>
      </c>
      <c r="AD490" t="s">
        <v>189</v>
      </c>
      <c r="AH490" s="2">
        <v>44525.334027777775</v>
      </c>
      <c r="AI490">
        <v>0</v>
      </c>
      <c r="AJ490">
        <v>0</v>
      </c>
      <c r="AK490" s="30" t="str">
        <f ca="1">VLOOKUP(T490,'Auxiliar Vendas'!E:F,2,FALSE)</f>
        <v>Produto 01</v>
      </c>
      <c r="AL490" s="31">
        <f ca="1">U490*VLOOKUP(T490,'Auxiliar Vendas'!E:G,3,FALSE)</f>
        <v>120</v>
      </c>
    </row>
    <row r="491" spans="1:38">
      <c r="A491">
        <v>15350908694</v>
      </c>
      <c r="B491">
        <v>148</v>
      </c>
      <c r="D491" s="1">
        <v>44524</v>
      </c>
      <c r="E491">
        <v>15272395368</v>
      </c>
      <c r="F491" t="str">
        <f ca="1">VLOOKUP(RANDBETWEEN(1,20),'DBO Compras'!AA:AC,3,0)</f>
        <v>Comprador 02</v>
      </c>
      <c r="G491" t="s">
        <v>210</v>
      </c>
      <c r="H491" t="s">
        <v>211</v>
      </c>
      <c r="I491" t="s">
        <v>212</v>
      </c>
      <c r="J491" t="s">
        <v>213</v>
      </c>
      <c r="K491">
        <v>88130780</v>
      </c>
      <c r="L491" t="s">
        <v>92</v>
      </c>
      <c r="M491" t="s">
        <v>214</v>
      </c>
      <c r="N491">
        <v>4833440100</v>
      </c>
      <c r="O491">
        <v>0</v>
      </c>
      <c r="P491">
        <v>0</v>
      </c>
      <c r="R491" t="s">
        <v>42</v>
      </c>
      <c r="S491">
        <v>15016043939</v>
      </c>
      <c r="T491" t="str">
        <f ca="1">VLOOKUP(RANDBETWEEN(1,17),'Auxiliar Vendas'!D:G,2,0)</f>
        <v>Produto 10</v>
      </c>
      <c r="U491">
        <v>120</v>
      </c>
      <c r="V491">
        <v>13.55</v>
      </c>
      <c r="W491">
        <v>0</v>
      </c>
      <c r="X491">
        <v>10.747</v>
      </c>
      <c r="Y491" s="3">
        <v>1626</v>
      </c>
      <c r="Z491">
        <v>65</v>
      </c>
      <c r="AA491" t="s">
        <v>50</v>
      </c>
      <c r="AB491">
        <v>0</v>
      </c>
      <c r="AC491">
        <v>0</v>
      </c>
      <c r="AD491" t="s">
        <v>189</v>
      </c>
      <c r="AH491" s="2">
        <v>44525.334027777775</v>
      </c>
      <c r="AI491">
        <v>0</v>
      </c>
      <c r="AJ491">
        <v>0</v>
      </c>
      <c r="AK491" s="30" t="str">
        <f ca="1">VLOOKUP(T491,'Auxiliar Vendas'!E:F,2,FALSE)</f>
        <v>Produto 10</v>
      </c>
      <c r="AL491" s="31">
        <f ca="1">U491*VLOOKUP(T491,'Auxiliar Vendas'!E:G,3,FALSE)</f>
        <v>132</v>
      </c>
    </row>
    <row r="492" spans="1:38">
      <c r="A492">
        <v>15350908694</v>
      </c>
      <c r="B492">
        <v>148</v>
      </c>
      <c r="D492" s="1">
        <v>44524</v>
      </c>
      <c r="E492">
        <v>15272395368</v>
      </c>
      <c r="F492" t="str">
        <f ca="1">VLOOKUP(RANDBETWEEN(1,20),'DBO Compras'!AA:AC,3,0)</f>
        <v>Comprador 02</v>
      </c>
      <c r="G492" t="s">
        <v>210</v>
      </c>
      <c r="H492" t="s">
        <v>211</v>
      </c>
      <c r="I492" t="s">
        <v>212</v>
      </c>
      <c r="J492" t="s">
        <v>213</v>
      </c>
      <c r="K492">
        <v>88130780</v>
      </c>
      <c r="L492" t="s">
        <v>92</v>
      </c>
      <c r="M492" t="s">
        <v>214</v>
      </c>
      <c r="N492">
        <v>4833440100</v>
      </c>
      <c r="O492">
        <v>0</v>
      </c>
      <c r="P492">
        <v>0</v>
      </c>
      <c r="R492" t="s">
        <v>42</v>
      </c>
      <c r="S492">
        <v>15016049144</v>
      </c>
      <c r="T492" t="str">
        <f ca="1">VLOOKUP(RANDBETWEEN(1,17),'Auxiliar Vendas'!D:G,2,0)</f>
        <v>Produto 01</v>
      </c>
      <c r="U492">
        <v>301</v>
      </c>
      <c r="V492">
        <v>4.29</v>
      </c>
      <c r="W492">
        <v>48.19</v>
      </c>
      <c r="X492">
        <v>5.8620000000000001</v>
      </c>
      <c r="Y492" s="3">
        <v>1291.29</v>
      </c>
      <c r="Z492">
        <v>65</v>
      </c>
      <c r="AA492" t="s">
        <v>267</v>
      </c>
      <c r="AB492">
        <v>0</v>
      </c>
      <c r="AC492">
        <v>0</v>
      </c>
      <c r="AD492" t="s">
        <v>189</v>
      </c>
      <c r="AH492" s="2">
        <v>44525.334027777775</v>
      </c>
      <c r="AI492">
        <v>0</v>
      </c>
      <c r="AJ492">
        <v>0</v>
      </c>
      <c r="AK492" s="30" t="str">
        <f ca="1">VLOOKUP(T492,'Auxiliar Vendas'!E:F,2,FALSE)</f>
        <v>Produto 01</v>
      </c>
      <c r="AL492" s="31">
        <f ca="1">U492*VLOOKUP(T492,'Auxiliar Vendas'!E:G,3,FALSE)</f>
        <v>120.4</v>
      </c>
    </row>
    <row r="493" spans="1:38">
      <c r="A493">
        <v>15441535817</v>
      </c>
      <c r="B493">
        <v>179</v>
      </c>
      <c r="D493" s="1">
        <v>44524</v>
      </c>
      <c r="E493">
        <v>15291803674</v>
      </c>
      <c r="F493" t="str">
        <f ca="1">VLOOKUP(RANDBETWEEN(1,20),'DBO Compras'!AA:AC,3,0)</f>
        <v>Comprador 06</v>
      </c>
      <c r="G493" t="s">
        <v>88</v>
      </c>
      <c r="H493" t="s">
        <v>89</v>
      </c>
      <c r="I493" t="s">
        <v>90</v>
      </c>
      <c r="J493" t="s">
        <v>91</v>
      </c>
      <c r="K493">
        <v>88337440</v>
      </c>
      <c r="L493" t="s">
        <v>92</v>
      </c>
      <c r="M493" t="s">
        <v>93</v>
      </c>
      <c r="N493">
        <v>47996529345</v>
      </c>
      <c r="O493">
        <v>0</v>
      </c>
      <c r="P493">
        <v>0</v>
      </c>
      <c r="R493" t="s">
        <v>42</v>
      </c>
      <c r="S493">
        <v>15015085610</v>
      </c>
      <c r="T493" t="str">
        <f ca="1">VLOOKUP(RANDBETWEEN(1,17),'Auxiliar Vendas'!D:G,2,0)</f>
        <v>Produto 05</v>
      </c>
      <c r="U493" s="3">
        <v>1000</v>
      </c>
      <c r="V493">
        <v>13</v>
      </c>
      <c r="W493">
        <v>7.8</v>
      </c>
      <c r="X493">
        <v>10.23</v>
      </c>
      <c r="Y493" s="3">
        <v>13000</v>
      </c>
      <c r="Z493">
        <v>73</v>
      </c>
      <c r="AA493" t="s">
        <v>43</v>
      </c>
      <c r="AB493">
        <v>0</v>
      </c>
      <c r="AC493">
        <v>0</v>
      </c>
      <c r="AH493" s="2">
        <v>44524.57916666667</v>
      </c>
      <c r="AI493">
        <v>0</v>
      </c>
      <c r="AJ493">
        <v>0</v>
      </c>
      <c r="AK493" s="30" t="str">
        <f ca="1">VLOOKUP(T493,'Auxiliar Vendas'!E:F,2,FALSE)</f>
        <v>Produto 05</v>
      </c>
      <c r="AL493" s="31">
        <f ca="1">U493*VLOOKUP(T493,'Auxiliar Vendas'!E:G,3,FALSE)</f>
        <v>600</v>
      </c>
    </row>
    <row r="494" spans="1:38">
      <c r="A494">
        <v>15441535817</v>
      </c>
      <c r="B494">
        <v>179</v>
      </c>
      <c r="D494" s="1">
        <v>44524</v>
      </c>
      <c r="E494">
        <v>15291803674</v>
      </c>
      <c r="F494" t="str">
        <f ca="1">VLOOKUP(RANDBETWEEN(1,20),'DBO Compras'!AA:AC,3,0)</f>
        <v>Comprador 08</v>
      </c>
      <c r="G494" t="s">
        <v>88</v>
      </c>
      <c r="H494" t="s">
        <v>89</v>
      </c>
      <c r="I494" t="s">
        <v>90</v>
      </c>
      <c r="J494" t="s">
        <v>91</v>
      </c>
      <c r="K494">
        <v>88337440</v>
      </c>
      <c r="L494" t="s">
        <v>92</v>
      </c>
      <c r="M494" t="s">
        <v>93</v>
      </c>
      <c r="N494">
        <v>47996529345</v>
      </c>
      <c r="O494">
        <v>0</v>
      </c>
      <c r="P494">
        <v>0</v>
      </c>
      <c r="R494" t="s">
        <v>42</v>
      </c>
      <c r="S494">
        <v>15016093155</v>
      </c>
      <c r="T494" t="str">
        <f ca="1">VLOOKUP(RANDBETWEEN(1,17),'Auxiliar Vendas'!D:G,2,0)</f>
        <v>Produto 09</v>
      </c>
      <c r="U494">
        <v>600</v>
      </c>
      <c r="V494">
        <v>17.899999999999999</v>
      </c>
      <c r="W494">
        <v>4.0199999999999996</v>
      </c>
      <c r="X494">
        <v>14.4596</v>
      </c>
      <c r="Y494" s="3">
        <v>10740</v>
      </c>
      <c r="Z494">
        <v>73</v>
      </c>
      <c r="AA494" t="s">
        <v>65</v>
      </c>
      <c r="AB494">
        <v>0</v>
      </c>
      <c r="AC494">
        <v>0</v>
      </c>
      <c r="AH494" s="2">
        <v>44524.57916666667</v>
      </c>
      <c r="AI494">
        <v>0</v>
      </c>
      <c r="AJ494">
        <v>0</v>
      </c>
      <c r="AK494" s="30" t="str">
        <f ca="1">VLOOKUP(T494,'Auxiliar Vendas'!E:F,2,FALSE)</f>
        <v>Produto 09</v>
      </c>
      <c r="AL494" s="31">
        <f ca="1">U494*VLOOKUP(T494,'Auxiliar Vendas'!E:G,3,FALSE)</f>
        <v>660</v>
      </c>
    </row>
    <row r="495" spans="1:38">
      <c r="A495">
        <v>15441535817</v>
      </c>
      <c r="B495">
        <v>179</v>
      </c>
      <c r="D495" s="1">
        <v>44524</v>
      </c>
      <c r="E495">
        <v>15291803674</v>
      </c>
      <c r="F495" t="str">
        <f ca="1">VLOOKUP(RANDBETWEEN(1,20),'DBO Compras'!AA:AC,3,0)</f>
        <v>Comprador 08</v>
      </c>
      <c r="G495" t="s">
        <v>88</v>
      </c>
      <c r="H495" t="s">
        <v>89</v>
      </c>
      <c r="I495" t="s">
        <v>90</v>
      </c>
      <c r="J495" t="s">
        <v>91</v>
      </c>
      <c r="K495">
        <v>88337440</v>
      </c>
      <c r="L495" t="s">
        <v>92</v>
      </c>
      <c r="M495" t="s">
        <v>93</v>
      </c>
      <c r="N495">
        <v>47996529345</v>
      </c>
      <c r="O495">
        <v>0</v>
      </c>
      <c r="P495">
        <v>0</v>
      </c>
      <c r="R495" t="s">
        <v>42</v>
      </c>
      <c r="S495">
        <v>15016080333</v>
      </c>
      <c r="T495" t="str">
        <f ca="1">VLOOKUP(RANDBETWEEN(1,17),'Auxiliar Vendas'!D:G,2,0)</f>
        <v>Produto 17</v>
      </c>
      <c r="U495">
        <v>300</v>
      </c>
      <c r="V495">
        <v>13.9</v>
      </c>
      <c r="W495">
        <v>9.15</v>
      </c>
      <c r="X495">
        <v>10.747</v>
      </c>
      <c r="Y495" s="3">
        <v>4170</v>
      </c>
      <c r="Z495">
        <v>73</v>
      </c>
      <c r="AA495" t="s">
        <v>80</v>
      </c>
      <c r="AB495">
        <v>0</v>
      </c>
      <c r="AC495">
        <v>0</v>
      </c>
      <c r="AH495" s="2">
        <v>44524.57916666667</v>
      </c>
      <c r="AI495">
        <v>0</v>
      </c>
      <c r="AJ495">
        <v>0</v>
      </c>
      <c r="AK495" s="30" t="str">
        <f ca="1">VLOOKUP(T495,'Auxiliar Vendas'!E:F,2,FALSE)</f>
        <v>Produto 17</v>
      </c>
      <c r="AL495" s="31">
        <f ca="1">U495*VLOOKUP(T495,'Auxiliar Vendas'!E:G,3,FALSE)</f>
        <v>426</v>
      </c>
    </row>
    <row r="496" spans="1:38">
      <c r="A496">
        <v>15441535817</v>
      </c>
      <c r="B496">
        <v>179</v>
      </c>
      <c r="D496" s="1">
        <v>44524</v>
      </c>
      <c r="E496">
        <v>15291803674</v>
      </c>
      <c r="F496" t="str">
        <f ca="1">VLOOKUP(RANDBETWEEN(1,20),'DBO Compras'!AA:AC,3,0)</f>
        <v>Comprador 05</v>
      </c>
      <c r="G496" t="s">
        <v>88</v>
      </c>
      <c r="H496" t="s">
        <v>89</v>
      </c>
      <c r="I496" t="s">
        <v>90</v>
      </c>
      <c r="J496" t="s">
        <v>91</v>
      </c>
      <c r="K496">
        <v>88337440</v>
      </c>
      <c r="L496" t="s">
        <v>92</v>
      </c>
      <c r="M496" t="s">
        <v>93</v>
      </c>
      <c r="N496">
        <v>47996529345</v>
      </c>
      <c r="O496">
        <v>0</v>
      </c>
      <c r="P496">
        <v>0</v>
      </c>
      <c r="R496" t="s">
        <v>42</v>
      </c>
      <c r="S496">
        <v>15016087271</v>
      </c>
      <c r="T496" t="str">
        <f ca="1">VLOOKUP(RANDBETWEEN(1,17),'Auxiliar Vendas'!D:G,2,0)</f>
        <v>Produto 09</v>
      </c>
      <c r="U496">
        <v>300</v>
      </c>
      <c r="V496">
        <v>17.899999999999999</v>
      </c>
      <c r="W496">
        <v>3.5</v>
      </c>
      <c r="X496">
        <v>14.4596</v>
      </c>
      <c r="Y496" s="3">
        <v>5370</v>
      </c>
      <c r="Z496">
        <v>73</v>
      </c>
      <c r="AA496" t="s">
        <v>64</v>
      </c>
      <c r="AB496">
        <v>0</v>
      </c>
      <c r="AC496">
        <v>0</v>
      </c>
      <c r="AH496" s="2">
        <v>44524.57916666667</v>
      </c>
      <c r="AI496">
        <v>0</v>
      </c>
      <c r="AJ496">
        <v>0</v>
      </c>
      <c r="AK496" s="30" t="str">
        <f ca="1">VLOOKUP(T496,'Auxiliar Vendas'!E:F,2,FALSE)</f>
        <v>Produto 09</v>
      </c>
      <c r="AL496" s="31">
        <f ca="1">U496*VLOOKUP(T496,'Auxiliar Vendas'!E:G,3,FALSE)</f>
        <v>330</v>
      </c>
    </row>
    <row r="497" spans="1:38">
      <c r="A497">
        <v>15356098509</v>
      </c>
      <c r="B497">
        <v>149</v>
      </c>
      <c r="D497" s="1">
        <v>44525</v>
      </c>
      <c r="E497">
        <v>15266819008</v>
      </c>
      <c r="F497" t="str">
        <f ca="1">VLOOKUP(RANDBETWEEN(1,20),'DBO Compras'!AA:AC,3,0)</f>
        <v>Comprador 02</v>
      </c>
      <c r="G497" t="s">
        <v>223</v>
      </c>
      <c r="H497" t="s">
        <v>224</v>
      </c>
      <c r="I497" t="s">
        <v>225</v>
      </c>
      <c r="J497" t="s">
        <v>39</v>
      </c>
      <c r="K497" t="s">
        <v>226</v>
      </c>
      <c r="L497" t="s">
        <v>40</v>
      </c>
      <c r="M497" t="s">
        <v>227</v>
      </c>
      <c r="N497">
        <v>41999473993</v>
      </c>
      <c r="O497">
        <v>0</v>
      </c>
      <c r="P497">
        <v>0</v>
      </c>
      <c r="R497" t="s">
        <v>42</v>
      </c>
      <c r="S497">
        <v>15016043939</v>
      </c>
      <c r="T497" t="str">
        <f ca="1">VLOOKUP(RANDBETWEEN(1,17),'Auxiliar Vendas'!D:G,2,0)</f>
        <v>Produto 11</v>
      </c>
      <c r="U497">
        <v>100</v>
      </c>
      <c r="V497">
        <v>13.9</v>
      </c>
      <c r="W497">
        <v>0</v>
      </c>
      <c r="X497">
        <v>10.747</v>
      </c>
      <c r="Y497" s="3">
        <v>1390</v>
      </c>
      <c r="Z497">
        <v>64</v>
      </c>
      <c r="AA497" t="s">
        <v>50</v>
      </c>
      <c r="AB497">
        <v>0</v>
      </c>
      <c r="AC497">
        <v>0</v>
      </c>
      <c r="AD497" t="s">
        <v>58</v>
      </c>
      <c r="AH497" s="2">
        <v>44526.348611111112</v>
      </c>
      <c r="AI497">
        <v>0</v>
      </c>
      <c r="AJ497">
        <v>0</v>
      </c>
      <c r="AK497" s="30" t="str">
        <f ca="1">VLOOKUP(T497,'Auxiliar Vendas'!E:F,2,FALSE)</f>
        <v>Produto 11</v>
      </c>
      <c r="AL497" s="31">
        <f ca="1">U497*VLOOKUP(T497,'Auxiliar Vendas'!E:G,3,FALSE)</f>
        <v>110.00000000000001</v>
      </c>
    </row>
    <row r="498" spans="1:38">
      <c r="A498">
        <v>15356098509</v>
      </c>
      <c r="B498">
        <v>149</v>
      </c>
      <c r="D498" s="1">
        <v>44525</v>
      </c>
      <c r="E498">
        <v>15266819008</v>
      </c>
      <c r="F498" t="str">
        <f ca="1">VLOOKUP(RANDBETWEEN(1,20),'DBO Compras'!AA:AC,3,0)</f>
        <v>Comprador 18</v>
      </c>
      <c r="G498" t="s">
        <v>223</v>
      </c>
      <c r="H498" t="s">
        <v>224</v>
      </c>
      <c r="I498" t="s">
        <v>225</v>
      </c>
      <c r="J498" t="s">
        <v>39</v>
      </c>
      <c r="K498" t="s">
        <v>226</v>
      </c>
      <c r="L498" t="s">
        <v>40</v>
      </c>
      <c r="M498" t="s">
        <v>227</v>
      </c>
      <c r="N498">
        <v>41999473993</v>
      </c>
      <c r="O498">
        <v>0</v>
      </c>
      <c r="P498">
        <v>0</v>
      </c>
      <c r="R498" t="s">
        <v>42</v>
      </c>
      <c r="S498">
        <v>15015918644</v>
      </c>
      <c r="T498" t="str">
        <f ca="1">VLOOKUP(RANDBETWEEN(1,17),'Auxiliar Vendas'!D:G,2,0)</f>
        <v>Produto 02</v>
      </c>
      <c r="U498">
        <v>40</v>
      </c>
      <c r="V498">
        <v>8.1999999999999993</v>
      </c>
      <c r="W498">
        <v>0</v>
      </c>
      <c r="X498">
        <v>5.61</v>
      </c>
      <c r="Y498">
        <v>328</v>
      </c>
      <c r="Z498">
        <v>64</v>
      </c>
      <c r="AA498" t="s">
        <v>59</v>
      </c>
      <c r="AB498">
        <v>0</v>
      </c>
      <c r="AC498">
        <v>0</v>
      </c>
      <c r="AD498" t="s">
        <v>58</v>
      </c>
      <c r="AH498" s="2">
        <v>44526.348611111112</v>
      </c>
      <c r="AI498">
        <v>0</v>
      </c>
      <c r="AJ498">
        <v>0</v>
      </c>
      <c r="AK498" s="30" t="str">
        <f ca="1">VLOOKUP(T498,'Auxiliar Vendas'!E:F,2,FALSE)</f>
        <v>Produto 02</v>
      </c>
      <c r="AL498" s="31">
        <f ca="1">U498*VLOOKUP(T498,'Auxiliar Vendas'!E:G,3,FALSE)</f>
        <v>10.8</v>
      </c>
    </row>
    <row r="499" spans="1:38">
      <c r="A499">
        <v>15356130311</v>
      </c>
      <c r="B499">
        <v>150</v>
      </c>
      <c r="D499" s="1">
        <v>44525</v>
      </c>
      <c r="E499">
        <v>15179701182</v>
      </c>
      <c r="F499" t="str">
        <f ca="1">VLOOKUP(RANDBETWEEN(1,20),'DBO Compras'!AA:AC,3,0)</f>
        <v>Comprador 10</v>
      </c>
      <c r="G499" t="s">
        <v>140</v>
      </c>
      <c r="H499" t="s">
        <v>141</v>
      </c>
      <c r="I499" t="s">
        <v>142</v>
      </c>
      <c r="J499" t="s">
        <v>143</v>
      </c>
      <c r="K499">
        <v>84050290</v>
      </c>
      <c r="L499" t="s">
        <v>40</v>
      </c>
      <c r="M499" t="s">
        <v>144</v>
      </c>
      <c r="N499">
        <v>42999659968</v>
      </c>
      <c r="O499">
        <v>0</v>
      </c>
      <c r="P499">
        <v>0</v>
      </c>
      <c r="R499" t="s">
        <v>42</v>
      </c>
      <c r="S499">
        <v>15016043939</v>
      </c>
      <c r="T499" t="str">
        <f ca="1">VLOOKUP(RANDBETWEEN(1,17),'Auxiliar Vendas'!D:G,2,0)</f>
        <v>Produto 07</v>
      </c>
      <c r="U499">
        <v>30</v>
      </c>
      <c r="V499">
        <v>13.55</v>
      </c>
      <c r="W499">
        <v>0</v>
      </c>
      <c r="X499">
        <v>10.747</v>
      </c>
      <c r="Y499">
        <v>406.5</v>
      </c>
      <c r="Z499">
        <v>46</v>
      </c>
      <c r="AA499" t="s">
        <v>50</v>
      </c>
      <c r="AB499">
        <v>0</v>
      </c>
      <c r="AC499">
        <v>0</v>
      </c>
      <c r="AD499" t="s">
        <v>58</v>
      </c>
      <c r="AH499" s="2">
        <v>44526.347916666666</v>
      </c>
      <c r="AI499">
        <v>0</v>
      </c>
      <c r="AJ499">
        <v>0</v>
      </c>
      <c r="AK499" s="30" t="str">
        <f ca="1">VLOOKUP(T499,'Auxiliar Vendas'!E:F,2,FALSE)</f>
        <v>Produto 07</v>
      </c>
      <c r="AL499" s="31">
        <f ca="1">U499*VLOOKUP(T499,'Auxiliar Vendas'!E:G,3,FALSE)</f>
        <v>33</v>
      </c>
    </row>
    <row r="500" spans="1:38">
      <c r="A500">
        <v>15356130311</v>
      </c>
      <c r="B500">
        <v>150</v>
      </c>
      <c r="D500" s="1">
        <v>44525</v>
      </c>
      <c r="E500">
        <v>15179701182</v>
      </c>
      <c r="F500" t="str">
        <f ca="1">VLOOKUP(RANDBETWEEN(1,20),'DBO Compras'!AA:AC,3,0)</f>
        <v>Comprador 20</v>
      </c>
      <c r="G500" t="s">
        <v>140</v>
      </c>
      <c r="H500" t="s">
        <v>141</v>
      </c>
      <c r="I500" t="s">
        <v>142</v>
      </c>
      <c r="J500" t="s">
        <v>143</v>
      </c>
      <c r="K500">
        <v>84050290</v>
      </c>
      <c r="L500" t="s">
        <v>40</v>
      </c>
      <c r="M500" t="s">
        <v>144</v>
      </c>
      <c r="N500">
        <v>42999659968</v>
      </c>
      <c r="O500">
        <v>0</v>
      </c>
      <c r="P500">
        <v>0</v>
      </c>
      <c r="R500" t="s">
        <v>42</v>
      </c>
      <c r="S500">
        <v>15016093155</v>
      </c>
      <c r="T500" t="str">
        <f ca="1">VLOOKUP(RANDBETWEEN(1,17),'Auxiliar Vendas'!D:G,2,0)</f>
        <v>Produto 12</v>
      </c>
      <c r="U500">
        <v>90</v>
      </c>
      <c r="V500">
        <v>18.04</v>
      </c>
      <c r="W500">
        <v>0</v>
      </c>
      <c r="X500">
        <v>14.4596</v>
      </c>
      <c r="Y500" s="3">
        <v>1623.6</v>
      </c>
      <c r="Z500">
        <v>46</v>
      </c>
      <c r="AA500" t="s">
        <v>65</v>
      </c>
      <c r="AB500">
        <v>0</v>
      </c>
      <c r="AC500">
        <v>0</v>
      </c>
      <c r="AD500" t="s">
        <v>58</v>
      </c>
      <c r="AH500" s="2">
        <v>44526.347916666666</v>
      </c>
      <c r="AI500">
        <v>0</v>
      </c>
      <c r="AJ500">
        <v>0</v>
      </c>
      <c r="AK500" s="30" t="str">
        <f ca="1">VLOOKUP(T500,'Auxiliar Vendas'!E:F,2,FALSE)</f>
        <v>Produto 12</v>
      </c>
      <c r="AL500" s="31">
        <f ca="1">U500*VLOOKUP(T500,'Auxiliar Vendas'!E:G,3,FALSE)</f>
        <v>125.99999999999999</v>
      </c>
    </row>
    <row r="501" spans="1:38">
      <c r="A501">
        <v>15356130311</v>
      </c>
      <c r="B501">
        <v>150</v>
      </c>
      <c r="D501" s="1">
        <v>44525</v>
      </c>
      <c r="E501">
        <v>15179701182</v>
      </c>
      <c r="F501" t="str">
        <f ca="1">VLOOKUP(RANDBETWEEN(1,20),'DBO Compras'!AA:AC,3,0)</f>
        <v>Comprador 10</v>
      </c>
      <c r="G501" t="s">
        <v>140</v>
      </c>
      <c r="H501" t="s">
        <v>141</v>
      </c>
      <c r="I501" t="s">
        <v>142</v>
      </c>
      <c r="J501" t="s">
        <v>143</v>
      </c>
      <c r="K501">
        <v>84050290</v>
      </c>
      <c r="L501" t="s">
        <v>40</v>
      </c>
      <c r="M501" t="s">
        <v>144</v>
      </c>
      <c r="N501">
        <v>42999659968</v>
      </c>
      <c r="O501">
        <v>0</v>
      </c>
      <c r="P501">
        <v>0</v>
      </c>
      <c r="R501" t="s">
        <v>42</v>
      </c>
      <c r="S501">
        <v>15016080333</v>
      </c>
      <c r="T501" t="str">
        <f ca="1">VLOOKUP(RANDBETWEEN(1,17),'Auxiliar Vendas'!D:G,2,0)</f>
        <v>Produto 05</v>
      </c>
      <c r="U501">
        <v>30</v>
      </c>
      <c r="V501">
        <v>14.6</v>
      </c>
      <c r="W501">
        <v>0</v>
      </c>
      <c r="X501">
        <v>10.747</v>
      </c>
      <c r="Y501">
        <v>438</v>
      </c>
      <c r="Z501">
        <v>46</v>
      </c>
      <c r="AA501" t="s">
        <v>80</v>
      </c>
      <c r="AB501">
        <v>0</v>
      </c>
      <c r="AC501">
        <v>0</v>
      </c>
      <c r="AD501" t="s">
        <v>58</v>
      </c>
      <c r="AH501" s="2">
        <v>44526.347916666666</v>
      </c>
      <c r="AI501">
        <v>0</v>
      </c>
      <c r="AJ501">
        <v>0</v>
      </c>
      <c r="AK501" s="30" t="str">
        <f ca="1">VLOOKUP(T501,'Auxiliar Vendas'!E:F,2,FALSE)</f>
        <v>Produto 05</v>
      </c>
      <c r="AL501" s="31">
        <f ca="1">U501*VLOOKUP(T501,'Auxiliar Vendas'!E:G,3,FALSE)</f>
        <v>18</v>
      </c>
    </row>
    <row r="502" spans="1:38">
      <c r="A502">
        <v>15356130311</v>
      </c>
      <c r="B502">
        <v>150</v>
      </c>
      <c r="D502" s="1">
        <v>44525</v>
      </c>
      <c r="E502">
        <v>15179701182</v>
      </c>
      <c r="F502" t="str">
        <f ca="1">VLOOKUP(RANDBETWEEN(1,20),'DBO Compras'!AA:AC,3,0)</f>
        <v>Comprador 20</v>
      </c>
      <c r="G502" t="s">
        <v>140</v>
      </c>
      <c r="H502" t="s">
        <v>141</v>
      </c>
      <c r="I502" t="s">
        <v>142</v>
      </c>
      <c r="J502" t="s">
        <v>143</v>
      </c>
      <c r="K502">
        <v>84050290</v>
      </c>
      <c r="L502" t="s">
        <v>40</v>
      </c>
      <c r="M502" t="s">
        <v>144</v>
      </c>
      <c r="N502">
        <v>42999659968</v>
      </c>
      <c r="O502">
        <v>0</v>
      </c>
      <c r="P502">
        <v>0</v>
      </c>
      <c r="R502" t="s">
        <v>42</v>
      </c>
      <c r="S502">
        <v>15015918644</v>
      </c>
      <c r="T502" t="str">
        <f ca="1">VLOOKUP(RANDBETWEEN(1,17),'Auxiliar Vendas'!D:G,2,0)</f>
        <v>Produto 12</v>
      </c>
      <c r="U502">
        <v>20</v>
      </c>
      <c r="V502">
        <v>7.8</v>
      </c>
      <c r="W502">
        <v>0</v>
      </c>
      <c r="X502">
        <v>5.61</v>
      </c>
      <c r="Y502">
        <v>156</v>
      </c>
      <c r="Z502">
        <v>46</v>
      </c>
      <c r="AA502" t="s">
        <v>59</v>
      </c>
      <c r="AB502">
        <v>0</v>
      </c>
      <c r="AC502">
        <v>0</v>
      </c>
      <c r="AD502" t="s">
        <v>58</v>
      </c>
      <c r="AH502" s="2">
        <v>44526.347916666666</v>
      </c>
      <c r="AI502">
        <v>0</v>
      </c>
      <c r="AJ502">
        <v>0</v>
      </c>
      <c r="AK502" s="30" t="str">
        <f ca="1">VLOOKUP(T502,'Auxiliar Vendas'!E:F,2,FALSE)</f>
        <v>Produto 12</v>
      </c>
      <c r="AL502" s="31">
        <f ca="1">U502*VLOOKUP(T502,'Auxiliar Vendas'!E:G,3,FALSE)</f>
        <v>28</v>
      </c>
    </row>
    <row r="503" spans="1:38">
      <c r="A503">
        <v>15356222813</v>
      </c>
      <c r="B503">
        <v>151</v>
      </c>
      <c r="D503" s="1">
        <v>44525</v>
      </c>
      <c r="E503">
        <v>15179581888</v>
      </c>
      <c r="F503" t="str">
        <f ca="1">VLOOKUP(RANDBETWEEN(1,20),'DBO Compras'!AA:AC,3,0)</f>
        <v>Comprador 13</v>
      </c>
      <c r="G503" t="s">
        <v>54</v>
      </c>
      <c r="H503" t="s">
        <v>55</v>
      </c>
      <c r="I503" t="s">
        <v>56</v>
      </c>
      <c r="J503" t="s">
        <v>39</v>
      </c>
      <c r="K503">
        <v>81350610</v>
      </c>
      <c r="L503" t="s">
        <v>40</v>
      </c>
      <c r="M503" t="s">
        <v>57</v>
      </c>
      <c r="N503">
        <v>41996849234</v>
      </c>
      <c r="O503">
        <v>0</v>
      </c>
      <c r="P503">
        <v>0</v>
      </c>
      <c r="R503" t="s">
        <v>42</v>
      </c>
      <c r="S503">
        <v>15016043939</v>
      </c>
      <c r="T503" t="str">
        <f ca="1">VLOOKUP(RANDBETWEEN(1,17),'Auxiliar Vendas'!D:G,2,0)</f>
        <v>Produto 15</v>
      </c>
      <c r="U503">
        <v>500</v>
      </c>
      <c r="V503">
        <v>12.9</v>
      </c>
      <c r="W503">
        <v>0</v>
      </c>
      <c r="X503">
        <v>10.747</v>
      </c>
      <c r="Y503" s="3">
        <v>6450</v>
      </c>
      <c r="Z503">
        <v>41</v>
      </c>
      <c r="AA503" t="s">
        <v>50</v>
      </c>
      <c r="AB503">
        <v>0</v>
      </c>
      <c r="AC503">
        <v>0</v>
      </c>
      <c r="AD503" t="s">
        <v>58</v>
      </c>
      <c r="AH503" s="2">
        <v>44526.347222222219</v>
      </c>
      <c r="AI503">
        <v>0</v>
      </c>
      <c r="AJ503">
        <v>0</v>
      </c>
      <c r="AK503" s="30" t="str">
        <f ca="1">VLOOKUP(T503,'Auxiliar Vendas'!E:F,2,FALSE)</f>
        <v>Produto 15</v>
      </c>
      <c r="AL503" s="31">
        <f ca="1">U503*VLOOKUP(T503,'Auxiliar Vendas'!E:G,3,FALSE)</f>
        <v>710</v>
      </c>
    </row>
    <row r="504" spans="1:38">
      <c r="A504">
        <v>15356222813</v>
      </c>
      <c r="B504">
        <v>151</v>
      </c>
      <c r="D504" s="1">
        <v>44525</v>
      </c>
      <c r="E504">
        <v>15179581888</v>
      </c>
      <c r="F504" t="str">
        <f ca="1">VLOOKUP(RANDBETWEEN(1,20),'DBO Compras'!AA:AC,3,0)</f>
        <v>Comprador 13</v>
      </c>
      <c r="G504" t="s">
        <v>54</v>
      </c>
      <c r="H504" t="s">
        <v>55</v>
      </c>
      <c r="I504" t="s">
        <v>56</v>
      </c>
      <c r="J504" t="s">
        <v>39</v>
      </c>
      <c r="K504">
        <v>81350610</v>
      </c>
      <c r="L504" t="s">
        <v>40</v>
      </c>
      <c r="M504" t="s">
        <v>57</v>
      </c>
      <c r="N504">
        <v>41996849234</v>
      </c>
      <c r="O504">
        <v>0</v>
      </c>
      <c r="P504">
        <v>0</v>
      </c>
      <c r="R504" t="s">
        <v>42</v>
      </c>
      <c r="S504">
        <v>15016073255</v>
      </c>
      <c r="T504" t="str">
        <f ca="1">VLOOKUP(RANDBETWEEN(1,17),'Auxiliar Vendas'!D:G,2,0)</f>
        <v>Produto 09</v>
      </c>
      <c r="U504">
        <v>500</v>
      </c>
      <c r="V504">
        <v>15.5</v>
      </c>
      <c r="W504">
        <v>0</v>
      </c>
      <c r="X504">
        <v>10.747</v>
      </c>
      <c r="Y504" s="3">
        <v>7750</v>
      </c>
      <c r="Z504">
        <v>41</v>
      </c>
      <c r="AA504" t="s">
        <v>160</v>
      </c>
      <c r="AB504">
        <v>0</v>
      </c>
      <c r="AC504">
        <v>0</v>
      </c>
      <c r="AD504" t="s">
        <v>58</v>
      </c>
      <c r="AH504" s="2">
        <v>44526.347222222219</v>
      </c>
      <c r="AI504">
        <v>0</v>
      </c>
      <c r="AJ504">
        <v>0</v>
      </c>
      <c r="AK504" s="30" t="str">
        <f ca="1">VLOOKUP(T504,'Auxiliar Vendas'!E:F,2,FALSE)</f>
        <v>Produto 09</v>
      </c>
      <c r="AL504" s="31">
        <f ca="1">U504*VLOOKUP(T504,'Auxiliar Vendas'!E:G,3,FALSE)</f>
        <v>550</v>
      </c>
    </row>
    <row r="505" spans="1:38">
      <c r="A505">
        <v>15356222813</v>
      </c>
      <c r="B505">
        <v>151</v>
      </c>
      <c r="D505" s="1">
        <v>44525</v>
      </c>
      <c r="E505">
        <v>15179581888</v>
      </c>
      <c r="F505" t="str">
        <f ca="1">VLOOKUP(RANDBETWEEN(1,20),'DBO Compras'!AA:AC,3,0)</f>
        <v>Comprador 19</v>
      </c>
      <c r="G505" t="s">
        <v>54</v>
      </c>
      <c r="H505" t="s">
        <v>55</v>
      </c>
      <c r="I505" t="s">
        <v>56</v>
      </c>
      <c r="J505" t="s">
        <v>39</v>
      </c>
      <c r="K505">
        <v>81350610</v>
      </c>
      <c r="L505" t="s">
        <v>40</v>
      </c>
      <c r="M505" t="s">
        <v>57</v>
      </c>
      <c r="N505">
        <v>41996849234</v>
      </c>
      <c r="O505">
        <v>0</v>
      </c>
      <c r="P505">
        <v>0</v>
      </c>
      <c r="R505" t="s">
        <v>42</v>
      </c>
      <c r="S505">
        <v>15016093155</v>
      </c>
      <c r="T505" t="str">
        <f ca="1">VLOOKUP(RANDBETWEEN(1,17),'Auxiliar Vendas'!D:G,2,0)</f>
        <v>Produto 13</v>
      </c>
      <c r="U505">
        <v>100</v>
      </c>
      <c r="V505">
        <v>17.8</v>
      </c>
      <c r="W505">
        <v>0</v>
      </c>
      <c r="X505">
        <v>14.4596</v>
      </c>
      <c r="Y505" s="3">
        <v>1780</v>
      </c>
      <c r="Z505">
        <v>41</v>
      </c>
      <c r="AA505" t="s">
        <v>65</v>
      </c>
      <c r="AB505">
        <v>0</v>
      </c>
      <c r="AC505">
        <v>0</v>
      </c>
      <c r="AD505" t="s">
        <v>58</v>
      </c>
      <c r="AH505" s="2">
        <v>44526.347222222219</v>
      </c>
      <c r="AI505">
        <v>0</v>
      </c>
      <c r="AJ505">
        <v>0</v>
      </c>
      <c r="AK505" s="30" t="str">
        <f ca="1">VLOOKUP(T505,'Auxiliar Vendas'!E:F,2,FALSE)</f>
        <v>Produto 13</v>
      </c>
      <c r="AL505" s="31">
        <f ca="1">U505*VLOOKUP(T505,'Auxiliar Vendas'!E:G,3,FALSE)</f>
        <v>140</v>
      </c>
    </row>
    <row r="506" spans="1:38">
      <c r="A506">
        <v>15356222813</v>
      </c>
      <c r="B506">
        <v>151</v>
      </c>
      <c r="D506" s="1">
        <v>44525</v>
      </c>
      <c r="E506">
        <v>15179581888</v>
      </c>
      <c r="F506" t="str">
        <f ca="1">VLOOKUP(RANDBETWEEN(1,20),'DBO Compras'!AA:AC,3,0)</f>
        <v>Comprador 16</v>
      </c>
      <c r="G506" t="s">
        <v>54</v>
      </c>
      <c r="H506" t="s">
        <v>55</v>
      </c>
      <c r="I506" t="s">
        <v>56</v>
      </c>
      <c r="J506" t="s">
        <v>39</v>
      </c>
      <c r="K506">
        <v>81350610</v>
      </c>
      <c r="L506" t="s">
        <v>40</v>
      </c>
      <c r="M506" t="s">
        <v>57</v>
      </c>
      <c r="N506">
        <v>41996849234</v>
      </c>
      <c r="O506">
        <v>0</v>
      </c>
      <c r="P506">
        <v>0</v>
      </c>
      <c r="R506" t="s">
        <v>42</v>
      </c>
      <c r="S506">
        <v>15016080333</v>
      </c>
      <c r="T506" t="str">
        <f ca="1">VLOOKUP(RANDBETWEEN(1,17),'Auxiliar Vendas'!D:G,2,0)</f>
        <v>Produto 09</v>
      </c>
      <c r="U506">
        <v>100</v>
      </c>
      <c r="V506">
        <v>14</v>
      </c>
      <c r="W506">
        <v>0</v>
      </c>
      <c r="X506">
        <v>10.747</v>
      </c>
      <c r="Y506" s="3">
        <v>1400</v>
      </c>
      <c r="Z506">
        <v>41</v>
      </c>
      <c r="AA506" t="s">
        <v>80</v>
      </c>
      <c r="AB506">
        <v>0</v>
      </c>
      <c r="AC506">
        <v>0</v>
      </c>
      <c r="AD506" t="s">
        <v>58</v>
      </c>
      <c r="AH506" s="2">
        <v>44526.347222222219</v>
      </c>
      <c r="AI506">
        <v>0</v>
      </c>
      <c r="AJ506">
        <v>0</v>
      </c>
      <c r="AK506" s="30" t="str">
        <f ca="1">VLOOKUP(T506,'Auxiliar Vendas'!E:F,2,FALSE)</f>
        <v>Produto 09</v>
      </c>
      <c r="AL506" s="31">
        <f ca="1">U506*VLOOKUP(T506,'Auxiliar Vendas'!E:G,3,FALSE)</f>
        <v>110.00000000000001</v>
      </c>
    </row>
    <row r="507" spans="1:38">
      <c r="A507">
        <v>15356222813</v>
      </c>
      <c r="B507">
        <v>151</v>
      </c>
      <c r="D507" s="1">
        <v>44525</v>
      </c>
      <c r="E507">
        <v>15179581888</v>
      </c>
      <c r="F507" t="str">
        <f ca="1">VLOOKUP(RANDBETWEEN(1,20),'DBO Compras'!AA:AC,3,0)</f>
        <v>Comprador 16</v>
      </c>
      <c r="G507" t="s">
        <v>54</v>
      </c>
      <c r="H507" t="s">
        <v>55</v>
      </c>
      <c r="I507" t="s">
        <v>56</v>
      </c>
      <c r="J507" t="s">
        <v>39</v>
      </c>
      <c r="K507">
        <v>81350610</v>
      </c>
      <c r="L507" t="s">
        <v>40</v>
      </c>
      <c r="M507" t="s">
        <v>57</v>
      </c>
      <c r="N507">
        <v>41996849234</v>
      </c>
      <c r="O507">
        <v>0</v>
      </c>
      <c r="P507">
        <v>0</v>
      </c>
      <c r="R507" t="s">
        <v>42</v>
      </c>
      <c r="S507">
        <v>15015918644</v>
      </c>
      <c r="T507" t="str">
        <f ca="1">VLOOKUP(RANDBETWEEN(1,17),'Auxiliar Vendas'!D:G,2,0)</f>
        <v>Produto 14</v>
      </c>
      <c r="U507">
        <v>500</v>
      </c>
      <c r="V507">
        <v>7.35</v>
      </c>
      <c r="W507">
        <v>0</v>
      </c>
      <c r="X507">
        <v>5.61</v>
      </c>
      <c r="Y507" s="3">
        <v>3675</v>
      </c>
      <c r="Z507">
        <v>41</v>
      </c>
      <c r="AA507" t="s">
        <v>59</v>
      </c>
      <c r="AB507">
        <v>0</v>
      </c>
      <c r="AC507">
        <v>0</v>
      </c>
      <c r="AD507" t="s">
        <v>58</v>
      </c>
      <c r="AH507" s="2">
        <v>44526.347222222219</v>
      </c>
      <c r="AI507">
        <v>0</v>
      </c>
      <c r="AJ507">
        <v>0</v>
      </c>
      <c r="AK507" s="30" t="str">
        <f ca="1">VLOOKUP(T507,'Auxiliar Vendas'!E:F,2,FALSE)</f>
        <v>Produto 14</v>
      </c>
      <c r="AL507" s="31">
        <f ca="1">U507*VLOOKUP(T507,'Auxiliar Vendas'!E:G,3,FALSE)</f>
        <v>700</v>
      </c>
    </row>
    <row r="508" spans="1:38">
      <c r="A508">
        <v>15368580747</v>
      </c>
      <c r="B508">
        <v>157</v>
      </c>
      <c r="D508" s="1">
        <v>44525</v>
      </c>
      <c r="E508">
        <v>15293238499</v>
      </c>
      <c r="F508" t="str">
        <f ca="1">VLOOKUP(RANDBETWEEN(1,20),'DBO Compras'!AA:AC,3,0)</f>
        <v>Comprador 04</v>
      </c>
      <c r="G508" t="s">
        <v>170</v>
      </c>
      <c r="H508" t="s">
        <v>171</v>
      </c>
      <c r="I508" t="s">
        <v>172</v>
      </c>
      <c r="J508" t="s">
        <v>143</v>
      </c>
      <c r="K508" t="s">
        <v>173</v>
      </c>
      <c r="L508" t="s">
        <v>40</v>
      </c>
      <c r="O508">
        <v>0</v>
      </c>
      <c r="P508">
        <v>0</v>
      </c>
      <c r="R508" t="s">
        <v>42</v>
      </c>
      <c r="S508">
        <v>15016099089</v>
      </c>
      <c r="T508" t="str">
        <f ca="1">VLOOKUP(RANDBETWEEN(1,17),'Auxiliar Vendas'!D:G,2,0)</f>
        <v>Produto 05</v>
      </c>
      <c r="U508">
        <v>150</v>
      </c>
      <c r="V508">
        <v>21.75</v>
      </c>
      <c r="W508">
        <v>0</v>
      </c>
      <c r="X508">
        <v>16.804400000000001</v>
      </c>
      <c r="Y508" s="3">
        <v>3262.5</v>
      </c>
      <c r="Z508">
        <v>74</v>
      </c>
      <c r="AA508" t="s">
        <v>79</v>
      </c>
      <c r="AB508">
        <v>0</v>
      </c>
      <c r="AC508">
        <v>0</v>
      </c>
      <c r="AD508" t="s">
        <v>51</v>
      </c>
      <c r="AH508" s="2">
        <v>44526.574999999997</v>
      </c>
      <c r="AI508">
        <v>0</v>
      </c>
      <c r="AJ508">
        <v>0</v>
      </c>
      <c r="AK508" s="30" t="str">
        <f ca="1">VLOOKUP(T508,'Auxiliar Vendas'!E:F,2,FALSE)</f>
        <v>Produto 05</v>
      </c>
      <c r="AL508" s="31">
        <f ca="1">U508*VLOOKUP(T508,'Auxiliar Vendas'!E:G,3,FALSE)</f>
        <v>90</v>
      </c>
    </row>
    <row r="509" spans="1:38">
      <c r="A509">
        <v>15368580747</v>
      </c>
      <c r="B509">
        <v>157</v>
      </c>
      <c r="D509" s="1">
        <v>44525</v>
      </c>
      <c r="E509">
        <v>15293238499</v>
      </c>
      <c r="F509" t="str">
        <f ca="1">VLOOKUP(RANDBETWEEN(1,20),'DBO Compras'!AA:AC,3,0)</f>
        <v>Comprador 12</v>
      </c>
      <c r="G509" t="s">
        <v>170</v>
      </c>
      <c r="H509" t="s">
        <v>171</v>
      </c>
      <c r="I509" t="s">
        <v>172</v>
      </c>
      <c r="J509" t="s">
        <v>143</v>
      </c>
      <c r="K509" t="s">
        <v>173</v>
      </c>
      <c r="L509" t="s">
        <v>40</v>
      </c>
      <c r="O509">
        <v>0</v>
      </c>
      <c r="P509">
        <v>0</v>
      </c>
      <c r="R509" t="s">
        <v>42</v>
      </c>
      <c r="S509">
        <v>15015746121</v>
      </c>
      <c r="T509" t="str">
        <f ca="1">VLOOKUP(RANDBETWEEN(1,17),'Auxiliar Vendas'!D:G,2,0)</f>
        <v>Produto 16</v>
      </c>
      <c r="U509">
        <v>40</v>
      </c>
      <c r="V509">
        <v>18.649999999999999</v>
      </c>
      <c r="W509">
        <v>0</v>
      </c>
      <c r="X509">
        <v>13.763999999999999</v>
      </c>
      <c r="Y509">
        <v>746</v>
      </c>
      <c r="Z509">
        <v>74</v>
      </c>
      <c r="AA509" t="s">
        <v>81</v>
      </c>
      <c r="AB509">
        <v>0</v>
      </c>
      <c r="AC509">
        <v>0</v>
      </c>
      <c r="AD509" t="s">
        <v>51</v>
      </c>
      <c r="AH509" s="2">
        <v>44526.574999999997</v>
      </c>
      <c r="AI509">
        <v>0</v>
      </c>
      <c r="AJ509">
        <v>0</v>
      </c>
      <c r="AK509" s="30" t="str">
        <f ca="1">VLOOKUP(T509,'Auxiliar Vendas'!E:F,2,FALSE)</f>
        <v>Produto 16</v>
      </c>
      <c r="AL509" s="31">
        <f ca="1">U509*VLOOKUP(T509,'Auxiliar Vendas'!E:G,3,FALSE)</f>
        <v>50.8</v>
      </c>
    </row>
    <row r="510" spans="1:38">
      <c r="A510">
        <v>15368580747</v>
      </c>
      <c r="B510">
        <v>157</v>
      </c>
      <c r="D510" s="1">
        <v>44525</v>
      </c>
      <c r="E510">
        <v>15293238499</v>
      </c>
      <c r="F510" t="str">
        <f ca="1">VLOOKUP(RANDBETWEEN(1,20),'DBO Compras'!AA:AC,3,0)</f>
        <v>Comprador 12</v>
      </c>
      <c r="G510" t="s">
        <v>170</v>
      </c>
      <c r="H510" t="s">
        <v>171</v>
      </c>
      <c r="I510" t="s">
        <v>172</v>
      </c>
      <c r="J510" t="s">
        <v>143</v>
      </c>
      <c r="K510" t="s">
        <v>173</v>
      </c>
      <c r="L510" t="s">
        <v>40</v>
      </c>
      <c r="O510">
        <v>0</v>
      </c>
      <c r="P510">
        <v>0</v>
      </c>
      <c r="R510" t="s">
        <v>42</v>
      </c>
      <c r="S510">
        <v>15016073255</v>
      </c>
      <c r="T510" t="str">
        <f ca="1">VLOOKUP(RANDBETWEEN(1,17),'Auxiliar Vendas'!D:G,2,0)</f>
        <v>Produto 05</v>
      </c>
      <c r="U510">
        <v>50</v>
      </c>
      <c r="V510">
        <v>16.7</v>
      </c>
      <c r="W510">
        <v>0</v>
      </c>
      <c r="X510">
        <v>10.747</v>
      </c>
      <c r="Y510">
        <v>835</v>
      </c>
      <c r="Z510">
        <v>74</v>
      </c>
      <c r="AA510" t="s">
        <v>160</v>
      </c>
      <c r="AB510">
        <v>0</v>
      </c>
      <c r="AC510">
        <v>0</v>
      </c>
      <c r="AD510" t="s">
        <v>51</v>
      </c>
      <c r="AH510" s="2">
        <v>44526.574999999997</v>
      </c>
      <c r="AI510">
        <v>0</v>
      </c>
      <c r="AJ510">
        <v>0</v>
      </c>
      <c r="AK510" s="30" t="str">
        <f ca="1">VLOOKUP(T510,'Auxiliar Vendas'!E:F,2,FALSE)</f>
        <v>Produto 05</v>
      </c>
      <c r="AL510" s="31">
        <f ca="1">U510*VLOOKUP(T510,'Auxiliar Vendas'!E:G,3,FALSE)</f>
        <v>30</v>
      </c>
    </row>
    <row r="511" spans="1:38">
      <c r="A511">
        <v>15368580747</v>
      </c>
      <c r="B511">
        <v>157</v>
      </c>
      <c r="D511" s="1">
        <v>44525</v>
      </c>
      <c r="E511">
        <v>15293238499</v>
      </c>
      <c r="F511" t="str">
        <f ca="1">VLOOKUP(RANDBETWEEN(1,20),'DBO Compras'!AA:AC,3,0)</f>
        <v>Comprador 14</v>
      </c>
      <c r="G511" t="s">
        <v>170</v>
      </c>
      <c r="H511" t="s">
        <v>171</v>
      </c>
      <c r="I511" t="s">
        <v>172</v>
      </c>
      <c r="J511" t="s">
        <v>143</v>
      </c>
      <c r="K511" t="s">
        <v>173</v>
      </c>
      <c r="L511" t="s">
        <v>40</v>
      </c>
      <c r="O511">
        <v>0</v>
      </c>
      <c r="P511">
        <v>0</v>
      </c>
      <c r="R511" t="s">
        <v>42</v>
      </c>
      <c r="S511">
        <v>15016043939</v>
      </c>
      <c r="T511" t="str">
        <f ca="1">VLOOKUP(RANDBETWEEN(1,17),'Auxiliar Vendas'!D:G,2,0)</f>
        <v>Produto 09</v>
      </c>
      <c r="U511">
        <v>120</v>
      </c>
      <c r="V511">
        <v>14.25</v>
      </c>
      <c r="W511">
        <v>0</v>
      </c>
      <c r="X511">
        <v>10.747</v>
      </c>
      <c r="Y511" s="3">
        <v>1710</v>
      </c>
      <c r="Z511">
        <v>74</v>
      </c>
      <c r="AA511" t="s">
        <v>50</v>
      </c>
      <c r="AB511">
        <v>0</v>
      </c>
      <c r="AC511">
        <v>0</v>
      </c>
      <c r="AD511" t="s">
        <v>51</v>
      </c>
      <c r="AH511" s="2">
        <v>44526.574999999997</v>
      </c>
      <c r="AI511">
        <v>0</v>
      </c>
      <c r="AJ511">
        <v>0</v>
      </c>
      <c r="AK511" s="30" t="str">
        <f ca="1">VLOOKUP(T511,'Auxiliar Vendas'!E:F,2,FALSE)</f>
        <v>Produto 09</v>
      </c>
      <c r="AL511" s="31">
        <f ca="1">U511*VLOOKUP(T511,'Auxiliar Vendas'!E:G,3,FALSE)</f>
        <v>132</v>
      </c>
    </row>
    <row r="512" spans="1:38">
      <c r="A512">
        <v>15368689318</v>
      </c>
      <c r="B512">
        <v>158</v>
      </c>
      <c r="D512" s="1">
        <v>44525</v>
      </c>
      <c r="E512">
        <v>15295556615</v>
      </c>
      <c r="F512" t="str">
        <f ca="1">VLOOKUP(RANDBETWEEN(1,20),'DBO Compras'!AA:AC,3,0)</f>
        <v>Comprador 04</v>
      </c>
      <c r="G512" t="s">
        <v>261</v>
      </c>
      <c r="H512" t="s">
        <v>262</v>
      </c>
      <c r="I512" t="s">
        <v>69</v>
      </c>
      <c r="J512" t="s">
        <v>244</v>
      </c>
      <c r="K512">
        <v>84261350</v>
      </c>
      <c r="L512" t="s">
        <v>40</v>
      </c>
      <c r="N512">
        <v>4284158927</v>
      </c>
      <c r="O512">
        <v>0</v>
      </c>
      <c r="P512">
        <v>0</v>
      </c>
      <c r="R512" t="s">
        <v>42</v>
      </c>
      <c r="S512">
        <v>15016043939</v>
      </c>
      <c r="T512" t="str">
        <f ca="1">VLOOKUP(RANDBETWEEN(1,17),'Auxiliar Vendas'!D:G,2,0)</f>
        <v>Produto 05</v>
      </c>
      <c r="U512">
        <v>500</v>
      </c>
      <c r="V512">
        <v>14.1</v>
      </c>
      <c r="W512">
        <v>0</v>
      </c>
      <c r="X512">
        <v>10.747</v>
      </c>
      <c r="Y512" s="3">
        <v>7050</v>
      </c>
      <c r="Z512">
        <v>79</v>
      </c>
      <c r="AA512" t="s">
        <v>50</v>
      </c>
      <c r="AB512">
        <v>0</v>
      </c>
      <c r="AC512">
        <v>0</v>
      </c>
      <c r="AD512" t="s">
        <v>51</v>
      </c>
      <c r="AH512" s="2">
        <v>44526.333333333336</v>
      </c>
      <c r="AI512">
        <v>0</v>
      </c>
      <c r="AJ512">
        <v>0</v>
      </c>
      <c r="AK512" s="30" t="str">
        <f ca="1">VLOOKUP(T512,'Auxiliar Vendas'!E:F,2,FALSE)</f>
        <v>Produto 05</v>
      </c>
      <c r="AL512" s="31">
        <f ca="1">U512*VLOOKUP(T512,'Auxiliar Vendas'!E:G,3,FALSE)</f>
        <v>300</v>
      </c>
    </row>
    <row r="513" spans="1:38">
      <c r="A513">
        <v>15368689318</v>
      </c>
      <c r="B513">
        <v>158</v>
      </c>
      <c r="D513" s="1">
        <v>44525</v>
      </c>
      <c r="E513">
        <v>15295556615</v>
      </c>
      <c r="F513" t="str">
        <f ca="1">VLOOKUP(RANDBETWEEN(1,20),'DBO Compras'!AA:AC,3,0)</f>
        <v>Comprador 13</v>
      </c>
      <c r="G513" t="s">
        <v>261</v>
      </c>
      <c r="H513" t="s">
        <v>262</v>
      </c>
      <c r="I513" t="s">
        <v>69</v>
      </c>
      <c r="J513" t="s">
        <v>244</v>
      </c>
      <c r="K513">
        <v>84261350</v>
      </c>
      <c r="L513" t="s">
        <v>40</v>
      </c>
      <c r="N513">
        <v>4284158927</v>
      </c>
      <c r="O513">
        <v>0</v>
      </c>
      <c r="P513">
        <v>0</v>
      </c>
      <c r="R513" t="s">
        <v>42</v>
      </c>
      <c r="S513">
        <v>15016099089</v>
      </c>
      <c r="T513" t="str">
        <f ca="1">VLOOKUP(RANDBETWEEN(1,17),'Auxiliar Vendas'!D:G,2,0)</f>
        <v>Produto 06</v>
      </c>
      <c r="U513">
        <v>60</v>
      </c>
      <c r="V513">
        <v>21.65</v>
      </c>
      <c r="W513">
        <v>0</v>
      </c>
      <c r="X513">
        <v>16.804400000000001</v>
      </c>
      <c r="Y513" s="3">
        <v>1299</v>
      </c>
      <c r="Z513">
        <v>79</v>
      </c>
      <c r="AA513" t="s">
        <v>79</v>
      </c>
      <c r="AB513">
        <v>0</v>
      </c>
      <c r="AC513">
        <v>0</v>
      </c>
      <c r="AD513" t="s">
        <v>51</v>
      </c>
      <c r="AH513" s="2">
        <v>44526.333333333336</v>
      </c>
      <c r="AI513">
        <v>0</v>
      </c>
      <c r="AJ513">
        <v>0</v>
      </c>
      <c r="AK513" s="30" t="str">
        <f ca="1">VLOOKUP(T513,'Auxiliar Vendas'!E:F,2,FALSE)</f>
        <v>Produto 06</v>
      </c>
      <c r="AL513" s="31">
        <f ca="1">U513*VLOOKUP(T513,'Auxiliar Vendas'!E:G,3,FALSE)</f>
        <v>30</v>
      </c>
    </row>
    <row r="514" spans="1:38">
      <c r="A514">
        <v>15368689318</v>
      </c>
      <c r="B514">
        <v>158</v>
      </c>
      <c r="D514" s="1">
        <v>44525</v>
      </c>
      <c r="E514">
        <v>15295556615</v>
      </c>
      <c r="F514" t="str">
        <f ca="1">VLOOKUP(RANDBETWEEN(1,20),'DBO Compras'!AA:AC,3,0)</f>
        <v>Comprador 06</v>
      </c>
      <c r="G514" t="s">
        <v>261</v>
      </c>
      <c r="H514" t="s">
        <v>262</v>
      </c>
      <c r="I514" t="s">
        <v>69</v>
      </c>
      <c r="J514" t="s">
        <v>244</v>
      </c>
      <c r="K514">
        <v>84261350</v>
      </c>
      <c r="L514" t="s">
        <v>40</v>
      </c>
      <c r="N514">
        <v>4284158927</v>
      </c>
      <c r="O514">
        <v>0</v>
      </c>
      <c r="P514">
        <v>0</v>
      </c>
      <c r="R514" t="s">
        <v>42</v>
      </c>
      <c r="S514">
        <v>15016087271</v>
      </c>
      <c r="T514" t="str">
        <f ca="1">VLOOKUP(RANDBETWEEN(1,17),'Auxiliar Vendas'!D:G,2,0)</f>
        <v>Produto 07</v>
      </c>
      <c r="U514">
        <v>20</v>
      </c>
      <c r="V514">
        <v>18.55</v>
      </c>
      <c r="W514">
        <v>0</v>
      </c>
      <c r="X514">
        <v>14.4596</v>
      </c>
      <c r="Y514">
        <v>371</v>
      </c>
      <c r="Z514">
        <v>79</v>
      </c>
      <c r="AA514" t="s">
        <v>64</v>
      </c>
      <c r="AB514">
        <v>0</v>
      </c>
      <c r="AC514">
        <v>0</v>
      </c>
      <c r="AD514" t="s">
        <v>51</v>
      </c>
      <c r="AH514" s="2">
        <v>44526.333333333336</v>
      </c>
      <c r="AI514">
        <v>0</v>
      </c>
      <c r="AJ514">
        <v>0</v>
      </c>
      <c r="AK514" s="30" t="str">
        <f ca="1">VLOOKUP(T514,'Auxiliar Vendas'!E:F,2,FALSE)</f>
        <v>Produto 07</v>
      </c>
      <c r="AL514" s="31">
        <f ca="1">U514*VLOOKUP(T514,'Auxiliar Vendas'!E:G,3,FALSE)</f>
        <v>22</v>
      </c>
    </row>
    <row r="515" spans="1:38">
      <c r="A515">
        <v>15368689318</v>
      </c>
      <c r="B515">
        <v>158</v>
      </c>
      <c r="D515" s="1">
        <v>44525</v>
      </c>
      <c r="E515">
        <v>15295556615</v>
      </c>
      <c r="F515" t="str">
        <f ca="1">VLOOKUP(RANDBETWEEN(1,20),'DBO Compras'!AA:AC,3,0)</f>
        <v>Comprador 02</v>
      </c>
      <c r="G515" t="s">
        <v>261</v>
      </c>
      <c r="H515" t="s">
        <v>262</v>
      </c>
      <c r="I515" t="s">
        <v>69</v>
      </c>
      <c r="J515" t="s">
        <v>244</v>
      </c>
      <c r="K515">
        <v>84261350</v>
      </c>
      <c r="L515" t="s">
        <v>40</v>
      </c>
      <c r="N515">
        <v>4284158927</v>
      </c>
      <c r="O515">
        <v>0</v>
      </c>
      <c r="P515">
        <v>0</v>
      </c>
      <c r="R515" t="s">
        <v>42</v>
      </c>
      <c r="S515">
        <v>15015918644</v>
      </c>
      <c r="T515" t="str">
        <f ca="1">VLOOKUP(RANDBETWEEN(1,17),'Auxiliar Vendas'!D:G,2,0)</f>
        <v>Produto 14</v>
      </c>
      <c r="U515">
        <v>300</v>
      </c>
      <c r="V515">
        <v>8.18</v>
      </c>
      <c r="W515">
        <v>0</v>
      </c>
      <c r="X515">
        <v>5.61</v>
      </c>
      <c r="Y515" s="3">
        <v>2454</v>
      </c>
      <c r="Z515">
        <v>79</v>
      </c>
      <c r="AA515" t="s">
        <v>59</v>
      </c>
      <c r="AB515">
        <v>0</v>
      </c>
      <c r="AC515">
        <v>0</v>
      </c>
      <c r="AD515" t="s">
        <v>51</v>
      </c>
      <c r="AH515" s="2">
        <v>44526.333333333336</v>
      </c>
      <c r="AI515">
        <v>0</v>
      </c>
      <c r="AJ515">
        <v>0</v>
      </c>
      <c r="AK515" s="30" t="str">
        <f ca="1">VLOOKUP(T515,'Auxiliar Vendas'!E:F,2,FALSE)</f>
        <v>Produto 14</v>
      </c>
      <c r="AL515" s="31">
        <f ca="1">U515*VLOOKUP(T515,'Auxiliar Vendas'!E:G,3,FALSE)</f>
        <v>420</v>
      </c>
    </row>
    <row r="516" spans="1:38">
      <c r="A516">
        <v>15368689318</v>
      </c>
      <c r="B516">
        <v>158</v>
      </c>
      <c r="D516" s="1">
        <v>44525</v>
      </c>
      <c r="E516">
        <v>15295556615</v>
      </c>
      <c r="F516" t="str">
        <f ca="1">VLOOKUP(RANDBETWEEN(1,20),'DBO Compras'!AA:AC,3,0)</f>
        <v>Comprador 08</v>
      </c>
      <c r="G516" t="s">
        <v>261</v>
      </c>
      <c r="H516" t="s">
        <v>262</v>
      </c>
      <c r="I516" t="s">
        <v>69</v>
      </c>
      <c r="J516" t="s">
        <v>244</v>
      </c>
      <c r="K516">
        <v>84261350</v>
      </c>
      <c r="L516" t="s">
        <v>40</v>
      </c>
      <c r="N516">
        <v>4284158927</v>
      </c>
      <c r="O516">
        <v>0</v>
      </c>
      <c r="P516">
        <v>0</v>
      </c>
      <c r="R516" t="s">
        <v>42</v>
      </c>
      <c r="S516">
        <v>15016093155</v>
      </c>
      <c r="T516" t="str">
        <f ca="1">VLOOKUP(RANDBETWEEN(1,17),'Auxiliar Vendas'!D:G,2,0)</f>
        <v>Produto 06</v>
      </c>
      <c r="U516">
        <v>40</v>
      </c>
      <c r="V516">
        <v>18.649999999999999</v>
      </c>
      <c r="W516">
        <v>0</v>
      </c>
      <c r="X516">
        <v>14.4596</v>
      </c>
      <c r="Y516">
        <v>746</v>
      </c>
      <c r="Z516">
        <v>79</v>
      </c>
      <c r="AA516" t="s">
        <v>65</v>
      </c>
      <c r="AB516">
        <v>0</v>
      </c>
      <c r="AC516">
        <v>0</v>
      </c>
      <c r="AD516" t="s">
        <v>51</v>
      </c>
      <c r="AH516" s="2">
        <v>44526.333333333336</v>
      </c>
      <c r="AI516">
        <v>0</v>
      </c>
      <c r="AJ516">
        <v>0</v>
      </c>
      <c r="AK516" s="30" t="str">
        <f ca="1">VLOOKUP(T516,'Auxiliar Vendas'!E:F,2,FALSE)</f>
        <v>Produto 06</v>
      </c>
      <c r="AL516" s="31">
        <f ca="1">U516*VLOOKUP(T516,'Auxiliar Vendas'!E:G,3,FALSE)</f>
        <v>20</v>
      </c>
    </row>
    <row r="517" spans="1:38">
      <c r="A517">
        <v>15368689318</v>
      </c>
      <c r="B517">
        <v>158</v>
      </c>
      <c r="D517" s="1">
        <v>44525</v>
      </c>
      <c r="E517">
        <v>15295556615</v>
      </c>
      <c r="F517" t="str">
        <f ca="1">VLOOKUP(RANDBETWEEN(1,20),'DBO Compras'!AA:AC,3,0)</f>
        <v>Comprador 18</v>
      </c>
      <c r="G517" t="s">
        <v>261</v>
      </c>
      <c r="H517" t="s">
        <v>262</v>
      </c>
      <c r="I517" t="s">
        <v>69</v>
      </c>
      <c r="J517" t="s">
        <v>244</v>
      </c>
      <c r="K517">
        <v>84261350</v>
      </c>
      <c r="L517" t="s">
        <v>40</v>
      </c>
      <c r="N517">
        <v>4284158927</v>
      </c>
      <c r="O517">
        <v>0</v>
      </c>
      <c r="P517">
        <v>0</v>
      </c>
      <c r="R517" t="s">
        <v>42</v>
      </c>
      <c r="S517">
        <v>15016080333</v>
      </c>
      <c r="T517" t="str">
        <f ca="1">VLOOKUP(RANDBETWEEN(1,17),'Auxiliar Vendas'!D:G,2,0)</f>
        <v>Produto 13</v>
      </c>
      <c r="U517">
        <v>10</v>
      </c>
      <c r="V517">
        <v>15.3</v>
      </c>
      <c r="W517">
        <v>0</v>
      </c>
      <c r="X517">
        <v>10.747</v>
      </c>
      <c r="Y517">
        <v>153</v>
      </c>
      <c r="Z517">
        <v>79</v>
      </c>
      <c r="AA517" t="s">
        <v>80</v>
      </c>
      <c r="AB517">
        <v>0</v>
      </c>
      <c r="AC517">
        <v>0</v>
      </c>
      <c r="AD517" t="s">
        <v>51</v>
      </c>
      <c r="AH517" s="2">
        <v>44526.333333333336</v>
      </c>
      <c r="AI517">
        <v>0</v>
      </c>
      <c r="AJ517">
        <v>0</v>
      </c>
      <c r="AK517" s="30" t="str">
        <f ca="1">VLOOKUP(T517,'Auxiliar Vendas'!E:F,2,FALSE)</f>
        <v>Produto 13</v>
      </c>
      <c r="AL517" s="31">
        <f ca="1">U517*VLOOKUP(T517,'Auxiliar Vendas'!E:G,3,FALSE)</f>
        <v>14</v>
      </c>
    </row>
    <row r="518" spans="1:38">
      <c r="A518">
        <v>15368689318</v>
      </c>
      <c r="B518">
        <v>158</v>
      </c>
      <c r="D518" s="1">
        <v>44525</v>
      </c>
      <c r="E518">
        <v>15295556615</v>
      </c>
      <c r="F518" t="str">
        <f ca="1">VLOOKUP(RANDBETWEEN(1,20),'DBO Compras'!AA:AC,3,0)</f>
        <v>Comprador 18</v>
      </c>
      <c r="G518" t="s">
        <v>261</v>
      </c>
      <c r="H518" t="s">
        <v>262</v>
      </c>
      <c r="I518" t="s">
        <v>69</v>
      </c>
      <c r="J518" t="s">
        <v>244</v>
      </c>
      <c r="K518">
        <v>84261350</v>
      </c>
      <c r="L518" t="s">
        <v>40</v>
      </c>
      <c r="N518">
        <v>4284158927</v>
      </c>
      <c r="O518">
        <v>0</v>
      </c>
      <c r="P518">
        <v>0</v>
      </c>
      <c r="R518" t="s">
        <v>42</v>
      </c>
      <c r="S518">
        <v>15016073255</v>
      </c>
      <c r="T518" t="str">
        <f ca="1">VLOOKUP(RANDBETWEEN(1,17),'Auxiliar Vendas'!D:G,2,0)</f>
        <v>Produto 15</v>
      </c>
      <c r="U518">
        <v>300</v>
      </c>
      <c r="V518">
        <v>16.600000000000001</v>
      </c>
      <c r="W518">
        <v>0</v>
      </c>
      <c r="X518">
        <v>10.747</v>
      </c>
      <c r="Y518" s="3">
        <v>4980</v>
      </c>
      <c r="Z518">
        <v>79</v>
      </c>
      <c r="AA518" t="s">
        <v>160</v>
      </c>
      <c r="AB518">
        <v>0</v>
      </c>
      <c r="AC518">
        <v>0</v>
      </c>
      <c r="AD518" t="s">
        <v>51</v>
      </c>
      <c r="AH518" s="2">
        <v>44526.333333333336</v>
      </c>
      <c r="AI518">
        <v>0</v>
      </c>
      <c r="AJ518">
        <v>0</v>
      </c>
      <c r="AK518" s="30" t="str">
        <f ca="1">VLOOKUP(T518,'Auxiliar Vendas'!E:F,2,FALSE)</f>
        <v>Produto 15</v>
      </c>
      <c r="AL518" s="31">
        <f ca="1">U518*VLOOKUP(T518,'Auxiliar Vendas'!E:G,3,FALSE)</f>
        <v>426</v>
      </c>
    </row>
    <row r="519" spans="1:38">
      <c r="A519">
        <v>15369395138</v>
      </c>
      <c r="B519">
        <v>160</v>
      </c>
      <c r="D519" s="1">
        <v>44525</v>
      </c>
      <c r="E519">
        <v>15291803674</v>
      </c>
      <c r="F519" t="str">
        <f ca="1">VLOOKUP(RANDBETWEEN(1,20),'DBO Compras'!AA:AC,3,0)</f>
        <v>Comprador 08</v>
      </c>
      <c r="G519" t="s">
        <v>88</v>
      </c>
      <c r="H519" t="s">
        <v>89</v>
      </c>
      <c r="I519" t="s">
        <v>90</v>
      </c>
      <c r="J519" t="s">
        <v>91</v>
      </c>
      <c r="K519">
        <v>88337440</v>
      </c>
      <c r="L519" t="s">
        <v>92</v>
      </c>
      <c r="M519" t="s">
        <v>93</v>
      </c>
      <c r="N519">
        <v>47996529345</v>
      </c>
      <c r="O519">
        <v>0</v>
      </c>
      <c r="P519">
        <v>0</v>
      </c>
      <c r="R519" t="s">
        <v>42</v>
      </c>
      <c r="S519">
        <v>15016093155</v>
      </c>
      <c r="T519" t="str">
        <f ca="1">VLOOKUP(RANDBETWEEN(1,17),'Auxiliar Vendas'!D:G,2,0)</f>
        <v>Produto 16</v>
      </c>
      <c r="U519" s="3">
        <v>1000</v>
      </c>
      <c r="V519">
        <v>17.899999999999999</v>
      </c>
      <c r="W519">
        <v>0</v>
      </c>
      <c r="X519">
        <v>14.4596</v>
      </c>
      <c r="Y519" s="3">
        <v>17900</v>
      </c>
      <c r="Z519">
        <v>73</v>
      </c>
      <c r="AA519" t="s">
        <v>65</v>
      </c>
      <c r="AB519">
        <v>0</v>
      </c>
      <c r="AC519">
        <v>0</v>
      </c>
      <c r="AD519" t="s">
        <v>189</v>
      </c>
      <c r="AH519" s="2">
        <v>44526.332638888889</v>
      </c>
      <c r="AI519">
        <v>0</v>
      </c>
      <c r="AJ519">
        <v>0</v>
      </c>
      <c r="AK519" s="30" t="str">
        <f ca="1">VLOOKUP(T519,'Auxiliar Vendas'!E:F,2,FALSE)</f>
        <v>Produto 16</v>
      </c>
      <c r="AL519" s="31">
        <f ca="1">U519*VLOOKUP(T519,'Auxiliar Vendas'!E:G,3,FALSE)</f>
        <v>1270</v>
      </c>
    </row>
    <row r="520" spans="1:38">
      <c r="A520">
        <v>15369450181</v>
      </c>
      <c r="B520">
        <v>161</v>
      </c>
      <c r="D520" s="1">
        <v>44525</v>
      </c>
      <c r="E520">
        <v>15058719469</v>
      </c>
      <c r="F520" t="str">
        <f ca="1">VLOOKUP(RANDBETWEEN(1,20),'DBO Compras'!AA:AC,3,0)</f>
        <v>Comprador 02</v>
      </c>
      <c r="G520" t="s">
        <v>72</v>
      </c>
      <c r="H520" t="s">
        <v>73</v>
      </c>
      <c r="I520" t="s">
        <v>74</v>
      </c>
      <c r="J520" t="s">
        <v>48</v>
      </c>
      <c r="K520">
        <v>82930548</v>
      </c>
      <c r="L520" t="s">
        <v>40</v>
      </c>
      <c r="O520">
        <v>0</v>
      </c>
      <c r="P520">
        <v>0</v>
      </c>
      <c r="R520" t="s">
        <v>42</v>
      </c>
      <c r="S520">
        <v>15015085610</v>
      </c>
      <c r="T520" t="str">
        <f ca="1">VLOOKUP(RANDBETWEEN(1,17),'Auxiliar Vendas'!D:G,2,0)</f>
        <v>Produto 04</v>
      </c>
      <c r="U520">
        <v>100</v>
      </c>
      <c r="V520">
        <v>14.25</v>
      </c>
      <c r="W520">
        <v>0</v>
      </c>
      <c r="X520">
        <v>10.23</v>
      </c>
      <c r="Y520" s="3">
        <v>1425</v>
      </c>
      <c r="Z520">
        <v>19</v>
      </c>
      <c r="AA520" t="s">
        <v>43</v>
      </c>
      <c r="AB520">
        <v>0</v>
      </c>
      <c r="AC520">
        <v>0</v>
      </c>
      <c r="AD520" t="s">
        <v>51</v>
      </c>
      <c r="AH520" s="2">
        <v>44526.332638888889</v>
      </c>
      <c r="AI520">
        <v>0</v>
      </c>
      <c r="AJ520">
        <v>0</v>
      </c>
      <c r="AK520" s="30" t="str">
        <f ca="1">VLOOKUP(T520,'Auxiliar Vendas'!E:F,2,FALSE)</f>
        <v>Produto 04</v>
      </c>
      <c r="AL520" s="31">
        <f ca="1">U520*VLOOKUP(T520,'Auxiliar Vendas'!E:G,3,FALSE)</f>
        <v>60</v>
      </c>
    </row>
    <row r="521" spans="1:38">
      <c r="A521">
        <v>15369450181</v>
      </c>
      <c r="B521">
        <v>161</v>
      </c>
      <c r="D521" s="1">
        <v>44525</v>
      </c>
      <c r="E521">
        <v>15058719469</v>
      </c>
      <c r="F521" t="str">
        <f ca="1">VLOOKUP(RANDBETWEEN(1,20),'DBO Compras'!AA:AC,3,0)</f>
        <v>Comprador 13</v>
      </c>
      <c r="G521" t="s">
        <v>72</v>
      </c>
      <c r="H521" t="s">
        <v>73</v>
      </c>
      <c r="I521" t="s">
        <v>74</v>
      </c>
      <c r="J521" t="s">
        <v>48</v>
      </c>
      <c r="K521">
        <v>82930548</v>
      </c>
      <c r="L521" t="s">
        <v>40</v>
      </c>
      <c r="O521">
        <v>0</v>
      </c>
      <c r="P521">
        <v>0</v>
      </c>
      <c r="R521" t="s">
        <v>42</v>
      </c>
      <c r="S521">
        <v>15015964159</v>
      </c>
      <c r="T521" t="str">
        <f ca="1">VLOOKUP(RANDBETWEEN(1,17),'Auxiliar Vendas'!D:G,2,0)</f>
        <v>Produto 01</v>
      </c>
      <c r="U521">
        <v>60</v>
      </c>
      <c r="V521">
        <v>16.7</v>
      </c>
      <c r="W521">
        <v>0</v>
      </c>
      <c r="X521">
        <v>10.285</v>
      </c>
      <c r="Y521" s="3">
        <v>1002</v>
      </c>
      <c r="Z521">
        <v>19</v>
      </c>
      <c r="AA521" t="s">
        <v>169</v>
      </c>
      <c r="AB521">
        <v>0</v>
      </c>
      <c r="AC521">
        <v>0</v>
      </c>
      <c r="AD521" t="s">
        <v>51</v>
      </c>
      <c r="AH521" s="2">
        <v>44526.332638888889</v>
      </c>
      <c r="AI521">
        <v>0</v>
      </c>
      <c r="AJ521">
        <v>0</v>
      </c>
      <c r="AK521" s="30" t="str">
        <f ca="1">VLOOKUP(T521,'Auxiliar Vendas'!E:F,2,FALSE)</f>
        <v>Produto 01</v>
      </c>
      <c r="AL521" s="31">
        <f ca="1">U521*VLOOKUP(T521,'Auxiliar Vendas'!E:G,3,FALSE)</f>
        <v>24</v>
      </c>
    </row>
    <row r="522" spans="1:38">
      <c r="A522">
        <v>15369450181</v>
      </c>
      <c r="B522">
        <v>161</v>
      </c>
      <c r="D522" s="1">
        <v>44525</v>
      </c>
      <c r="E522">
        <v>15058719469</v>
      </c>
      <c r="F522" t="str">
        <f ca="1">VLOOKUP(RANDBETWEEN(1,20),'DBO Compras'!AA:AC,3,0)</f>
        <v>Comprador 14</v>
      </c>
      <c r="G522" t="s">
        <v>72</v>
      </c>
      <c r="H522" t="s">
        <v>73</v>
      </c>
      <c r="I522" t="s">
        <v>74</v>
      </c>
      <c r="J522" t="s">
        <v>48</v>
      </c>
      <c r="K522">
        <v>82930548</v>
      </c>
      <c r="L522" t="s">
        <v>40</v>
      </c>
      <c r="O522">
        <v>0</v>
      </c>
      <c r="P522">
        <v>0</v>
      </c>
      <c r="R522" t="s">
        <v>42</v>
      </c>
      <c r="S522">
        <v>15015918644</v>
      </c>
      <c r="T522" t="str">
        <f ca="1">VLOOKUP(RANDBETWEEN(1,17),'Auxiliar Vendas'!D:G,2,0)</f>
        <v>Produto 08</v>
      </c>
      <c r="U522">
        <v>60</v>
      </c>
      <c r="V522">
        <v>8.3800000000000008</v>
      </c>
      <c r="W522">
        <v>0</v>
      </c>
      <c r="X522">
        <v>5.61</v>
      </c>
      <c r="Y522">
        <v>502.8</v>
      </c>
      <c r="Z522">
        <v>19</v>
      </c>
      <c r="AA522" t="s">
        <v>59</v>
      </c>
      <c r="AB522">
        <v>0</v>
      </c>
      <c r="AC522">
        <v>0</v>
      </c>
      <c r="AD522" t="s">
        <v>51</v>
      </c>
      <c r="AH522" s="2">
        <v>44526.332638888889</v>
      </c>
      <c r="AI522">
        <v>0</v>
      </c>
      <c r="AJ522">
        <v>0</v>
      </c>
      <c r="AK522" s="30" t="str">
        <f ca="1">VLOOKUP(T522,'Auxiliar Vendas'!E:F,2,FALSE)</f>
        <v>Produto 08</v>
      </c>
      <c r="AL522" s="31">
        <f ca="1">U522*VLOOKUP(T522,'Auxiliar Vendas'!E:G,3,FALSE)</f>
        <v>66</v>
      </c>
    </row>
    <row r="523" spans="1:38">
      <c r="A523">
        <v>15364391836</v>
      </c>
      <c r="B523">
        <v>154</v>
      </c>
      <c r="D523" s="1">
        <v>44526</v>
      </c>
      <c r="E523">
        <v>15339582855</v>
      </c>
      <c r="F523" t="str">
        <f ca="1">VLOOKUP(RANDBETWEEN(1,20),'DBO Compras'!AA:AC,3,0)</f>
        <v>Comprador 10</v>
      </c>
      <c r="G523" t="s">
        <v>263</v>
      </c>
      <c r="H523" t="s">
        <v>264</v>
      </c>
      <c r="I523" t="s">
        <v>265</v>
      </c>
      <c r="J523" t="s">
        <v>39</v>
      </c>
      <c r="K523">
        <v>82840020</v>
      </c>
      <c r="L523" t="s">
        <v>40</v>
      </c>
      <c r="M523" t="s">
        <v>266</v>
      </c>
      <c r="N523">
        <v>41995546245</v>
      </c>
      <c r="O523">
        <v>0</v>
      </c>
      <c r="P523">
        <v>0</v>
      </c>
      <c r="R523" t="s">
        <v>42</v>
      </c>
      <c r="S523">
        <v>15016043939</v>
      </c>
      <c r="T523" t="str">
        <f ca="1">VLOOKUP(RANDBETWEEN(1,17),'Auxiliar Vendas'!D:G,2,0)</f>
        <v>Produto 07</v>
      </c>
      <c r="U523" s="3">
        <v>4000</v>
      </c>
      <c r="V523">
        <v>12.5</v>
      </c>
      <c r="W523">
        <v>0</v>
      </c>
      <c r="X523">
        <v>10.747</v>
      </c>
      <c r="Y523" s="3">
        <v>50000</v>
      </c>
      <c r="Z523">
        <v>83</v>
      </c>
      <c r="AA523" t="s">
        <v>50</v>
      </c>
      <c r="AB523">
        <v>0</v>
      </c>
      <c r="AC523">
        <v>0</v>
      </c>
      <c r="AD523" t="s">
        <v>58</v>
      </c>
      <c r="AH523" s="2">
        <v>44526.570138888892</v>
      </c>
      <c r="AI523">
        <v>0</v>
      </c>
      <c r="AJ523">
        <v>0</v>
      </c>
      <c r="AK523" s="30" t="str">
        <f ca="1">VLOOKUP(T523,'Auxiliar Vendas'!E:F,2,FALSE)</f>
        <v>Produto 07</v>
      </c>
      <c r="AL523" s="31">
        <f ca="1">U523*VLOOKUP(T523,'Auxiliar Vendas'!E:G,3,FALSE)</f>
        <v>4400</v>
      </c>
    </row>
    <row r="524" spans="1:38">
      <c r="A524">
        <v>15364394161</v>
      </c>
      <c r="B524">
        <v>155</v>
      </c>
      <c r="D524" s="1">
        <v>44526</v>
      </c>
      <c r="E524">
        <v>15339582855</v>
      </c>
      <c r="F524" t="str">
        <f ca="1">VLOOKUP(RANDBETWEEN(1,20),'DBO Compras'!AA:AC,3,0)</f>
        <v>Comprador 03</v>
      </c>
      <c r="G524" t="s">
        <v>263</v>
      </c>
      <c r="H524" t="s">
        <v>264</v>
      </c>
      <c r="I524" t="s">
        <v>265</v>
      </c>
      <c r="J524" t="s">
        <v>39</v>
      </c>
      <c r="K524">
        <v>82840020</v>
      </c>
      <c r="L524" t="s">
        <v>40</v>
      </c>
      <c r="M524" t="s">
        <v>266</v>
      </c>
      <c r="N524">
        <v>41995546245</v>
      </c>
      <c r="O524">
        <v>0</v>
      </c>
      <c r="P524">
        <v>0</v>
      </c>
      <c r="R524" t="s">
        <v>42</v>
      </c>
      <c r="S524">
        <v>15015918644</v>
      </c>
      <c r="T524" t="str">
        <f ca="1">VLOOKUP(RANDBETWEEN(1,17),'Auxiliar Vendas'!D:G,2,0)</f>
        <v>Produto 14</v>
      </c>
      <c r="U524" s="3">
        <v>4000</v>
      </c>
      <c r="V524">
        <v>7.18</v>
      </c>
      <c r="W524">
        <v>0</v>
      </c>
      <c r="X524">
        <v>5.61</v>
      </c>
      <c r="Y524" s="3">
        <v>28720</v>
      </c>
      <c r="Z524">
        <v>83</v>
      </c>
      <c r="AA524" t="s">
        <v>59</v>
      </c>
      <c r="AB524">
        <v>0</v>
      </c>
      <c r="AC524">
        <v>0</v>
      </c>
      <c r="AD524" t="s">
        <v>58</v>
      </c>
      <c r="AH524" s="2">
        <v>44526.423611111109</v>
      </c>
      <c r="AI524">
        <v>0</v>
      </c>
      <c r="AJ524">
        <v>0</v>
      </c>
      <c r="AK524" s="30" t="str">
        <f ca="1">VLOOKUP(T524,'Auxiliar Vendas'!E:F,2,FALSE)</f>
        <v>Produto 14</v>
      </c>
      <c r="AL524" s="31">
        <f ca="1">U524*VLOOKUP(T524,'Auxiliar Vendas'!E:G,3,FALSE)</f>
        <v>5600</v>
      </c>
    </row>
    <row r="525" spans="1:38">
      <c r="A525">
        <v>15364439659</v>
      </c>
      <c r="B525">
        <v>156</v>
      </c>
      <c r="D525" s="1">
        <v>44526</v>
      </c>
      <c r="E525">
        <v>15179581888</v>
      </c>
      <c r="F525" t="str">
        <f ca="1">VLOOKUP(RANDBETWEEN(1,20),'DBO Compras'!AA:AC,3,0)</f>
        <v>Comprador 05</v>
      </c>
      <c r="G525" t="s">
        <v>54</v>
      </c>
      <c r="H525" t="s">
        <v>55</v>
      </c>
      <c r="I525" t="s">
        <v>56</v>
      </c>
      <c r="J525" t="s">
        <v>39</v>
      </c>
      <c r="K525">
        <v>81350610</v>
      </c>
      <c r="L525" t="s">
        <v>40</v>
      </c>
      <c r="M525" t="s">
        <v>57</v>
      </c>
      <c r="N525">
        <v>41996849234</v>
      </c>
      <c r="O525">
        <v>0</v>
      </c>
      <c r="P525">
        <v>0</v>
      </c>
      <c r="R525" t="s">
        <v>42</v>
      </c>
      <c r="S525">
        <v>15016043939</v>
      </c>
      <c r="T525" t="str">
        <f ca="1">VLOOKUP(RANDBETWEEN(1,17),'Auxiliar Vendas'!D:G,2,0)</f>
        <v>Produto 10</v>
      </c>
      <c r="U525">
        <v>162</v>
      </c>
      <c r="V525">
        <v>12.7</v>
      </c>
      <c r="W525">
        <v>0</v>
      </c>
      <c r="X525">
        <v>10.747</v>
      </c>
      <c r="Y525" s="3">
        <v>2057.4</v>
      </c>
      <c r="Z525">
        <v>41</v>
      </c>
      <c r="AA525" t="s">
        <v>50</v>
      </c>
      <c r="AB525">
        <v>0</v>
      </c>
      <c r="AC525">
        <v>0</v>
      </c>
      <c r="AD525" t="s">
        <v>58</v>
      </c>
      <c r="AH525" s="2">
        <v>44530.427083333336</v>
      </c>
      <c r="AI525">
        <v>0</v>
      </c>
      <c r="AJ525">
        <v>0</v>
      </c>
      <c r="AK525" s="30" t="str">
        <f ca="1">VLOOKUP(T525,'Auxiliar Vendas'!E:F,2,FALSE)</f>
        <v>Produto 10</v>
      </c>
      <c r="AL525" s="31">
        <f ca="1">U525*VLOOKUP(T525,'Auxiliar Vendas'!E:G,3,FALSE)</f>
        <v>178.20000000000002</v>
      </c>
    </row>
    <row r="526" spans="1:38">
      <c r="A526">
        <v>15364439659</v>
      </c>
      <c r="B526">
        <v>156</v>
      </c>
      <c r="D526" s="1">
        <v>44526</v>
      </c>
      <c r="E526">
        <v>15179581888</v>
      </c>
      <c r="F526" t="str">
        <f ca="1">VLOOKUP(RANDBETWEEN(1,20),'DBO Compras'!AA:AC,3,0)</f>
        <v>Comprador 01</v>
      </c>
      <c r="G526" t="s">
        <v>54</v>
      </c>
      <c r="H526" t="s">
        <v>55</v>
      </c>
      <c r="I526" t="s">
        <v>56</v>
      </c>
      <c r="J526" t="s">
        <v>39</v>
      </c>
      <c r="K526">
        <v>81350610</v>
      </c>
      <c r="L526" t="s">
        <v>40</v>
      </c>
      <c r="M526" t="s">
        <v>57</v>
      </c>
      <c r="N526">
        <v>41996849234</v>
      </c>
      <c r="O526">
        <v>0</v>
      </c>
      <c r="P526">
        <v>0</v>
      </c>
      <c r="R526" t="s">
        <v>42</v>
      </c>
      <c r="S526">
        <v>15015918644</v>
      </c>
      <c r="T526" t="str">
        <f ca="1">VLOOKUP(RANDBETWEEN(1,17),'Auxiliar Vendas'!D:G,2,0)</f>
        <v>Produto 04</v>
      </c>
      <c r="U526" s="3">
        <v>1090</v>
      </c>
      <c r="V526">
        <v>7.22</v>
      </c>
      <c r="W526">
        <v>0</v>
      </c>
      <c r="X526">
        <v>5.61</v>
      </c>
      <c r="Y526" s="3">
        <v>7869.8</v>
      </c>
      <c r="Z526">
        <v>41</v>
      </c>
      <c r="AA526" t="s">
        <v>59</v>
      </c>
      <c r="AB526">
        <v>0</v>
      </c>
      <c r="AC526">
        <v>0</v>
      </c>
      <c r="AD526" t="s">
        <v>58</v>
      </c>
      <c r="AH526" s="2">
        <v>44530.427083333336</v>
      </c>
      <c r="AI526">
        <v>0</v>
      </c>
      <c r="AJ526">
        <v>0</v>
      </c>
      <c r="AK526" s="30" t="str">
        <f ca="1">VLOOKUP(T526,'Auxiliar Vendas'!E:F,2,FALSE)</f>
        <v>Produto 04</v>
      </c>
      <c r="AL526" s="31">
        <f ca="1">U526*VLOOKUP(T526,'Auxiliar Vendas'!E:G,3,FALSE)</f>
        <v>654</v>
      </c>
    </row>
    <row r="527" spans="1:38">
      <c r="A527">
        <v>15364439659</v>
      </c>
      <c r="B527">
        <v>156</v>
      </c>
      <c r="D527" s="1">
        <v>44526</v>
      </c>
      <c r="E527">
        <v>15179581888</v>
      </c>
      <c r="F527" t="str">
        <f ca="1">VLOOKUP(RANDBETWEEN(1,20),'DBO Compras'!AA:AC,3,0)</f>
        <v>Comprador 02</v>
      </c>
      <c r="G527" t="s">
        <v>54</v>
      </c>
      <c r="H527" t="s">
        <v>55</v>
      </c>
      <c r="I527" t="s">
        <v>56</v>
      </c>
      <c r="J527" t="s">
        <v>39</v>
      </c>
      <c r="K527">
        <v>81350610</v>
      </c>
      <c r="L527" t="s">
        <v>40</v>
      </c>
      <c r="M527" t="s">
        <v>57</v>
      </c>
      <c r="N527">
        <v>41996849234</v>
      </c>
      <c r="O527">
        <v>0</v>
      </c>
      <c r="P527">
        <v>0</v>
      </c>
      <c r="R527" t="s">
        <v>42</v>
      </c>
      <c r="S527">
        <v>15015085610</v>
      </c>
      <c r="T527" t="str">
        <f ca="1">VLOOKUP(RANDBETWEEN(1,17),'Auxiliar Vendas'!D:G,2,0)</f>
        <v>Produto 16</v>
      </c>
      <c r="U527">
        <v>261</v>
      </c>
      <c r="V527">
        <v>12.7</v>
      </c>
      <c r="W527">
        <v>9.93</v>
      </c>
      <c r="X527">
        <v>10.23</v>
      </c>
      <c r="Y527" s="3">
        <v>3314.7</v>
      </c>
      <c r="Z527">
        <v>41</v>
      </c>
      <c r="AA527" t="s">
        <v>43</v>
      </c>
      <c r="AB527">
        <v>0</v>
      </c>
      <c r="AC527">
        <v>0</v>
      </c>
      <c r="AD527" t="s">
        <v>58</v>
      </c>
      <c r="AH527" s="2">
        <v>44530.427083333336</v>
      </c>
      <c r="AI527">
        <v>0</v>
      </c>
      <c r="AJ527">
        <v>0</v>
      </c>
      <c r="AK527" s="30" t="str">
        <f ca="1">VLOOKUP(T527,'Auxiliar Vendas'!E:F,2,FALSE)</f>
        <v>Produto 16</v>
      </c>
      <c r="AL527" s="31">
        <f ca="1">U527*VLOOKUP(T527,'Auxiliar Vendas'!E:G,3,FALSE)</f>
        <v>331.47</v>
      </c>
    </row>
    <row r="528" spans="1:38">
      <c r="A528">
        <v>15364439659</v>
      </c>
      <c r="B528">
        <v>156</v>
      </c>
      <c r="D528" s="1">
        <v>44526</v>
      </c>
      <c r="E528">
        <v>15179581888</v>
      </c>
      <c r="F528" t="str">
        <f ca="1">VLOOKUP(RANDBETWEEN(1,20),'DBO Compras'!AA:AC,3,0)</f>
        <v>Comprador 03</v>
      </c>
      <c r="G528" t="s">
        <v>54</v>
      </c>
      <c r="H528" t="s">
        <v>55</v>
      </c>
      <c r="I528" t="s">
        <v>56</v>
      </c>
      <c r="J528" t="s">
        <v>39</v>
      </c>
      <c r="K528">
        <v>81350610</v>
      </c>
      <c r="L528" t="s">
        <v>40</v>
      </c>
      <c r="M528" t="s">
        <v>57</v>
      </c>
      <c r="N528">
        <v>41996849234</v>
      </c>
      <c r="O528">
        <v>0</v>
      </c>
      <c r="P528">
        <v>0</v>
      </c>
      <c r="R528" t="s">
        <v>42</v>
      </c>
      <c r="S528">
        <v>15015911944</v>
      </c>
      <c r="T528" t="str">
        <f ca="1">VLOOKUP(RANDBETWEEN(1,17),'Auxiliar Vendas'!D:G,2,0)</f>
        <v>Produto 07</v>
      </c>
      <c r="U528">
        <v>577</v>
      </c>
      <c r="V528">
        <v>12.7</v>
      </c>
      <c r="W528">
        <v>0</v>
      </c>
      <c r="X528">
        <v>10.285</v>
      </c>
      <c r="Y528" s="3">
        <v>7327.9</v>
      </c>
      <c r="Z528">
        <v>41</v>
      </c>
      <c r="AA528" t="s">
        <v>78</v>
      </c>
      <c r="AB528">
        <v>0</v>
      </c>
      <c r="AC528">
        <v>0</v>
      </c>
      <c r="AD528" t="s">
        <v>58</v>
      </c>
      <c r="AH528" s="2">
        <v>44530.427083333336</v>
      </c>
      <c r="AI528">
        <v>0</v>
      </c>
      <c r="AJ528">
        <v>0</v>
      </c>
      <c r="AK528" s="30" t="str">
        <f ca="1">VLOOKUP(T528,'Auxiliar Vendas'!E:F,2,FALSE)</f>
        <v>Produto 07</v>
      </c>
      <c r="AL528" s="31">
        <f ca="1">U528*VLOOKUP(T528,'Auxiliar Vendas'!E:G,3,FALSE)</f>
        <v>634.70000000000005</v>
      </c>
    </row>
    <row r="529" spans="1:38">
      <c r="A529">
        <v>15369362911</v>
      </c>
      <c r="B529">
        <v>159</v>
      </c>
      <c r="D529" s="1">
        <v>44526</v>
      </c>
      <c r="E529">
        <v>15279322250</v>
      </c>
      <c r="F529" t="str">
        <f ca="1">VLOOKUP(RANDBETWEEN(1,20),'DBO Compras'!AA:AC,3,0)</f>
        <v>Comprador 07</v>
      </c>
      <c r="G529" t="s">
        <v>83</v>
      </c>
      <c r="H529" t="s">
        <v>84</v>
      </c>
      <c r="I529" t="s">
        <v>85</v>
      </c>
      <c r="J529" t="s">
        <v>39</v>
      </c>
      <c r="K529">
        <v>80220100</v>
      </c>
      <c r="L529" t="s">
        <v>40</v>
      </c>
      <c r="M529" t="s">
        <v>86</v>
      </c>
      <c r="N529">
        <v>41993330017</v>
      </c>
      <c r="O529">
        <v>0</v>
      </c>
      <c r="P529">
        <v>0</v>
      </c>
      <c r="R529" t="s">
        <v>42</v>
      </c>
      <c r="S529">
        <v>15016043939</v>
      </c>
      <c r="T529" t="str">
        <f ca="1">VLOOKUP(RANDBETWEEN(1,17),'Auxiliar Vendas'!D:G,2,0)</f>
        <v>Produto 14</v>
      </c>
      <c r="U529">
        <v>500</v>
      </c>
      <c r="V529">
        <v>13.19</v>
      </c>
      <c r="W529">
        <v>0</v>
      </c>
      <c r="X529">
        <v>10.747</v>
      </c>
      <c r="Y529" s="3">
        <v>6595</v>
      </c>
      <c r="Z529">
        <v>68</v>
      </c>
      <c r="AA529" t="s">
        <v>50</v>
      </c>
      <c r="AB529">
        <v>0</v>
      </c>
      <c r="AC529">
        <v>0</v>
      </c>
      <c r="AH529" s="2">
        <v>44530.427083333336</v>
      </c>
      <c r="AI529">
        <v>0</v>
      </c>
      <c r="AJ529">
        <v>0</v>
      </c>
      <c r="AK529" s="30" t="str">
        <f ca="1">VLOOKUP(T529,'Auxiliar Vendas'!E:F,2,FALSE)</f>
        <v>Produto 14</v>
      </c>
      <c r="AL529" s="31">
        <f ca="1">U529*VLOOKUP(T529,'Auxiliar Vendas'!E:G,3,FALSE)</f>
        <v>700</v>
      </c>
    </row>
    <row r="530" spans="1:38">
      <c r="A530">
        <v>15369362911</v>
      </c>
      <c r="B530">
        <v>159</v>
      </c>
      <c r="D530" s="1">
        <v>44526</v>
      </c>
      <c r="E530">
        <v>15279322250</v>
      </c>
      <c r="F530" t="str">
        <f ca="1">VLOOKUP(RANDBETWEEN(1,20),'DBO Compras'!AA:AC,3,0)</f>
        <v>Comprador 11</v>
      </c>
      <c r="G530" t="s">
        <v>83</v>
      </c>
      <c r="H530" t="s">
        <v>84</v>
      </c>
      <c r="I530" t="s">
        <v>85</v>
      </c>
      <c r="J530" t="s">
        <v>39</v>
      </c>
      <c r="K530">
        <v>80220100</v>
      </c>
      <c r="L530" t="s">
        <v>40</v>
      </c>
      <c r="M530" t="s">
        <v>86</v>
      </c>
      <c r="N530">
        <v>41993330017</v>
      </c>
      <c r="O530">
        <v>0</v>
      </c>
      <c r="P530">
        <v>0</v>
      </c>
      <c r="R530" t="s">
        <v>42</v>
      </c>
      <c r="S530">
        <v>15016093155</v>
      </c>
      <c r="T530" t="str">
        <f ca="1">VLOOKUP(RANDBETWEEN(1,17),'Auxiliar Vendas'!D:G,2,0)</f>
        <v>Produto 14</v>
      </c>
      <c r="U530">
        <v>200</v>
      </c>
      <c r="V530">
        <v>17.899999999999999</v>
      </c>
      <c r="W530">
        <v>0</v>
      </c>
      <c r="X530">
        <v>14.4596</v>
      </c>
      <c r="Y530" s="3">
        <v>3580</v>
      </c>
      <c r="Z530">
        <v>68</v>
      </c>
      <c r="AA530" t="s">
        <v>65</v>
      </c>
      <c r="AB530">
        <v>0</v>
      </c>
      <c r="AC530">
        <v>0</v>
      </c>
      <c r="AH530" s="2">
        <v>44530.427083333336</v>
      </c>
      <c r="AI530">
        <v>0</v>
      </c>
      <c r="AJ530">
        <v>0</v>
      </c>
      <c r="AK530" s="30" t="str">
        <f ca="1">VLOOKUP(T530,'Auxiliar Vendas'!E:F,2,FALSE)</f>
        <v>Produto 14</v>
      </c>
      <c r="AL530" s="31">
        <f ca="1">U530*VLOOKUP(T530,'Auxiliar Vendas'!E:G,3,FALSE)</f>
        <v>280</v>
      </c>
    </row>
    <row r="531" spans="1:38">
      <c r="A531">
        <v>15394322040</v>
      </c>
      <c r="B531">
        <v>162</v>
      </c>
      <c r="D531" s="1">
        <v>44529</v>
      </c>
      <c r="E531">
        <v>15179581888</v>
      </c>
      <c r="F531" t="str">
        <f ca="1">VLOOKUP(RANDBETWEEN(1,20),'DBO Compras'!AA:AC,3,0)</f>
        <v>Comprador 12</v>
      </c>
      <c r="G531" t="s">
        <v>54</v>
      </c>
      <c r="H531" t="s">
        <v>55</v>
      </c>
      <c r="I531" t="s">
        <v>56</v>
      </c>
      <c r="J531" t="s">
        <v>39</v>
      </c>
      <c r="K531">
        <v>81350610</v>
      </c>
      <c r="L531" t="s">
        <v>40</v>
      </c>
      <c r="M531" t="s">
        <v>57</v>
      </c>
      <c r="N531">
        <v>41996849234</v>
      </c>
      <c r="O531">
        <v>0</v>
      </c>
      <c r="P531">
        <v>0</v>
      </c>
      <c r="R531" t="s">
        <v>42</v>
      </c>
      <c r="S531">
        <v>15016073255</v>
      </c>
      <c r="T531" t="str">
        <f ca="1">VLOOKUP(RANDBETWEEN(1,17),'Auxiliar Vendas'!D:G,2,0)</f>
        <v>Produto 16</v>
      </c>
      <c r="U531">
        <v>650</v>
      </c>
      <c r="V531">
        <v>15</v>
      </c>
      <c r="W531">
        <v>0</v>
      </c>
      <c r="X531">
        <v>10.747</v>
      </c>
      <c r="Y531" s="3">
        <v>9750</v>
      </c>
      <c r="Z531">
        <v>41</v>
      </c>
      <c r="AA531" t="s">
        <v>160</v>
      </c>
      <c r="AB531">
        <v>0</v>
      </c>
      <c r="AC531">
        <v>0</v>
      </c>
      <c r="AD531" t="s">
        <v>58</v>
      </c>
      <c r="AH531" s="2">
        <v>44530.427083333336</v>
      </c>
      <c r="AI531">
        <v>0</v>
      </c>
      <c r="AJ531">
        <v>0</v>
      </c>
      <c r="AK531" s="30" t="str">
        <f ca="1">VLOOKUP(T531,'Auxiliar Vendas'!E:F,2,FALSE)</f>
        <v>Produto 16</v>
      </c>
      <c r="AL531" s="31">
        <f ca="1">U531*VLOOKUP(T531,'Auxiliar Vendas'!E:G,3,FALSE)</f>
        <v>825.5</v>
      </c>
    </row>
    <row r="532" spans="1:38">
      <c r="A532">
        <v>15394322040</v>
      </c>
      <c r="B532">
        <v>162</v>
      </c>
      <c r="D532" s="1">
        <v>44529</v>
      </c>
      <c r="E532">
        <v>15179581888</v>
      </c>
      <c r="F532" t="str">
        <f ca="1">VLOOKUP(RANDBETWEEN(1,20),'DBO Compras'!AA:AC,3,0)</f>
        <v>Comprador 13</v>
      </c>
      <c r="G532" t="s">
        <v>54</v>
      </c>
      <c r="H532" t="s">
        <v>55</v>
      </c>
      <c r="I532" t="s">
        <v>56</v>
      </c>
      <c r="J532" t="s">
        <v>39</v>
      </c>
      <c r="K532">
        <v>81350610</v>
      </c>
      <c r="L532" t="s">
        <v>40</v>
      </c>
      <c r="M532" t="s">
        <v>57</v>
      </c>
      <c r="N532">
        <v>41996849234</v>
      </c>
      <c r="O532">
        <v>0</v>
      </c>
      <c r="P532">
        <v>0</v>
      </c>
      <c r="R532" t="s">
        <v>42</v>
      </c>
      <c r="S532">
        <v>15016080333</v>
      </c>
      <c r="T532" t="str">
        <f ca="1">VLOOKUP(RANDBETWEEN(1,17),'Auxiliar Vendas'!D:G,2,0)</f>
        <v>Produto 11</v>
      </c>
      <c r="U532">
        <v>100</v>
      </c>
      <c r="V532">
        <v>13.4</v>
      </c>
      <c r="W532">
        <v>0</v>
      </c>
      <c r="X532">
        <v>10.747</v>
      </c>
      <c r="Y532" s="3">
        <v>1340</v>
      </c>
      <c r="Z532">
        <v>41</v>
      </c>
      <c r="AA532" t="s">
        <v>80</v>
      </c>
      <c r="AB532">
        <v>0</v>
      </c>
      <c r="AC532">
        <v>0</v>
      </c>
      <c r="AD532" t="s">
        <v>58</v>
      </c>
      <c r="AH532" s="2">
        <v>44530.427083333336</v>
      </c>
      <c r="AI532">
        <v>0</v>
      </c>
      <c r="AJ532">
        <v>0</v>
      </c>
      <c r="AK532" s="30" t="str">
        <f ca="1">VLOOKUP(T532,'Auxiliar Vendas'!E:F,2,FALSE)</f>
        <v>Produto 11</v>
      </c>
      <c r="AL532" s="31">
        <f ca="1">U532*VLOOKUP(T532,'Auxiliar Vendas'!E:G,3,FALSE)</f>
        <v>110.00000000000001</v>
      </c>
    </row>
    <row r="533" spans="1:38">
      <c r="A533">
        <v>15394322040</v>
      </c>
      <c r="B533">
        <v>162</v>
      </c>
      <c r="D533" s="1">
        <v>44529</v>
      </c>
      <c r="E533">
        <v>15179581888</v>
      </c>
      <c r="F533" t="str">
        <f ca="1">VLOOKUP(RANDBETWEEN(1,20),'DBO Compras'!AA:AC,3,0)</f>
        <v>Comprador 18</v>
      </c>
      <c r="G533" t="s">
        <v>54</v>
      </c>
      <c r="H533" t="s">
        <v>55</v>
      </c>
      <c r="I533" t="s">
        <v>56</v>
      </c>
      <c r="J533" t="s">
        <v>39</v>
      </c>
      <c r="K533">
        <v>81350610</v>
      </c>
      <c r="L533" t="s">
        <v>40</v>
      </c>
      <c r="M533" t="s">
        <v>57</v>
      </c>
      <c r="N533">
        <v>41996849234</v>
      </c>
      <c r="O533">
        <v>0</v>
      </c>
      <c r="P533">
        <v>0</v>
      </c>
      <c r="R533" t="s">
        <v>42</v>
      </c>
      <c r="S533">
        <v>15016087271</v>
      </c>
      <c r="T533" t="str">
        <f ca="1">VLOOKUP(RANDBETWEEN(1,17),'Auxiliar Vendas'!D:G,2,0)</f>
        <v>Produto 06</v>
      </c>
      <c r="U533">
        <v>50</v>
      </c>
      <c r="V533">
        <v>17.600000000000001</v>
      </c>
      <c r="W533">
        <v>0</v>
      </c>
      <c r="X533">
        <v>14.4596</v>
      </c>
      <c r="Y533">
        <v>880</v>
      </c>
      <c r="Z533">
        <v>41</v>
      </c>
      <c r="AA533" t="s">
        <v>64</v>
      </c>
      <c r="AB533">
        <v>0</v>
      </c>
      <c r="AC533">
        <v>0</v>
      </c>
      <c r="AD533" t="s">
        <v>58</v>
      </c>
      <c r="AH533" s="2">
        <v>44530.427083333336</v>
      </c>
      <c r="AI533">
        <v>0</v>
      </c>
      <c r="AJ533">
        <v>0</v>
      </c>
      <c r="AK533" s="30" t="str">
        <f ca="1">VLOOKUP(T533,'Auxiliar Vendas'!E:F,2,FALSE)</f>
        <v>Produto 06</v>
      </c>
      <c r="AL533" s="31">
        <f ca="1">U533*VLOOKUP(T533,'Auxiliar Vendas'!E:G,3,FALSE)</f>
        <v>25</v>
      </c>
    </row>
    <row r="534" spans="1:38">
      <c r="A534">
        <v>15394322040</v>
      </c>
      <c r="B534">
        <v>162</v>
      </c>
      <c r="D534" s="1">
        <v>44529</v>
      </c>
      <c r="E534">
        <v>15179581888</v>
      </c>
      <c r="F534" t="str">
        <f ca="1">VLOOKUP(RANDBETWEEN(1,20),'DBO Compras'!AA:AC,3,0)</f>
        <v>Comprador 12</v>
      </c>
      <c r="G534" t="s">
        <v>54</v>
      </c>
      <c r="H534" t="s">
        <v>55</v>
      </c>
      <c r="I534" t="s">
        <v>56</v>
      </c>
      <c r="J534" t="s">
        <v>39</v>
      </c>
      <c r="K534">
        <v>81350610</v>
      </c>
      <c r="L534" t="s">
        <v>40</v>
      </c>
      <c r="M534" t="s">
        <v>57</v>
      </c>
      <c r="N534">
        <v>41996849234</v>
      </c>
      <c r="O534">
        <v>0</v>
      </c>
      <c r="P534">
        <v>0</v>
      </c>
      <c r="R534" t="s">
        <v>42</v>
      </c>
      <c r="S534">
        <v>15016099089</v>
      </c>
      <c r="T534" t="str">
        <f ca="1">VLOOKUP(RANDBETWEEN(1,17),'Auxiliar Vendas'!D:G,2,0)</f>
        <v>Produto 09</v>
      </c>
      <c r="U534">
        <v>100</v>
      </c>
      <c r="V534">
        <v>20.399999999999999</v>
      </c>
      <c r="W534">
        <v>0</v>
      </c>
      <c r="X534">
        <v>16.804400000000001</v>
      </c>
      <c r="Y534" s="3">
        <v>2040</v>
      </c>
      <c r="Z534">
        <v>41</v>
      </c>
      <c r="AA534" t="s">
        <v>79</v>
      </c>
      <c r="AB534">
        <v>0</v>
      </c>
      <c r="AC534">
        <v>0</v>
      </c>
      <c r="AD534" t="s">
        <v>58</v>
      </c>
      <c r="AH534" s="2">
        <v>44530.427083333336</v>
      </c>
      <c r="AI534">
        <v>0</v>
      </c>
      <c r="AJ534">
        <v>0</v>
      </c>
      <c r="AK534" s="30" t="str">
        <f ca="1">VLOOKUP(T534,'Auxiliar Vendas'!E:F,2,FALSE)</f>
        <v>Produto 09</v>
      </c>
      <c r="AL534" s="31">
        <f ca="1">U534*VLOOKUP(T534,'Auxiliar Vendas'!E:G,3,FALSE)</f>
        <v>110.00000000000001</v>
      </c>
    </row>
    <row r="535" spans="1:38">
      <c r="A535">
        <v>15394322040</v>
      </c>
      <c r="B535">
        <v>162</v>
      </c>
      <c r="D535" s="1">
        <v>44529</v>
      </c>
      <c r="E535">
        <v>15179581888</v>
      </c>
      <c r="F535" t="str">
        <f ca="1">VLOOKUP(RANDBETWEEN(1,20),'DBO Compras'!AA:AC,3,0)</f>
        <v>Comprador 12</v>
      </c>
      <c r="G535" t="s">
        <v>54</v>
      </c>
      <c r="H535" t="s">
        <v>55</v>
      </c>
      <c r="I535" t="s">
        <v>56</v>
      </c>
      <c r="J535" t="s">
        <v>39</v>
      </c>
      <c r="K535">
        <v>81350610</v>
      </c>
      <c r="L535" t="s">
        <v>40</v>
      </c>
      <c r="M535" t="s">
        <v>57</v>
      </c>
      <c r="N535">
        <v>41996849234</v>
      </c>
      <c r="O535">
        <v>0</v>
      </c>
      <c r="P535">
        <v>0</v>
      </c>
      <c r="R535" t="s">
        <v>42</v>
      </c>
      <c r="S535">
        <v>15015911944</v>
      </c>
      <c r="T535" t="str">
        <f ca="1">VLOOKUP(RANDBETWEEN(1,17),'Auxiliar Vendas'!D:G,2,0)</f>
        <v>Produto 09</v>
      </c>
      <c r="U535">
        <v>650</v>
      </c>
      <c r="V535">
        <v>12.7</v>
      </c>
      <c r="W535">
        <v>9.93</v>
      </c>
      <c r="X535">
        <v>10.285</v>
      </c>
      <c r="Y535" s="3">
        <v>8255</v>
      </c>
      <c r="Z535">
        <v>41</v>
      </c>
      <c r="AA535" t="s">
        <v>78</v>
      </c>
      <c r="AB535">
        <v>0</v>
      </c>
      <c r="AC535">
        <v>0</v>
      </c>
      <c r="AD535" t="s">
        <v>58</v>
      </c>
      <c r="AH535" s="2">
        <v>44530.427083333336</v>
      </c>
      <c r="AI535">
        <v>0</v>
      </c>
      <c r="AJ535">
        <v>0</v>
      </c>
      <c r="AK535" s="30" t="str">
        <f ca="1">VLOOKUP(T535,'Auxiliar Vendas'!E:F,2,FALSE)</f>
        <v>Produto 09</v>
      </c>
      <c r="AL535" s="31">
        <f ca="1">U535*VLOOKUP(T535,'Auxiliar Vendas'!E:G,3,FALSE)</f>
        <v>715.00000000000011</v>
      </c>
    </row>
    <row r="536" spans="1:38">
      <c r="A536">
        <v>15394322040</v>
      </c>
      <c r="B536">
        <v>162</v>
      </c>
      <c r="D536" s="1">
        <v>44529</v>
      </c>
      <c r="E536">
        <v>15179581888</v>
      </c>
      <c r="F536" t="str">
        <f ca="1">VLOOKUP(RANDBETWEEN(1,20),'DBO Compras'!AA:AC,3,0)</f>
        <v>Comprador 14</v>
      </c>
      <c r="G536" t="s">
        <v>54</v>
      </c>
      <c r="H536" t="s">
        <v>55</v>
      </c>
      <c r="I536" t="s">
        <v>56</v>
      </c>
      <c r="J536" t="s">
        <v>39</v>
      </c>
      <c r="K536">
        <v>81350610</v>
      </c>
      <c r="L536" t="s">
        <v>40</v>
      </c>
      <c r="M536" t="s">
        <v>57</v>
      </c>
      <c r="N536">
        <v>41996849234</v>
      </c>
      <c r="O536">
        <v>0</v>
      </c>
      <c r="P536">
        <v>0</v>
      </c>
      <c r="R536" t="s">
        <v>42</v>
      </c>
      <c r="S536">
        <v>15015918644</v>
      </c>
      <c r="T536" t="str">
        <f ca="1">VLOOKUP(RANDBETWEEN(1,17),'Auxiliar Vendas'!D:G,2,0)</f>
        <v>Produto 11</v>
      </c>
      <c r="U536">
        <v>650</v>
      </c>
      <c r="V536">
        <v>7.22</v>
      </c>
      <c r="W536">
        <v>12.8</v>
      </c>
      <c r="X536">
        <v>5.61</v>
      </c>
      <c r="Y536" s="3">
        <v>4693</v>
      </c>
      <c r="Z536">
        <v>41</v>
      </c>
      <c r="AA536" t="s">
        <v>59</v>
      </c>
      <c r="AB536">
        <v>0</v>
      </c>
      <c r="AC536">
        <v>0</v>
      </c>
      <c r="AD536" t="s">
        <v>58</v>
      </c>
      <c r="AH536" s="2">
        <v>44530.427083333336</v>
      </c>
      <c r="AI536">
        <v>0</v>
      </c>
      <c r="AJ536">
        <v>0</v>
      </c>
      <c r="AK536" s="30" t="str">
        <f ca="1">VLOOKUP(T536,'Auxiliar Vendas'!E:F,2,FALSE)</f>
        <v>Produto 11</v>
      </c>
      <c r="AL536" s="31">
        <f ca="1">U536*VLOOKUP(T536,'Auxiliar Vendas'!E:G,3,FALSE)</f>
        <v>715.00000000000011</v>
      </c>
    </row>
    <row r="537" spans="1:38">
      <c r="A537">
        <v>15396399078</v>
      </c>
      <c r="B537">
        <v>163</v>
      </c>
      <c r="D537" s="1">
        <v>44529</v>
      </c>
      <c r="E537">
        <v>15179724225</v>
      </c>
      <c r="F537" t="str">
        <f ca="1">VLOOKUP(RANDBETWEEN(1,20),'DBO Compras'!AA:AC,3,0)</f>
        <v>Comprador 08</v>
      </c>
      <c r="G537" t="s">
        <v>147</v>
      </c>
      <c r="H537" t="s">
        <v>148</v>
      </c>
      <c r="I537" t="s">
        <v>149</v>
      </c>
      <c r="J537" t="s">
        <v>143</v>
      </c>
      <c r="K537">
        <v>84060872</v>
      </c>
      <c r="L537" t="s">
        <v>40</v>
      </c>
      <c r="M537" t="s">
        <v>150</v>
      </c>
      <c r="N537">
        <v>4299550985</v>
      </c>
      <c r="O537">
        <v>0</v>
      </c>
      <c r="P537">
        <v>0</v>
      </c>
      <c r="R537" t="s">
        <v>42</v>
      </c>
      <c r="S537">
        <v>15139667431</v>
      </c>
      <c r="T537" t="str">
        <f ca="1">VLOOKUP(RANDBETWEEN(1,17),'Auxiliar Vendas'!D:G,2,0)</f>
        <v>Produto 12</v>
      </c>
      <c r="U537">
        <v>20</v>
      </c>
      <c r="V537">
        <v>21.1</v>
      </c>
      <c r="W537">
        <v>0</v>
      </c>
      <c r="X537">
        <v>0</v>
      </c>
      <c r="Y537">
        <v>422</v>
      </c>
      <c r="Z537">
        <v>47</v>
      </c>
      <c r="AA537" t="s">
        <v>145</v>
      </c>
      <c r="AB537">
        <v>0</v>
      </c>
      <c r="AC537">
        <v>0</v>
      </c>
      <c r="AD537" t="s">
        <v>51</v>
      </c>
      <c r="AH537" s="2">
        <v>44529.424305555556</v>
      </c>
      <c r="AI537">
        <v>0</v>
      </c>
      <c r="AJ537">
        <v>0</v>
      </c>
      <c r="AK537" s="30" t="str">
        <f ca="1">VLOOKUP(T537,'Auxiliar Vendas'!E:F,2,FALSE)</f>
        <v>Produto 12</v>
      </c>
      <c r="AL537" s="31">
        <f ca="1">U537*VLOOKUP(T537,'Auxiliar Vendas'!E:G,3,FALSE)</f>
        <v>28</v>
      </c>
    </row>
    <row r="538" spans="1:38">
      <c r="A538">
        <v>15396399078</v>
      </c>
      <c r="B538">
        <v>163</v>
      </c>
      <c r="D538" s="1">
        <v>44529</v>
      </c>
      <c r="E538">
        <v>15179724225</v>
      </c>
      <c r="F538" t="str">
        <f ca="1">VLOOKUP(RANDBETWEEN(1,20),'DBO Compras'!AA:AC,3,0)</f>
        <v>Comprador 16</v>
      </c>
      <c r="G538" t="s">
        <v>147</v>
      </c>
      <c r="H538" t="s">
        <v>148</v>
      </c>
      <c r="I538" t="s">
        <v>149</v>
      </c>
      <c r="J538" t="s">
        <v>143</v>
      </c>
      <c r="K538">
        <v>84060872</v>
      </c>
      <c r="L538" t="s">
        <v>40</v>
      </c>
      <c r="M538" t="s">
        <v>150</v>
      </c>
      <c r="N538">
        <v>4299550985</v>
      </c>
      <c r="O538">
        <v>0</v>
      </c>
      <c r="P538">
        <v>0</v>
      </c>
      <c r="R538" t="s">
        <v>42</v>
      </c>
      <c r="S538">
        <v>15139727614</v>
      </c>
      <c r="T538" t="str">
        <f ca="1">VLOOKUP(RANDBETWEEN(1,17),'Auxiliar Vendas'!D:G,2,0)</f>
        <v>Produto 11</v>
      </c>
      <c r="U538">
        <v>30</v>
      </c>
      <c r="V538">
        <v>23.95</v>
      </c>
      <c r="W538">
        <v>0</v>
      </c>
      <c r="X538">
        <v>0</v>
      </c>
      <c r="Y538">
        <v>718.5</v>
      </c>
      <c r="Z538">
        <v>47</v>
      </c>
      <c r="AA538" t="s">
        <v>146</v>
      </c>
      <c r="AB538">
        <v>0</v>
      </c>
      <c r="AC538">
        <v>0</v>
      </c>
      <c r="AD538" t="s">
        <v>51</v>
      </c>
      <c r="AH538" s="2">
        <v>44529.424305555556</v>
      </c>
      <c r="AI538">
        <v>0</v>
      </c>
      <c r="AJ538">
        <v>0</v>
      </c>
      <c r="AK538" s="30" t="str">
        <f ca="1">VLOOKUP(T538,'Auxiliar Vendas'!E:F,2,FALSE)</f>
        <v>Produto 11</v>
      </c>
      <c r="AL538" s="31">
        <f ca="1">U538*VLOOKUP(T538,'Auxiliar Vendas'!E:G,3,FALSE)</f>
        <v>33</v>
      </c>
    </row>
    <row r="539" spans="1:38">
      <c r="A539">
        <v>15396399078</v>
      </c>
      <c r="B539">
        <v>163</v>
      </c>
      <c r="D539" s="1">
        <v>44529</v>
      </c>
      <c r="E539">
        <v>15179724225</v>
      </c>
      <c r="F539" t="str">
        <f ca="1">VLOOKUP(RANDBETWEEN(1,20),'DBO Compras'!AA:AC,3,0)</f>
        <v>Comprador 10</v>
      </c>
      <c r="G539" t="s">
        <v>147</v>
      </c>
      <c r="H539" t="s">
        <v>148</v>
      </c>
      <c r="I539" t="s">
        <v>149</v>
      </c>
      <c r="J539" t="s">
        <v>143</v>
      </c>
      <c r="K539">
        <v>84060872</v>
      </c>
      <c r="L539" t="s">
        <v>40</v>
      </c>
      <c r="M539" t="s">
        <v>150</v>
      </c>
      <c r="N539">
        <v>4299550985</v>
      </c>
      <c r="O539">
        <v>0</v>
      </c>
      <c r="P539">
        <v>0</v>
      </c>
      <c r="R539" t="s">
        <v>42</v>
      </c>
      <c r="S539">
        <v>15016080333</v>
      </c>
      <c r="T539" t="str">
        <f ca="1">VLOOKUP(RANDBETWEEN(1,17),'Auxiliar Vendas'!D:G,2,0)</f>
        <v>Produto 03</v>
      </c>
      <c r="U539">
        <v>20</v>
      </c>
      <c r="V539">
        <v>15.3</v>
      </c>
      <c r="W539">
        <v>0</v>
      </c>
      <c r="X539">
        <v>10.747</v>
      </c>
      <c r="Y539">
        <v>306</v>
      </c>
      <c r="Z539">
        <v>47</v>
      </c>
      <c r="AA539" t="s">
        <v>80</v>
      </c>
      <c r="AB539">
        <v>0</v>
      </c>
      <c r="AC539">
        <v>0</v>
      </c>
      <c r="AD539" t="s">
        <v>51</v>
      </c>
      <c r="AH539" s="2">
        <v>44529.424305555556</v>
      </c>
      <c r="AI539">
        <v>0</v>
      </c>
      <c r="AJ539">
        <v>0</v>
      </c>
      <c r="AK539" s="30" t="str">
        <f ca="1">VLOOKUP(T539,'Auxiliar Vendas'!E:F,2,FALSE)</f>
        <v>Produto 03</v>
      </c>
      <c r="AL539" s="31">
        <f ca="1">U539*VLOOKUP(T539,'Auxiliar Vendas'!E:G,3,FALSE)</f>
        <v>12</v>
      </c>
    </row>
    <row r="540" spans="1:38">
      <c r="A540">
        <v>15396399078</v>
      </c>
      <c r="B540">
        <v>163</v>
      </c>
      <c r="D540" s="1">
        <v>44529</v>
      </c>
      <c r="E540">
        <v>15179724225</v>
      </c>
      <c r="F540" t="str">
        <f ca="1">VLOOKUP(RANDBETWEEN(1,20),'DBO Compras'!AA:AC,3,0)</f>
        <v>Comprador 14</v>
      </c>
      <c r="G540" t="s">
        <v>147</v>
      </c>
      <c r="H540" t="s">
        <v>148</v>
      </c>
      <c r="I540" t="s">
        <v>149</v>
      </c>
      <c r="J540" t="s">
        <v>143</v>
      </c>
      <c r="K540">
        <v>84060872</v>
      </c>
      <c r="L540" t="s">
        <v>40</v>
      </c>
      <c r="M540" t="s">
        <v>150</v>
      </c>
      <c r="N540">
        <v>4299550985</v>
      </c>
      <c r="O540">
        <v>0</v>
      </c>
      <c r="P540">
        <v>0</v>
      </c>
      <c r="R540" t="s">
        <v>42</v>
      </c>
      <c r="S540">
        <v>15016093155</v>
      </c>
      <c r="T540" t="str">
        <f ca="1">VLOOKUP(RANDBETWEEN(1,17),'Auxiliar Vendas'!D:G,2,0)</f>
        <v>Produto 07</v>
      </c>
      <c r="U540">
        <v>30</v>
      </c>
      <c r="V540">
        <v>18.649999999999999</v>
      </c>
      <c r="W540">
        <v>0</v>
      </c>
      <c r="X540">
        <v>14.4596</v>
      </c>
      <c r="Y540">
        <v>559.5</v>
      </c>
      <c r="Z540">
        <v>47</v>
      </c>
      <c r="AA540" t="s">
        <v>65</v>
      </c>
      <c r="AB540">
        <v>0</v>
      </c>
      <c r="AC540">
        <v>0</v>
      </c>
      <c r="AD540" t="s">
        <v>51</v>
      </c>
      <c r="AH540" s="2">
        <v>44529.424305555556</v>
      </c>
      <c r="AI540">
        <v>0</v>
      </c>
      <c r="AJ540">
        <v>0</v>
      </c>
      <c r="AK540" s="30" t="str">
        <f ca="1">VLOOKUP(T540,'Auxiliar Vendas'!E:F,2,FALSE)</f>
        <v>Produto 07</v>
      </c>
      <c r="AL540" s="31">
        <f ca="1">U540*VLOOKUP(T540,'Auxiliar Vendas'!E:G,3,FALSE)</f>
        <v>33</v>
      </c>
    </row>
    <row r="541" spans="1:38">
      <c r="A541">
        <v>15396399078</v>
      </c>
      <c r="B541">
        <v>163</v>
      </c>
      <c r="D541" s="1">
        <v>44529</v>
      </c>
      <c r="E541">
        <v>15179724225</v>
      </c>
      <c r="F541" t="str">
        <f ca="1">VLOOKUP(RANDBETWEEN(1,20),'DBO Compras'!AA:AC,3,0)</f>
        <v>Comprador 08</v>
      </c>
      <c r="G541" t="s">
        <v>147</v>
      </c>
      <c r="H541" t="s">
        <v>148</v>
      </c>
      <c r="I541" t="s">
        <v>149</v>
      </c>
      <c r="J541" t="s">
        <v>143</v>
      </c>
      <c r="K541">
        <v>84060872</v>
      </c>
      <c r="L541" t="s">
        <v>40</v>
      </c>
      <c r="M541" t="s">
        <v>150</v>
      </c>
      <c r="N541">
        <v>4299550985</v>
      </c>
      <c r="O541">
        <v>0</v>
      </c>
      <c r="P541">
        <v>0</v>
      </c>
      <c r="R541" t="s">
        <v>42</v>
      </c>
      <c r="S541">
        <v>15015911944</v>
      </c>
      <c r="T541" t="str">
        <f ca="1">VLOOKUP(RANDBETWEEN(1,17),'Auxiliar Vendas'!D:G,2,0)</f>
        <v>Produto 14</v>
      </c>
      <c r="U541">
        <v>50</v>
      </c>
      <c r="V541">
        <v>14.1</v>
      </c>
      <c r="W541">
        <v>0</v>
      </c>
      <c r="X541">
        <v>10.285</v>
      </c>
      <c r="Y541">
        <v>705</v>
      </c>
      <c r="Z541">
        <v>47</v>
      </c>
      <c r="AA541" t="s">
        <v>78</v>
      </c>
      <c r="AB541">
        <v>0</v>
      </c>
      <c r="AC541">
        <v>0</v>
      </c>
      <c r="AD541" t="s">
        <v>51</v>
      </c>
      <c r="AH541" s="2">
        <v>44529.424305555556</v>
      </c>
      <c r="AI541">
        <v>0</v>
      </c>
      <c r="AJ541">
        <v>0</v>
      </c>
      <c r="AK541" s="30" t="str">
        <f ca="1">VLOOKUP(T541,'Auxiliar Vendas'!E:F,2,FALSE)</f>
        <v>Produto 14</v>
      </c>
      <c r="AL541" s="31">
        <f ca="1">U541*VLOOKUP(T541,'Auxiliar Vendas'!E:G,3,FALSE)</f>
        <v>70</v>
      </c>
    </row>
    <row r="542" spans="1:38">
      <c r="A542">
        <v>15396399078</v>
      </c>
      <c r="B542">
        <v>163</v>
      </c>
      <c r="D542" s="1">
        <v>44529</v>
      </c>
      <c r="E542">
        <v>15179724225</v>
      </c>
      <c r="F542" t="str">
        <f ca="1">VLOOKUP(RANDBETWEEN(1,20),'DBO Compras'!AA:AC,3,0)</f>
        <v>Comprador 16</v>
      </c>
      <c r="G542" t="s">
        <v>147</v>
      </c>
      <c r="H542" t="s">
        <v>148</v>
      </c>
      <c r="I542" t="s">
        <v>149</v>
      </c>
      <c r="J542" t="s">
        <v>143</v>
      </c>
      <c r="K542">
        <v>84060872</v>
      </c>
      <c r="L542" t="s">
        <v>40</v>
      </c>
      <c r="M542" t="s">
        <v>150</v>
      </c>
      <c r="N542">
        <v>4299550985</v>
      </c>
      <c r="O542">
        <v>0</v>
      </c>
      <c r="P542">
        <v>0</v>
      </c>
      <c r="R542" t="s">
        <v>42</v>
      </c>
      <c r="S542">
        <v>15015918644</v>
      </c>
      <c r="T542" t="str">
        <f ca="1">VLOOKUP(RANDBETWEEN(1,17),'Auxiliar Vendas'!D:G,2,0)</f>
        <v>Produto 10</v>
      </c>
      <c r="U542">
        <v>60</v>
      </c>
      <c r="V542">
        <v>8.2799999999999994</v>
      </c>
      <c r="W542">
        <v>0</v>
      </c>
      <c r="X542">
        <v>5.61</v>
      </c>
      <c r="Y542">
        <v>496.8</v>
      </c>
      <c r="Z542">
        <v>47</v>
      </c>
      <c r="AA542" t="s">
        <v>59</v>
      </c>
      <c r="AB542">
        <v>0</v>
      </c>
      <c r="AC542">
        <v>0</v>
      </c>
      <c r="AD542" t="s">
        <v>51</v>
      </c>
      <c r="AH542" s="2">
        <v>44529.424305555556</v>
      </c>
      <c r="AI542">
        <v>0</v>
      </c>
      <c r="AJ542">
        <v>0</v>
      </c>
      <c r="AK542" s="30" t="str">
        <f ca="1">VLOOKUP(T542,'Auxiliar Vendas'!E:F,2,FALSE)</f>
        <v>Produto 10</v>
      </c>
      <c r="AL542" s="31">
        <f ca="1">U542*VLOOKUP(T542,'Auxiliar Vendas'!E:G,3,FALSE)</f>
        <v>66</v>
      </c>
    </row>
    <row r="543" spans="1:38">
      <c r="A543">
        <v>15396399078</v>
      </c>
      <c r="B543">
        <v>163</v>
      </c>
      <c r="D543" s="1">
        <v>44529</v>
      </c>
      <c r="E543">
        <v>15179724225</v>
      </c>
      <c r="F543" t="str">
        <f ca="1">VLOOKUP(RANDBETWEEN(1,20),'DBO Compras'!AA:AC,3,0)</f>
        <v>Comprador 06</v>
      </c>
      <c r="G543" t="s">
        <v>147</v>
      </c>
      <c r="H543" t="s">
        <v>148</v>
      </c>
      <c r="I543" t="s">
        <v>149</v>
      </c>
      <c r="J543" t="s">
        <v>143</v>
      </c>
      <c r="K543">
        <v>84060872</v>
      </c>
      <c r="L543" t="s">
        <v>40</v>
      </c>
      <c r="M543" t="s">
        <v>150</v>
      </c>
      <c r="N543">
        <v>4299550985</v>
      </c>
      <c r="O543">
        <v>0</v>
      </c>
      <c r="P543">
        <v>0</v>
      </c>
      <c r="R543" t="s">
        <v>42</v>
      </c>
      <c r="S543">
        <v>15015918644</v>
      </c>
      <c r="T543" t="str">
        <f ca="1">VLOOKUP(RANDBETWEEN(1,17),'Auxiliar Vendas'!D:G,2,0)</f>
        <v>Produto 10</v>
      </c>
      <c r="U543">
        <v>40</v>
      </c>
      <c r="V543">
        <v>8.2799999999999994</v>
      </c>
      <c r="W543">
        <v>0</v>
      </c>
      <c r="X543">
        <v>5.61</v>
      </c>
      <c r="Y543">
        <v>331.2</v>
      </c>
      <c r="Z543">
        <v>47</v>
      </c>
      <c r="AA543" t="s">
        <v>59</v>
      </c>
      <c r="AB543">
        <v>0</v>
      </c>
      <c r="AC543">
        <v>0</v>
      </c>
      <c r="AD543" t="s">
        <v>51</v>
      </c>
      <c r="AH543" s="2">
        <v>44529.424305555556</v>
      </c>
      <c r="AI543">
        <v>0</v>
      </c>
      <c r="AJ543">
        <v>0</v>
      </c>
      <c r="AK543" s="30" t="str">
        <f ca="1">VLOOKUP(T543,'Auxiliar Vendas'!E:F,2,FALSE)</f>
        <v>Produto 10</v>
      </c>
      <c r="AL543" s="31">
        <f ca="1">U543*VLOOKUP(T543,'Auxiliar Vendas'!E:G,3,FALSE)</f>
        <v>44</v>
      </c>
    </row>
    <row r="544" spans="1:38">
      <c r="A544">
        <v>15401870509</v>
      </c>
      <c r="B544">
        <v>164</v>
      </c>
      <c r="D544" s="1">
        <v>44529</v>
      </c>
      <c r="E544">
        <v>15339582855</v>
      </c>
      <c r="F544" t="str">
        <f ca="1">VLOOKUP(RANDBETWEEN(1,20),'DBO Compras'!AA:AC,3,0)</f>
        <v>Comprador 04</v>
      </c>
      <c r="G544" t="s">
        <v>263</v>
      </c>
      <c r="H544" t="s">
        <v>264</v>
      </c>
      <c r="I544" t="s">
        <v>265</v>
      </c>
      <c r="J544" t="s">
        <v>39</v>
      </c>
      <c r="K544">
        <v>82840020</v>
      </c>
      <c r="L544" t="s">
        <v>40</v>
      </c>
      <c r="M544" t="s">
        <v>266</v>
      </c>
      <c r="N544">
        <v>41995546245</v>
      </c>
      <c r="O544">
        <v>0</v>
      </c>
      <c r="P544">
        <v>0</v>
      </c>
      <c r="R544" t="s">
        <v>42</v>
      </c>
      <c r="S544">
        <v>15016093155</v>
      </c>
      <c r="T544" t="str">
        <f ca="1">VLOOKUP(RANDBETWEEN(1,17),'Auxiliar Vendas'!D:G,2,0)</f>
        <v>Produto 14</v>
      </c>
      <c r="U544" s="3">
        <v>1500</v>
      </c>
      <c r="V544">
        <v>16.399999999999999</v>
      </c>
      <c r="W544">
        <v>0</v>
      </c>
      <c r="X544">
        <v>14.4596</v>
      </c>
      <c r="Y544" s="3">
        <v>24600</v>
      </c>
      <c r="Z544">
        <v>83</v>
      </c>
      <c r="AA544" t="s">
        <v>65</v>
      </c>
      <c r="AB544">
        <v>0</v>
      </c>
      <c r="AC544">
        <v>0</v>
      </c>
      <c r="AD544" t="s">
        <v>58</v>
      </c>
      <c r="AH544" s="2">
        <v>44529.352777777778</v>
      </c>
      <c r="AI544">
        <v>0</v>
      </c>
      <c r="AJ544">
        <v>0</v>
      </c>
      <c r="AK544" s="30" t="str">
        <f ca="1">VLOOKUP(T544,'Auxiliar Vendas'!E:F,2,FALSE)</f>
        <v>Produto 14</v>
      </c>
      <c r="AL544" s="31">
        <f ca="1">U544*VLOOKUP(T544,'Auxiliar Vendas'!E:G,3,FALSE)</f>
        <v>2100</v>
      </c>
    </row>
    <row r="545" spans="1:38">
      <c r="A545">
        <v>15401870509</v>
      </c>
      <c r="B545">
        <v>164</v>
      </c>
      <c r="D545" s="1">
        <v>44529</v>
      </c>
      <c r="E545">
        <v>15339582855</v>
      </c>
      <c r="F545" t="str">
        <f ca="1">VLOOKUP(RANDBETWEEN(1,20),'DBO Compras'!AA:AC,3,0)</f>
        <v>Comprador 04</v>
      </c>
      <c r="G545" t="s">
        <v>263</v>
      </c>
      <c r="H545" t="s">
        <v>264</v>
      </c>
      <c r="I545" t="s">
        <v>265</v>
      </c>
      <c r="J545" t="s">
        <v>39</v>
      </c>
      <c r="K545">
        <v>82840020</v>
      </c>
      <c r="L545" t="s">
        <v>40</v>
      </c>
      <c r="M545" t="s">
        <v>266</v>
      </c>
      <c r="N545">
        <v>41995546245</v>
      </c>
      <c r="O545">
        <v>0</v>
      </c>
      <c r="P545">
        <v>0</v>
      </c>
      <c r="R545" t="s">
        <v>42</v>
      </c>
      <c r="S545">
        <v>15016099089</v>
      </c>
      <c r="T545" t="str">
        <f ca="1">VLOOKUP(RANDBETWEEN(1,17),'Auxiliar Vendas'!D:G,2,0)</f>
        <v>Produto 06</v>
      </c>
      <c r="U545" s="3">
        <v>1500</v>
      </c>
      <c r="V545">
        <v>19.25</v>
      </c>
      <c r="W545">
        <v>0</v>
      </c>
      <c r="X545">
        <v>16.804400000000001</v>
      </c>
      <c r="Y545" s="3">
        <v>28875</v>
      </c>
      <c r="Z545">
        <v>83</v>
      </c>
      <c r="AA545" t="s">
        <v>79</v>
      </c>
      <c r="AB545">
        <v>0</v>
      </c>
      <c r="AC545">
        <v>0</v>
      </c>
      <c r="AD545" t="s">
        <v>58</v>
      </c>
      <c r="AH545" s="2">
        <v>44529.352777777778</v>
      </c>
      <c r="AI545">
        <v>0</v>
      </c>
      <c r="AJ545">
        <v>0</v>
      </c>
      <c r="AK545" s="30" t="str">
        <f ca="1">VLOOKUP(T545,'Auxiliar Vendas'!E:F,2,FALSE)</f>
        <v>Produto 06</v>
      </c>
      <c r="AL545" s="31">
        <f ca="1">U545*VLOOKUP(T545,'Auxiliar Vendas'!E:G,3,FALSE)</f>
        <v>750</v>
      </c>
    </row>
    <row r="546" spans="1:38">
      <c r="A546">
        <v>15401870509</v>
      </c>
      <c r="B546">
        <v>164</v>
      </c>
      <c r="D546" s="1">
        <v>44529</v>
      </c>
      <c r="E546">
        <v>15339582855</v>
      </c>
      <c r="F546" t="str">
        <f ca="1">VLOOKUP(RANDBETWEEN(1,20),'DBO Compras'!AA:AC,3,0)</f>
        <v>Comprador 01</v>
      </c>
      <c r="G546" t="s">
        <v>263</v>
      </c>
      <c r="H546" t="s">
        <v>264</v>
      </c>
      <c r="I546" t="s">
        <v>265</v>
      </c>
      <c r="J546" t="s">
        <v>39</v>
      </c>
      <c r="K546">
        <v>82840020</v>
      </c>
      <c r="L546" t="s">
        <v>40</v>
      </c>
      <c r="M546" t="s">
        <v>266</v>
      </c>
      <c r="N546">
        <v>41995546245</v>
      </c>
      <c r="O546">
        <v>0</v>
      </c>
      <c r="P546">
        <v>0</v>
      </c>
      <c r="R546" t="s">
        <v>42</v>
      </c>
      <c r="S546">
        <v>15016080333</v>
      </c>
      <c r="T546" t="str">
        <f ca="1">VLOOKUP(RANDBETWEEN(1,17),'Auxiliar Vendas'!D:G,2,0)</f>
        <v>Produto 01</v>
      </c>
      <c r="U546">
        <v>500</v>
      </c>
      <c r="V546">
        <v>13.4</v>
      </c>
      <c r="W546">
        <v>0</v>
      </c>
      <c r="X546">
        <v>10.747</v>
      </c>
      <c r="Y546" s="3">
        <v>6700</v>
      </c>
      <c r="Z546">
        <v>83</v>
      </c>
      <c r="AA546" t="s">
        <v>80</v>
      </c>
      <c r="AB546">
        <v>0</v>
      </c>
      <c r="AC546">
        <v>0</v>
      </c>
      <c r="AD546" t="s">
        <v>58</v>
      </c>
      <c r="AH546" s="2">
        <v>44529.352777777778</v>
      </c>
      <c r="AI546">
        <v>0</v>
      </c>
      <c r="AJ546">
        <v>0</v>
      </c>
      <c r="AK546" s="30" t="str">
        <f ca="1">VLOOKUP(T546,'Auxiliar Vendas'!E:F,2,FALSE)</f>
        <v>Produto 01</v>
      </c>
      <c r="AL546" s="31">
        <f ca="1">U546*VLOOKUP(T546,'Auxiliar Vendas'!E:G,3,FALSE)</f>
        <v>200</v>
      </c>
    </row>
    <row r="547" spans="1:38">
      <c r="A547">
        <v>15401870509</v>
      </c>
      <c r="B547">
        <v>164</v>
      </c>
      <c r="D547" s="1">
        <v>44529</v>
      </c>
      <c r="E547">
        <v>15339582855</v>
      </c>
      <c r="F547" t="str">
        <f ca="1">VLOOKUP(RANDBETWEEN(1,20),'DBO Compras'!AA:AC,3,0)</f>
        <v>Comprador 10</v>
      </c>
      <c r="G547" t="s">
        <v>263</v>
      </c>
      <c r="H547" t="s">
        <v>264</v>
      </c>
      <c r="I547" t="s">
        <v>265</v>
      </c>
      <c r="J547" t="s">
        <v>39</v>
      </c>
      <c r="K547">
        <v>82840020</v>
      </c>
      <c r="L547" t="s">
        <v>40</v>
      </c>
      <c r="M547" t="s">
        <v>266</v>
      </c>
      <c r="N547">
        <v>41995546245</v>
      </c>
      <c r="O547">
        <v>0</v>
      </c>
      <c r="P547">
        <v>0</v>
      </c>
      <c r="R547" t="s">
        <v>42</v>
      </c>
      <c r="S547">
        <v>15016087271</v>
      </c>
      <c r="T547" t="str">
        <f ca="1">VLOOKUP(RANDBETWEEN(1,17),'Auxiliar Vendas'!D:G,2,0)</f>
        <v>Produto 04</v>
      </c>
      <c r="U547">
        <v>500</v>
      </c>
      <c r="V547">
        <v>16.64</v>
      </c>
      <c r="W547">
        <v>0</v>
      </c>
      <c r="X547">
        <v>14.4596</v>
      </c>
      <c r="Y547" s="3">
        <v>8320</v>
      </c>
      <c r="Z547">
        <v>83</v>
      </c>
      <c r="AA547" t="s">
        <v>64</v>
      </c>
      <c r="AB547">
        <v>0</v>
      </c>
      <c r="AC547">
        <v>0</v>
      </c>
      <c r="AD547" t="s">
        <v>58</v>
      </c>
      <c r="AH547" s="2">
        <v>44529.352777777778</v>
      </c>
      <c r="AI547">
        <v>0</v>
      </c>
      <c r="AJ547">
        <v>0</v>
      </c>
      <c r="AK547" s="30" t="str">
        <f ca="1">VLOOKUP(T547,'Auxiliar Vendas'!E:F,2,FALSE)</f>
        <v>Produto 04</v>
      </c>
      <c r="AL547" s="31">
        <f ca="1">U547*VLOOKUP(T547,'Auxiliar Vendas'!E:G,3,FALSE)</f>
        <v>300</v>
      </c>
    </row>
    <row r="548" spans="1:38">
      <c r="A548">
        <v>15401870509</v>
      </c>
      <c r="B548">
        <v>164</v>
      </c>
      <c r="D548" s="1">
        <v>44529</v>
      </c>
      <c r="E548">
        <v>15339582855</v>
      </c>
      <c r="F548" t="str">
        <f ca="1">VLOOKUP(RANDBETWEEN(1,20),'DBO Compras'!AA:AC,3,0)</f>
        <v>Comprador 15</v>
      </c>
      <c r="G548" t="s">
        <v>263</v>
      </c>
      <c r="H548" t="s">
        <v>264</v>
      </c>
      <c r="I548" t="s">
        <v>265</v>
      </c>
      <c r="J548" t="s">
        <v>39</v>
      </c>
      <c r="K548">
        <v>82840020</v>
      </c>
      <c r="L548" t="s">
        <v>40</v>
      </c>
      <c r="M548" t="s">
        <v>266</v>
      </c>
      <c r="N548">
        <v>41995546245</v>
      </c>
      <c r="O548">
        <v>0</v>
      </c>
      <c r="P548">
        <v>0</v>
      </c>
      <c r="R548" t="s">
        <v>42</v>
      </c>
      <c r="S548">
        <v>15015911944</v>
      </c>
      <c r="T548" t="str">
        <f ca="1">VLOOKUP(RANDBETWEEN(1,17),'Auxiliar Vendas'!D:G,2,0)</f>
        <v>Produto 11</v>
      </c>
      <c r="U548" s="3">
        <v>3000</v>
      </c>
      <c r="V548">
        <v>12.45</v>
      </c>
      <c r="W548">
        <v>11.7</v>
      </c>
      <c r="X548">
        <v>10.285</v>
      </c>
      <c r="Y548" s="3">
        <v>37350</v>
      </c>
      <c r="Z548">
        <v>83</v>
      </c>
      <c r="AA548" t="s">
        <v>78</v>
      </c>
      <c r="AB548">
        <v>0</v>
      </c>
      <c r="AC548">
        <v>0</v>
      </c>
      <c r="AD548" t="s">
        <v>58</v>
      </c>
      <c r="AH548" s="2">
        <v>44529.352777777778</v>
      </c>
      <c r="AI548">
        <v>0</v>
      </c>
      <c r="AJ548">
        <v>0</v>
      </c>
      <c r="AK548" s="30" t="str">
        <f ca="1">VLOOKUP(T548,'Auxiliar Vendas'!E:F,2,FALSE)</f>
        <v>Produto 11</v>
      </c>
      <c r="AL548" s="31">
        <f ca="1">U548*VLOOKUP(T548,'Auxiliar Vendas'!E:G,3,FALSE)</f>
        <v>3300.0000000000005</v>
      </c>
    </row>
    <row r="549" spans="1:38">
      <c r="A549">
        <v>15401870509</v>
      </c>
      <c r="B549">
        <v>164</v>
      </c>
      <c r="D549" s="1">
        <v>44529</v>
      </c>
      <c r="E549">
        <v>15339582855</v>
      </c>
      <c r="F549" t="str">
        <f ca="1">VLOOKUP(RANDBETWEEN(1,20),'DBO Compras'!AA:AC,3,0)</f>
        <v>Comprador 01</v>
      </c>
      <c r="G549" t="s">
        <v>263</v>
      </c>
      <c r="H549" t="s">
        <v>264</v>
      </c>
      <c r="I549" t="s">
        <v>265</v>
      </c>
      <c r="J549" t="s">
        <v>39</v>
      </c>
      <c r="K549">
        <v>82840020</v>
      </c>
      <c r="L549" t="s">
        <v>40</v>
      </c>
      <c r="M549" t="s">
        <v>266</v>
      </c>
      <c r="N549">
        <v>41995546245</v>
      </c>
      <c r="O549">
        <v>0</v>
      </c>
      <c r="P549">
        <v>0</v>
      </c>
      <c r="R549" t="s">
        <v>42</v>
      </c>
      <c r="S549">
        <v>15015918644</v>
      </c>
      <c r="T549" t="str">
        <f ca="1">VLOOKUP(RANDBETWEEN(1,17),'Auxiliar Vendas'!D:G,2,0)</f>
        <v>Produto 03</v>
      </c>
      <c r="U549" s="3">
        <v>3000</v>
      </c>
      <c r="V549">
        <v>7.18</v>
      </c>
      <c r="W549">
        <v>13.29</v>
      </c>
      <c r="X549">
        <v>5.61</v>
      </c>
      <c r="Y549" s="3">
        <v>21540</v>
      </c>
      <c r="Z549">
        <v>83</v>
      </c>
      <c r="AA549" t="s">
        <v>59</v>
      </c>
      <c r="AB549">
        <v>0</v>
      </c>
      <c r="AC549">
        <v>0</v>
      </c>
      <c r="AD549" t="s">
        <v>58</v>
      </c>
      <c r="AH549" s="2">
        <v>44529.352777777778</v>
      </c>
      <c r="AI549">
        <v>0</v>
      </c>
      <c r="AJ549">
        <v>0</v>
      </c>
      <c r="AK549" s="30" t="str">
        <f ca="1">VLOOKUP(T549,'Auxiliar Vendas'!E:F,2,FALSE)</f>
        <v>Produto 03</v>
      </c>
      <c r="AL549" s="31">
        <f ca="1">U549*VLOOKUP(T549,'Auxiliar Vendas'!E:G,3,FALSE)</f>
        <v>1800</v>
      </c>
    </row>
    <row r="550" spans="1:38">
      <c r="A550">
        <v>15410912628</v>
      </c>
      <c r="B550">
        <v>166</v>
      </c>
      <c r="D550" s="1">
        <v>44530</v>
      </c>
      <c r="E550">
        <v>15179608501</v>
      </c>
      <c r="F550" t="str">
        <f ca="1">VLOOKUP(RANDBETWEEN(1,20),'DBO Compras'!AA:AC,3,0)</f>
        <v>Comprador 07</v>
      </c>
      <c r="G550" t="s">
        <v>60</v>
      </c>
      <c r="H550" t="s">
        <v>61</v>
      </c>
      <c r="I550" t="s">
        <v>62</v>
      </c>
      <c r="J550" t="s">
        <v>39</v>
      </c>
      <c r="K550">
        <v>82720070</v>
      </c>
      <c r="L550" t="s">
        <v>40</v>
      </c>
      <c r="M550" t="s">
        <v>63</v>
      </c>
      <c r="N550">
        <v>41992354686</v>
      </c>
      <c r="O550">
        <v>0</v>
      </c>
      <c r="P550">
        <v>0</v>
      </c>
      <c r="R550" t="s">
        <v>42</v>
      </c>
      <c r="S550">
        <v>15015911944</v>
      </c>
      <c r="T550" t="str">
        <f ca="1">VLOOKUP(RANDBETWEEN(1,17),'Auxiliar Vendas'!D:G,2,0)</f>
        <v>Produto 13</v>
      </c>
      <c r="U550">
        <v>400</v>
      </c>
      <c r="V550">
        <v>13.33</v>
      </c>
      <c r="W550">
        <v>5.46</v>
      </c>
      <c r="X550">
        <v>10.285</v>
      </c>
      <c r="Y550" s="3">
        <v>5332</v>
      </c>
      <c r="Z550">
        <v>42</v>
      </c>
      <c r="AA550" t="s">
        <v>78</v>
      </c>
      <c r="AB550">
        <v>0</v>
      </c>
      <c r="AC550">
        <v>0</v>
      </c>
      <c r="AD550" t="s">
        <v>58</v>
      </c>
      <c r="AH550" s="2">
        <v>44530.353472222225</v>
      </c>
      <c r="AI550">
        <v>0</v>
      </c>
      <c r="AJ550">
        <v>0</v>
      </c>
      <c r="AK550" s="30" t="str">
        <f ca="1">VLOOKUP(T550,'Auxiliar Vendas'!E:F,2,FALSE)</f>
        <v>Produto 13</v>
      </c>
      <c r="AL550" s="31">
        <f ca="1">U550*VLOOKUP(T550,'Auxiliar Vendas'!E:G,3,FALSE)</f>
        <v>560</v>
      </c>
    </row>
    <row r="551" spans="1:38">
      <c r="A551">
        <v>15410912628</v>
      </c>
      <c r="B551">
        <v>166</v>
      </c>
      <c r="D551" s="1">
        <v>44530</v>
      </c>
      <c r="E551">
        <v>15179608501</v>
      </c>
      <c r="F551" t="str">
        <f ca="1">VLOOKUP(RANDBETWEEN(1,20),'DBO Compras'!AA:AC,3,0)</f>
        <v>Comprador 08</v>
      </c>
      <c r="G551" t="s">
        <v>60</v>
      </c>
      <c r="H551" t="s">
        <v>61</v>
      </c>
      <c r="I551" t="s">
        <v>62</v>
      </c>
      <c r="J551" t="s">
        <v>39</v>
      </c>
      <c r="K551">
        <v>82720070</v>
      </c>
      <c r="L551" t="s">
        <v>40</v>
      </c>
      <c r="M551" t="s">
        <v>63</v>
      </c>
      <c r="N551">
        <v>41992354686</v>
      </c>
      <c r="O551">
        <v>0</v>
      </c>
      <c r="P551">
        <v>0</v>
      </c>
      <c r="R551" t="s">
        <v>42</v>
      </c>
      <c r="S551">
        <v>15015918644</v>
      </c>
      <c r="T551" t="str">
        <f ca="1">VLOOKUP(RANDBETWEEN(1,17),'Auxiliar Vendas'!D:G,2,0)</f>
        <v>Produto 16</v>
      </c>
      <c r="U551">
        <v>100</v>
      </c>
      <c r="V551">
        <v>7.6</v>
      </c>
      <c r="W551">
        <v>8.2100000000000009</v>
      </c>
      <c r="X551">
        <v>5.61</v>
      </c>
      <c r="Y551">
        <v>760</v>
      </c>
      <c r="Z551">
        <v>42</v>
      </c>
      <c r="AA551" t="s">
        <v>59</v>
      </c>
      <c r="AB551">
        <v>0</v>
      </c>
      <c r="AC551">
        <v>0</v>
      </c>
      <c r="AD551" t="s">
        <v>58</v>
      </c>
      <c r="AH551" s="2">
        <v>44530.353472222225</v>
      </c>
      <c r="AI551">
        <v>0</v>
      </c>
      <c r="AJ551">
        <v>0</v>
      </c>
      <c r="AK551" s="30" t="str">
        <f ca="1">VLOOKUP(T551,'Auxiliar Vendas'!E:F,2,FALSE)</f>
        <v>Produto 16</v>
      </c>
      <c r="AL551" s="31">
        <f ca="1">U551*VLOOKUP(T551,'Auxiliar Vendas'!E:G,3,FALSE)</f>
        <v>127</v>
      </c>
    </row>
    <row r="552" spans="1:38">
      <c r="A552">
        <v>15414408564</v>
      </c>
      <c r="B552">
        <v>167</v>
      </c>
      <c r="D552" s="1">
        <v>44530</v>
      </c>
      <c r="E552">
        <v>15179581888</v>
      </c>
      <c r="F552" t="str">
        <f ca="1">VLOOKUP(RANDBETWEEN(1,20),'DBO Compras'!AA:AC,3,0)</f>
        <v>Comprador 09</v>
      </c>
      <c r="G552" t="s">
        <v>54</v>
      </c>
      <c r="H552" t="s">
        <v>55</v>
      </c>
      <c r="I552" t="s">
        <v>56</v>
      </c>
      <c r="J552" t="s">
        <v>39</v>
      </c>
      <c r="K552">
        <v>81350610</v>
      </c>
      <c r="L552" t="s">
        <v>40</v>
      </c>
      <c r="M552" t="s">
        <v>57</v>
      </c>
      <c r="N552">
        <v>41996849234</v>
      </c>
      <c r="O552">
        <v>0</v>
      </c>
      <c r="P552">
        <v>0</v>
      </c>
      <c r="R552" t="s">
        <v>42</v>
      </c>
      <c r="S552">
        <v>15016073255</v>
      </c>
      <c r="T552" t="str">
        <f ca="1">VLOOKUP(RANDBETWEEN(1,17),'Auxiliar Vendas'!D:G,2,0)</f>
        <v>Produto 17</v>
      </c>
      <c r="U552">
        <v>400</v>
      </c>
      <c r="V552">
        <v>14.9</v>
      </c>
      <c r="W552">
        <v>0</v>
      </c>
      <c r="X552">
        <v>10.747</v>
      </c>
      <c r="Y552" s="3">
        <v>5960</v>
      </c>
      <c r="Z552">
        <v>41</v>
      </c>
      <c r="AA552" t="s">
        <v>160</v>
      </c>
      <c r="AB552">
        <v>0</v>
      </c>
      <c r="AC552">
        <v>0</v>
      </c>
      <c r="AD552" t="s">
        <v>58</v>
      </c>
      <c r="AH552" s="2">
        <v>44530.353472222225</v>
      </c>
      <c r="AI552">
        <v>0</v>
      </c>
      <c r="AJ552">
        <v>0</v>
      </c>
      <c r="AK552" s="30" t="str">
        <f ca="1">VLOOKUP(T552,'Auxiliar Vendas'!E:F,2,FALSE)</f>
        <v>Produto 17</v>
      </c>
      <c r="AL552" s="31">
        <f ca="1">U552*VLOOKUP(T552,'Auxiliar Vendas'!E:G,3,FALSE)</f>
        <v>568</v>
      </c>
    </row>
    <row r="553" spans="1:38">
      <c r="A553">
        <v>15414408564</v>
      </c>
      <c r="B553">
        <v>167</v>
      </c>
      <c r="D553" s="1">
        <v>44530</v>
      </c>
      <c r="E553">
        <v>15179581888</v>
      </c>
      <c r="F553" t="str">
        <f ca="1">VLOOKUP(RANDBETWEEN(1,20),'DBO Compras'!AA:AC,3,0)</f>
        <v>Comprador 13</v>
      </c>
      <c r="G553" t="s">
        <v>54</v>
      </c>
      <c r="H553" t="s">
        <v>55</v>
      </c>
      <c r="I553" t="s">
        <v>56</v>
      </c>
      <c r="J553" t="s">
        <v>39</v>
      </c>
      <c r="K553">
        <v>81350610</v>
      </c>
      <c r="L553" t="s">
        <v>40</v>
      </c>
      <c r="M553" t="s">
        <v>57</v>
      </c>
      <c r="N553">
        <v>41996849234</v>
      </c>
      <c r="O553">
        <v>0</v>
      </c>
      <c r="P553">
        <v>0</v>
      </c>
      <c r="R553" t="s">
        <v>42</v>
      </c>
      <c r="S553">
        <v>15015911944</v>
      </c>
      <c r="T553" t="str">
        <f ca="1">VLOOKUP(RANDBETWEEN(1,17),'Auxiliar Vendas'!D:G,2,0)</f>
        <v>Produto 10</v>
      </c>
      <c r="U553">
        <v>700</v>
      </c>
      <c r="V553">
        <v>12.38</v>
      </c>
      <c r="W553">
        <v>12.2</v>
      </c>
      <c r="X553">
        <v>10.285</v>
      </c>
      <c r="Y553" s="3">
        <v>8666</v>
      </c>
      <c r="Z553">
        <v>41</v>
      </c>
      <c r="AA553" t="s">
        <v>78</v>
      </c>
      <c r="AB553">
        <v>0</v>
      </c>
      <c r="AC553">
        <v>0</v>
      </c>
      <c r="AD553" t="s">
        <v>58</v>
      </c>
      <c r="AH553" s="2">
        <v>44530.353472222225</v>
      </c>
      <c r="AI553">
        <v>0</v>
      </c>
      <c r="AJ553">
        <v>0</v>
      </c>
      <c r="AK553" s="30" t="str">
        <f ca="1">VLOOKUP(T553,'Auxiliar Vendas'!E:F,2,FALSE)</f>
        <v>Produto 10</v>
      </c>
      <c r="AL553" s="31">
        <f ca="1">U553*VLOOKUP(T553,'Auxiliar Vendas'!E:G,3,FALSE)</f>
        <v>770.00000000000011</v>
      </c>
    </row>
    <row r="554" spans="1:38">
      <c r="A554">
        <v>15414408564</v>
      </c>
      <c r="B554">
        <v>167</v>
      </c>
      <c r="D554" s="1">
        <v>44530</v>
      </c>
      <c r="E554">
        <v>15179581888</v>
      </c>
      <c r="F554" t="str">
        <f ca="1">VLOOKUP(RANDBETWEEN(1,20),'DBO Compras'!AA:AC,3,0)</f>
        <v>Comprador 07</v>
      </c>
      <c r="G554" t="s">
        <v>54</v>
      </c>
      <c r="H554" t="s">
        <v>55</v>
      </c>
      <c r="I554" t="s">
        <v>56</v>
      </c>
      <c r="J554" t="s">
        <v>39</v>
      </c>
      <c r="K554">
        <v>81350610</v>
      </c>
      <c r="L554" t="s">
        <v>40</v>
      </c>
      <c r="M554" t="s">
        <v>57</v>
      </c>
      <c r="N554">
        <v>41996849234</v>
      </c>
      <c r="O554">
        <v>0</v>
      </c>
      <c r="P554">
        <v>0</v>
      </c>
      <c r="R554" t="s">
        <v>42</v>
      </c>
      <c r="S554">
        <v>15015918644</v>
      </c>
      <c r="T554" t="str">
        <f ca="1">VLOOKUP(RANDBETWEEN(1,17),'Auxiliar Vendas'!D:G,2,0)</f>
        <v>Produto 10</v>
      </c>
      <c r="U554">
        <v>700</v>
      </c>
      <c r="V554">
        <v>7.04</v>
      </c>
      <c r="W554">
        <v>14.98</v>
      </c>
      <c r="X554">
        <v>5.61</v>
      </c>
      <c r="Y554" s="3">
        <v>4928</v>
      </c>
      <c r="Z554">
        <v>41</v>
      </c>
      <c r="AA554" t="s">
        <v>59</v>
      </c>
      <c r="AB554">
        <v>0</v>
      </c>
      <c r="AC554">
        <v>0</v>
      </c>
      <c r="AD554" t="s">
        <v>58</v>
      </c>
      <c r="AH554" s="2">
        <v>44530.353472222225</v>
      </c>
      <c r="AI554">
        <v>0</v>
      </c>
      <c r="AJ554">
        <v>0</v>
      </c>
      <c r="AK554" s="30" t="str">
        <f ca="1">VLOOKUP(T554,'Auxiliar Vendas'!E:F,2,FALSE)</f>
        <v>Produto 10</v>
      </c>
      <c r="AL554" s="31">
        <f ca="1">U554*VLOOKUP(T554,'Auxiliar Vendas'!E:G,3,FALSE)</f>
        <v>770.00000000000011</v>
      </c>
    </row>
    <row r="555" spans="1:38">
      <c r="A555">
        <v>15415183511</v>
      </c>
      <c r="B555">
        <v>168</v>
      </c>
      <c r="D555" s="1">
        <v>44530</v>
      </c>
      <c r="E555">
        <v>15266819008</v>
      </c>
      <c r="F555" t="str">
        <f ca="1">VLOOKUP(RANDBETWEEN(1,20),'DBO Compras'!AA:AC,3,0)</f>
        <v>Comprador 19</v>
      </c>
      <c r="G555" t="s">
        <v>223</v>
      </c>
      <c r="H555" t="s">
        <v>224</v>
      </c>
      <c r="I555" t="s">
        <v>225</v>
      </c>
      <c r="J555" t="s">
        <v>39</v>
      </c>
      <c r="K555" t="s">
        <v>226</v>
      </c>
      <c r="L555" t="s">
        <v>40</v>
      </c>
      <c r="M555" t="s">
        <v>227</v>
      </c>
      <c r="N555">
        <v>41999473993</v>
      </c>
      <c r="O555">
        <v>0</v>
      </c>
      <c r="P555">
        <v>0</v>
      </c>
      <c r="R555" t="s">
        <v>42</v>
      </c>
      <c r="S555">
        <v>15015911944</v>
      </c>
      <c r="T555" t="str">
        <f ca="1">VLOOKUP(RANDBETWEEN(1,17),'Auxiliar Vendas'!D:G,2,0)</f>
        <v>Produto 11</v>
      </c>
      <c r="U555">
        <v>40</v>
      </c>
      <c r="V555">
        <v>13.9</v>
      </c>
      <c r="W555">
        <v>1.42</v>
      </c>
      <c r="X555">
        <v>10.285</v>
      </c>
      <c r="Y555">
        <v>556</v>
      </c>
      <c r="Z555">
        <v>64</v>
      </c>
      <c r="AA555" t="s">
        <v>78</v>
      </c>
      <c r="AB555">
        <v>0</v>
      </c>
      <c r="AC555">
        <v>0</v>
      </c>
      <c r="AD555" t="s">
        <v>58</v>
      </c>
      <c r="AH555" s="2">
        <v>44530.353472222225</v>
      </c>
      <c r="AI555">
        <v>0</v>
      </c>
      <c r="AJ555">
        <v>0</v>
      </c>
      <c r="AK555" s="30" t="str">
        <f ca="1">VLOOKUP(T555,'Auxiliar Vendas'!E:F,2,FALSE)</f>
        <v>Produto 11</v>
      </c>
      <c r="AL555" s="31">
        <f ca="1">U555*VLOOKUP(T555,'Auxiliar Vendas'!E:G,3,FALSE)</f>
        <v>44</v>
      </c>
    </row>
    <row r="556" spans="1:38">
      <c r="A556">
        <v>15415183511</v>
      </c>
      <c r="B556">
        <v>168</v>
      </c>
      <c r="D556" s="1">
        <v>44530</v>
      </c>
      <c r="E556">
        <v>15266819008</v>
      </c>
      <c r="F556" t="str">
        <f ca="1">VLOOKUP(RANDBETWEEN(1,20),'DBO Compras'!AA:AC,3,0)</f>
        <v>Comprador 13</v>
      </c>
      <c r="G556" t="s">
        <v>223</v>
      </c>
      <c r="H556" t="s">
        <v>224</v>
      </c>
      <c r="I556" t="s">
        <v>225</v>
      </c>
      <c r="J556" t="s">
        <v>39</v>
      </c>
      <c r="K556" t="s">
        <v>226</v>
      </c>
      <c r="L556" t="s">
        <v>40</v>
      </c>
      <c r="M556" t="s">
        <v>227</v>
      </c>
      <c r="N556">
        <v>41999473993</v>
      </c>
      <c r="O556">
        <v>0</v>
      </c>
      <c r="P556">
        <v>0</v>
      </c>
      <c r="R556" t="s">
        <v>42</v>
      </c>
      <c r="S556">
        <v>15015918644</v>
      </c>
      <c r="T556" t="str">
        <f ca="1">VLOOKUP(RANDBETWEEN(1,17),'Auxiliar Vendas'!D:G,2,0)</f>
        <v>Produto 13</v>
      </c>
      <c r="U556">
        <v>50</v>
      </c>
      <c r="V556">
        <v>8.1999999999999993</v>
      </c>
      <c r="W556">
        <v>0.97</v>
      </c>
      <c r="X556">
        <v>5.61</v>
      </c>
      <c r="Y556">
        <v>410</v>
      </c>
      <c r="Z556">
        <v>64</v>
      </c>
      <c r="AA556" t="s">
        <v>59</v>
      </c>
      <c r="AB556">
        <v>0</v>
      </c>
      <c r="AC556">
        <v>0</v>
      </c>
      <c r="AD556" t="s">
        <v>58</v>
      </c>
      <c r="AH556" s="2">
        <v>44530.353472222225</v>
      </c>
      <c r="AI556">
        <v>0</v>
      </c>
      <c r="AJ556">
        <v>0</v>
      </c>
      <c r="AK556" s="30" t="str">
        <f ca="1">VLOOKUP(T556,'Auxiliar Vendas'!E:F,2,FALSE)</f>
        <v>Produto 13</v>
      </c>
      <c r="AL556" s="31">
        <f ca="1">U556*VLOOKUP(T556,'Auxiliar Vendas'!E:G,3,FALSE)</f>
        <v>70</v>
      </c>
    </row>
    <row r="557" spans="1:38">
      <c r="A557">
        <v>15416428423</v>
      </c>
      <c r="B557">
        <v>169</v>
      </c>
      <c r="D557" s="1">
        <v>44530</v>
      </c>
      <c r="E557">
        <v>15179803016</v>
      </c>
      <c r="F557" t="str">
        <f ca="1">VLOOKUP(RANDBETWEEN(1,20),'DBO Compras'!AA:AC,3,0)</f>
        <v>Comprador 08</v>
      </c>
      <c r="G557" t="s">
        <v>155</v>
      </c>
      <c r="H557" t="s">
        <v>156</v>
      </c>
      <c r="I557" t="s">
        <v>157</v>
      </c>
      <c r="J557" t="s">
        <v>158</v>
      </c>
      <c r="K557">
        <v>84500000</v>
      </c>
      <c r="L557" t="s">
        <v>40</v>
      </c>
      <c r="M557" t="s">
        <v>159</v>
      </c>
      <c r="N557">
        <v>42999250064</v>
      </c>
      <c r="O557">
        <v>0</v>
      </c>
      <c r="P557">
        <v>0</v>
      </c>
      <c r="R557" t="s">
        <v>42</v>
      </c>
      <c r="S557">
        <v>15016073255</v>
      </c>
      <c r="T557" t="str">
        <f ca="1">VLOOKUP(RANDBETWEEN(1,17),'Auxiliar Vendas'!D:G,2,0)</f>
        <v>Produto 13</v>
      </c>
      <c r="U557">
        <v>90</v>
      </c>
      <c r="V557">
        <v>16</v>
      </c>
      <c r="W557">
        <v>0</v>
      </c>
      <c r="X557">
        <v>10.747</v>
      </c>
      <c r="Y557" s="3">
        <v>1440</v>
      </c>
      <c r="Z557">
        <v>50</v>
      </c>
      <c r="AA557" t="s">
        <v>160</v>
      </c>
      <c r="AB557">
        <v>0</v>
      </c>
      <c r="AC557">
        <v>0</v>
      </c>
      <c r="AD557" t="s">
        <v>58</v>
      </c>
      <c r="AH557" s="2">
        <v>44530.353472222225</v>
      </c>
      <c r="AI557">
        <v>0</v>
      </c>
      <c r="AJ557">
        <v>0</v>
      </c>
      <c r="AK557" s="30" t="str">
        <f ca="1">VLOOKUP(T557,'Auxiliar Vendas'!E:F,2,FALSE)</f>
        <v>Produto 13</v>
      </c>
      <c r="AL557" s="31">
        <f ca="1">U557*VLOOKUP(T557,'Auxiliar Vendas'!E:G,3,FALSE)</f>
        <v>125.99999999999999</v>
      </c>
    </row>
    <row r="558" spans="1:38">
      <c r="A558">
        <v>15416428423</v>
      </c>
      <c r="B558">
        <v>169</v>
      </c>
      <c r="D558" s="1">
        <v>44530</v>
      </c>
      <c r="E558">
        <v>15179803016</v>
      </c>
      <c r="F558" t="str">
        <f ca="1">VLOOKUP(RANDBETWEEN(1,20),'DBO Compras'!AA:AC,3,0)</f>
        <v>Comprador 15</v>
      </c>
      <c r="G558" t="s">
        <v>155</v>
      </c>
      <c r="H558" t="s">
        <v>156</v>
      </c>
      <c r="I558" t="s">
        <v>157</v>
      </c>
      <c r="J558" t="s">
        <v>158</v>
      </c>
      <c r="K558">
        <v>84500000</v>
      </c>
      <c r="L558" t="s">
        <v>40</v>
      </c>
      <c r="M558" t="s">
        <v>159</v>
      </c>
      <c r="N558">
        <v>42999250064</v>
      </c>
      <c r="O558">
        <v>0</v>
      </c>
      <c r="P558">
        <v>0</v>
      </c>
      <c r="R558" t="s">
        <v>42</v>
      </c>
      <c r="S558">
        <v>15395751673</v>
      </c>
      <c r="T558" t="str">
        <f ca="1">VLOOKUP(RANDBETWEEN(1,17),'Auxiliar Vendas'!D:G,2,0)</f>
        <v>Produto 02</v>
      </c>
      <c r="U558">
        <v>60</v>
      </c>
      <c r="V558">
        <v>7.85</v>
      </c>
      <c r="W558">
        <v>0</v>
      </c>
      <c r="X558">
        <v>5.8620000000000001</v>
      </c>
      <c r="Y558">
        <v>471</v>
      </c>
      <c r="Z558">
        <v>50</v>
      </c>
      <c r="AA558" t="s">
        <v>268</v>
      </c>
      <c r="AB558">
        <v>0</v>
      </c>
      <c r="AC558">
        <v>0</v>
      </c>
      <c r="AD558" t="s">
        <v>58</v>
      </c>
      <c r="AH558" s="2">
        <v>44530.353472222225</v>
      </c>
      <c r="AI558">
        <v>0</v>
      </c>
      <c r="AJ558">
        <v>0</v>
      </c>
      <c r="AK558" s="30" t="str">
        <f ca="1">VLOOKUP(T558,'Auxiliar Vendas'!E:F,2,FALSE)</f>
        <v>Produto 02</v>
      </c>
      <c r="AL558" s="31">
        <f ca="1">U558*VLOOKUP(T558,'Auxiliar Vendas'!E:G,3,FALSE)</f>
        <v>16.200000000000003</v>
      </c>
    </row>
    <row r="559" spans="1:38">
      <c r="A559">
        <v>15416428423</v>
      </c>
      <c r="B559">
        <v>169</v>
      </c>
      <c r="D559" s="1">
        <v>44530</v>
      </c>
      <c r="E559">
        <v>15179803016</v>
      </c>
      <c r="F559" t="str">
        <f ca="1">VLOOKUP(RANDBETWEEN(1,20),'DBO Compras'!AA:AC,3,0)</f>
        <v>Comprador 03</v>
      </c>
      <c r="G559" t="s">
        <v>155</v>
      </c>
      <c r="H559" t="s">
        <v>156</v>
      </c>
      <c r="I559" t="s">
        <v>157</v>
      </c>
      <c r="J559" t="s">
        <v>158</v>
      </c>
      <c r="K559">
        <v>84500000</v>
      </c>
      <c r="L559" t="s">
        <v>40</v>
      </c>
      <c r="M559" t="s">
        <v>159</v>
      </c>
      <c r="N559">
        <v>42999250064</v>
      </c>
      <c r="O559">
        <v>0</v>
      </c>
      <c r="P559">
        <v>0</v>
      </c>
      <c r="R559" t="s">
        <v>42</v>
      </c>
      <c r="S559">
        <v>15015911944</v>
      </c>
      <c r="T559" t="str">
        <f ca="1">VLOOKUP(RANDBETWEEN(1,17),'Auxiliar Vendas'!D:G,2,0)</f>
        <v>Produto 13</v>
      </c>
      <c r="U559">
        <v>120</v>
      </c>
      <c r="V559">
        <v>13.55</v>
      </c>
      <c r="W559">
        <v>3.9</v>
      </c>
      <c r="X559">
        <v>10.285</v>
      </c>
      <c r="Y559" s="3">
        <v>1626</v>
      </c>
      <c r="Z559">
        <v>50</v>
      </c>
      <c r="AA559" t="s">
        <v>78</v>
      </c>
      <c r="AB559">
        <v>0</v>
      </c>
      <c r="AC559">
        <v>0</v>
      </c>
      <c r="AD559" t="s">
        <v>58</v>
      </c>
      <c r="AH559" s="2">
        <v>44530.353472222225</v>
      </c>
      <c r="AI559">
        <v>0</v>
      </c>
      <c r="AJ559">
        <v>0</v>
      </c>
      <c r="AK559" s="30" t="str">
        <f ca="1">VLOOKUP(T559,'Auxiliar Vendas'!E:F,2,FALSE)</f>
        <v>Produto 13</v>
      </c>
      <c r="AL559" s="31">
        <f ca="1">U559*VLOOKUP(T559,'Auxiliar Vendas'!E:G,3,FALSE)</f>
        <v>168</v>
      </c>
    </row>
    <row r="560" spans="1:38">
      <c r="A560">
        <v>15416428423</v>
      </c>
      <c r="B560">
        <v>169</v>
      </c>
      <c r="D560" s="1">
        <v>44530</v>
      </c>
      <c r="E560">
        <v>15179803016</v>
      </c>
      <c r="F560" t="str">
        <f ca="1">VLOOKUP(RANDBETWEEN(1,20),'DBO Compras'!AA:AC,3,0)</f>
        <v>Comprador 04</v>
      </c>
      <c r="G560" t="s">
        <v>155</v>
      </c>
      <c r="H560" t="s">
        <v>156</v>
      </c>
      <c r="I560" t="s">
        <v>157</v>
      </c>
      <c r="J560" t="s">
        <v>158</v>
      </c>
      <c r="K560">
        <v>84500000</v>
      </c>
      <c r="L560" t="s">
        <v>40</v>
      </c>
      <c r="M560" t="s">
        <v>159</v>
      </c>
      <c r="N560">
        <v>42999250064</v>
      </c>
      <c r="O560">
        <v>0</v>
      </c>
      <c r="P560">
        <v>0</v>
      </c>
      <c r="R560" t="s">
        <v>42</v>
      </c>
      <c r="S560">
        <v>15015918644</v>
      </c>
      <c r="T560" t="str">
        <f ca="1">VLOOKUP(RANDBETWEEN(1,17),'Auxiliar Vendas'!D:G,2,0)</f>
        <v>Produto 17</v>
      </c>
      <c r="U560">
        <v>60</v>
      </c>
      <c r="V560">
        <v>7.85</v>
      </c>
      <c r="W560">
        <v>5.19</v>
      </c>
      <c r="X560">
        <v>5.61</v>
      </c>
      <c r="Y560">
        <v>471</v>
      </c>
      <c r="Z560">
        <v>50</v>
      </c>
      <c r="AA560" t="s">
        <v>59</v>
      </c>
      <c r="AB560">
        <v>0</v>
      </c>
      <c r="AC560">
        <v>0</v>
      </c>
      <c r="AD560" t="s">
        <v>58</v>
      </c>
      <c r="AH560" s="2">
        <v>44530.353472222225</v>
      </c>
      <c r="AI560">
        <v>0</v>
      </c>
      <c r="AJ560">
        <v>0</v>
      </c>
      <c r="AK560" s="30" t="str">
        <f ca="1">VLOOKUP(T560,'Auxiliar Vendas'!E:F,2,FALSE)</f>
        <v>Produto 17</v>
      </c>
      <c r="AL560" s="31">
        <f ca="1">U560*VLOOKUP(T560,'Auxiliar Vendas'!E:G,3,FALSE)</f>
        <v>85.199999999999989</v>
      </c>
    </row>
    <row r="561" spans="1:38">
      <c r="A561">
        <v>15492086925</v>
      </c>
      <c r="B561">
        <v>190</v>
      </c>
      <c r="D561" s="1">
        <v>44530</v>
      </c>
      <c r="E561">
        <v>15179581888</v>
      </c>
      <c r="F561" t="str">
        <f ca="1">VLOOKUP(RANDBETWEEN(1,20),'DBO Compras'!AA:AC,3,0)</f>
        <v>Comprador 12</v>
      </c>
      <c r="G561" t="s">
        <v>54</v>
      </c>
      <c r="H561" t="s">
        <v>55</v>
      </c>
      <c r="I561" t="s">
        <v>56</v>
      </c>
      <c r="J561" t="s">
        <v>39</v>
      </c>
      <c r="K561">
        <v>81350610</v>
      </c>
      <c r="L561" t="s">
        <v>40</v>
      </c>
      <c r="M561" t="s">
        <v>57</v>
      </c>
      <c r="N561">
        <v>41996849234</v>
      </c>
      <c r="O561">
        <v>0</v>
      </c>
      <c r="P561">
        <v>0</v>
      </c>
      <c r="R561" t="s">
        <v>42</v>
      </c>
      <c r="S561">
        <v>15016099089</v>
      </c>
      <c r="T561" t="str">
        <f ca="1">VLOOKUP(RANDBETWEEN(1,17),'Auxiliar Vendas'!D:G,2,0)</f>
        <v>Produto 16</v>
      </c>
      <c r="U561">
        <v>30</v>
      </c>
      <c r="V561">
        <v>21.7</v>
      </c>
      <c r="W561">
        <v>0</v>
      </c>
      <c r="X561">
        <v>16.804400000000001</v>
      </c>
      <c r="Y561">
        <v>651</v>
      </c>
      <c r="Z561">
        <v>41</v>
      </c>
      <c r="AA561" t="s">
        <v>79</v>
      </c>
      <c r="AB561">
        <v>0</v>
      </c>
      <c r="AC561">
        <v>0</v>
      </c>
      <c r="AD561" t="s">
        <v>51</v>
      </c>
      <c r="AH561" s="2">
        <v>44530.576388888891</v>
      </c>
      <c r="AI561">
        <v>0</v>
      </c>
      <c r="AJ561">
        <v>0</v>
      </c>
      <c r="AK561" s="30" t="str">
        <f ca="1">VLOOKUP(T561,'Auxiliar Vendas'!E:F,2,FALSE)</f>
        <v>Produto 16</v>
      </c>
      <c r="AL561" s="31">
        <f ca="1">U561*VLOOKUP(T561,'Auxiliar Vendas'!E:G,3,FALSE)</f>
        <v>38.1</v>
      </c>
    </row>
    <row r="562" spans="1:38">
      <c r="A562">
        <v>15492086925</v>
      </c>
      <c r="B562">
        <v>190</v>
      </c>
      <c r="D562" s="1">
        <v>44530</v>
      </c>
      <c r="E562">
        <v>15179581888</v>
      </c>
      <c r="F562" t="str">
        <f ca="1">VLOOKUP(RANDBETWEEN(1,20),'DBO Compras'!AA:AC,3,0)</f>
        <v>Comprador 02</v>
      </c>
      <c r="G562" t="s">
        <v>54</v>
      </c>
      <c r="H562" t="s">
        <v>55</v>
      </c>
      <c r="I562" t="s">
        <v>56</v>
      </c>
      <c r="J562" t="s">
        <v>39</v>
      </c>
      <c r="K562">
        <v>81350610</v>
      </c>
      <c r="L562" t="s">
        <v>40</v>
      </c>
      <c r="M562" t="s">
        <v>57</v>
      </c>
      <c r="N562">
        <v>41996849234</v>
      </c>
      <c r="O562">
        <v>0</v>
      </c>
      <c r="P562">
        <v>0</v>
      </c>
      <c r="R562" t="s">
        <v>42</v>
      </c>
      <c r="S562">
        <v>15016087271</v>
      </c>
      <c r="T562" t="str">
        <f ca="1">VLOOKUP(RANDBETWEEN(1,17),'Auxiliar Vendas'!D:G,2,0)</f>
        <v>Produto 07</v>
      </c>
      <c r="U562">
        <v>10</v>
      </c>
      <c r="V562">
        <v>18.2</v>
      </c>
      <c r="W562">
        <v>1.89</v>
      </c>
      <c r="X562">
        <v>14.4596</v>
      </c>
      <c r="Y562">
        <v>182</v>
      </c>
      <c r="Z562">
        <v>41</v>
      </c>
      <c r="AA562" t="s">
        <v>64</v>
      </c>
      <c r="AB562">
        <v>0</v>
      </c>
      <c r="AC562">
        <v>0</v>
      </c>
      <c r="AD562" t="s">
        <v>51</v>
      </c>
      <c r="AH562" s="2">
        <v>44530.576388888891</v>
      </c>
      <c r="AI562">
        <v>0</v>
      </c>
      <c r="AJ562">
        <v>0</v>
      </c>
      <c r="AK562" s="30" t="str">
        <f ca="1">VLOOKUP(T562,'Auxiliar Vendas'!E:F,2,FALSE)</f>
        <v>Produto 07</v>
      </c>
      <c r="AL562" s="31">
        <f ca="1">U562*VLOOKUP(T562,'Auxiliar Vendas'!E:G,3,FALSE)</f>
        <v>11</v>
      </c>
    </row>
    <row r="563" spans="1:38">
      <c r="A563">
        <v>15492086925</v>
      </c>
      <c r="B563">
        <v>190</v>
      </c>
      <c r="D563" s="1">
        <v>44530</v>
      </c>
      <c r="E563">
        <v>15179581888</v>
      </c>
      <c r="F563" t="str">
        <f ca="1">VLOOKUP(RANDBETWEEN(1,20),'DBO Compras'!AA:AC,3,0)</f>
        <v>Comprador 19</v>
      </c>
      <c r="G563" t="s">
        <v>54</v>
      </c>
      <c r="H563" t="s">
        <v>55</v>
      </c>
      <c r="I563" t="s">
        <v>56</v>
      </c>
      <c r="J563" t="s">
        <v>39</v>
      </c>
      <c r="K563">
        <v>81350610</v>
      </c>
      <c r="L563" t="s">
        <v>40</v>
      </c>
      <c r="M563" t="s">
        <v>57</v>
      </c>
      <c r="N563">
        <v>41996849234</v>
      </c>
      <c r="O563">
        <v>0</v>
      </c>
      <c r="P563">
        <v>0</v>
      </c>
      <c r="R563" t="s">
        <v>42</v>
      </c>
      <c r="S563">
        <v>15015918644</v>
      </c>
      <c r="T563" t="str">
        <f ca="1">VLOOKUP(RANDBETWEEN(1,17),'Auxiliar Vendas'!D:G,2,0)</f>
        <v>Produto 11</v>
      </c>
      <c r="U563">
        <v>70</v>
      </c>
      <c r="V563">
        <v>8.4</v>
      </c>
      <c r="W563">
        <v>0</v>
      </c>
      <c r="X563">
        <v>5.61</v>
      </c>
      <c r="Y563">
        <v>588</v>
      </c>
      <c r="Z563">
        <v>41</v>
      </c>
      <c r="AA563" t="s">
        <v>59</v>
      </c>
      <c r="AB563">
        <v>0</v>
      </c>
      <c r="AC563">
        <v>0</v>
      </c>
      <c r="AD563" t="s">
        <v>51</v>
      </c>
      <c r="AH563" s="2">
        <v>44530.576388888891</v>
      </c>
      <c r="AI563">
        <v>0</v>
      </c>
      <c r="AJ563">
        <v>0</v>
      </c>
      <c r="AK563" s="30" t="str">
        <f ca="1">VLOOKUP(T563,'Auxiliar Vendas'!E:F,2,FALSE)</f>
        <v>Produto 11</v>
      </c>
      <c r="AL563" s="31">
        <f ca="1">U563*VLOOKUP(T563,'Auxiliar Vendas'!E:G,3,FALSE)</f>
        <v>77</v>
      </c>
    </row>
    <row r="564" spans="1:38">
      <c r="A564">
        <v>15492086925</v>
      </c>
      <c r="B564">
        <v>190</v>
      </c>
      <c r="D564" s="1">
        <v>44530</v>
      </c>
      <c r="E564">
        <v>15179581888</v>
      </c>
      <c r="F564" t="str">
        <f ca="1">VLOOKUP(RANDBETWEEN(1,20),'DBO Compras'!AA:AC,3,0)</f>
        <v>Comprador 03</v>
      </c>
      <c r="G564" t="s">
        <v>54</v>
      </c>
      <c r="H564" t="s">
        <v>55</v>
      </c>
      <c r="I564" t="s">
        <v>56</v>
      </c>
      <c r="J564" t="s">
        <v>39</v>
      </c>
      <c r="K564">
        <v>81350610</v>
      </c>
      <c r="L564" t="s">
        <v>40</v>
      </c>
      <c r="M564" t="s">
        <v>57</v>
      </c>
      <c r="N564">
        <v>41996849234</v>
      </c>
      <c r="O564">
        <v>0</v>
      </c>
      <c r="P564">
        <v>0</v>
      </c>
      <c r="R564" t="s">
        <v>42</v>
      </c>
      <c r="S564">
        <v>15016043939</v>
      </c>
      <c r="T564" t="str">
        <f ca="1">VLOOKUP(RANDBETWEEN(1,17),'Auxiliar Vendas'!D:G,2,0)</f>
        <v>Produto 17</v>
      </c>
      <c r="U564">
        <v>40</v>
      </c>
      <c r="V564">
        <v>14.3</v>
      </c>
      <c r="W564">
        <v>0</v>
      </c>
      <c r="X564">
        <v>10.747</v>
      </c>
      <c r="Y564">
        <v>572</v>
      </c>
      <c r="Z564">
        <v>41</v>
      </c>
      <c r="AA564" t="s">
        <v>50</v>
      </c>
      <c r="AB564">
        <v>0</v>
      </c>
      <c r="AC564">
        <v>0</v>
      </c>
      <c r="AD564" t="s">
        <v>51</v>
      </c>
      <c r="AH564" s="2">
        <v>44530.576388888891</v>
      </c>
      <c r="AI564">
        <v>0</v>
      </c>
      <c r="AJ564">
        <v>0</v>
      </c>
      <c r="AK564" s="30" t="str">
        <f ca="1">VLOOKUP(T564,'Auxiliar Vendas'!E:F,2,FALSE)</f>
        <v>Produto 17</v>
      </c>
      <c r="AL564" s="31">
        <f ca="1">U564*VLOOKUP(T564,'Auxiliar Vendas'!E:G,3,FALSE)</f>
        <v>56.8</v>
      </c>
    </row>
    <row r="565" spans="1:38">
      <c r="A565">
        <v>15424375191</v>
      </c>
      <c r="B565">
        <v>170</v>
      </c>
      <c r="D565" s="1">
        <v>44531</v>
      </c>
      <c r="E565">
        <v>15179581888</v>
      </c>
      <c r="F565" t="str">
        <f ca="1">VLOOKUP(RANDBETWEEN(1,20),'DBO Compras'!AA:AC,3,0)</f>
        <v>Comprador 15</v>
      </c>
      <c r="G565" t="s">
        <v>54</v>
      </c>
      <c r="H565" t="s">
        <v>55</v>
      </c>
      <c r="I565" t="s">
        <v>56</v>
      </c>
      <c r="J565" t="s">
        <v>39</v>
      </c>
      <c r="K565">
        <v>81350610</v>
      </c>
      <c r="L565" t="s">
        <v>40</v>
      </c>
      <c r="M565" t="s">
        <v>57</v>
      </c>
      <c r="N565">
        <v>41996849234</v>
      </c>
      <c r="O565">
        <v>0</v>
      </c>
      <c r="P565">
        <v>0</v>
      </c>
      <c r="R565" t="s">
        <v>42</v>
      </c>
      <c r="S565">
        <v>15015085610</v>
      </c>
      <c r="T565" t="str">
        <f ca="1">VLOOKUP(RANDBETWEEN(1,17),'Auxiliar Vendas'!D:G,2,0)</f>
        <v>Produto 16</v>
      </c>
      <c r="U565">
        <v>500</v>
      </c>
      <c r="V565">
        <v>12.38</v>
      </c>
      <c r="W565">
        <v>12.2</v>
      </c>
      <c r="X565">
        <v>10.23</v>
      </c>
      <c r="Y565" s="3">
        <v>6190</v>
      </c>
      <c r="Z565">
        <v>41</v>
      </c>
      <c r="AA565" t="s">
        <v>43</v>
      </c>
      <c r="AB565">
        <v>0</v>
      </c>
      <c r="AC565">
        <v>0</v>
      </c>
      <c r="AD565" t="s">
        <v>58</v>
      </c>
      <c r="AH565" s="2">
        <v>44531.334027777775</v>
      </c>
      <c r="AI565">
        <v>0</v>
      </c>
      <c r="AJ565">
        <v>0</v>
      </c>
      <c r="AK565" s="30" t="str">
        <f ca="1">VLOOKUP(T565,'Auxiliar Vendas'!E:F,2,FALSE)</f>
        <v>Produto 16</v>
      </c>
      <c r="AL565" s="31">
        <f ca="1">U565*VLOOKUP(T565,'Auxiliar Vendas'!E:G,3,FALSE)</f>
        <v>635</v>
      </c>
    </row>
    <row r="566" spans="1:38">
      <c r="A566">
        <v>15424375191</v>
      </c>
      <c r="B566">
        <v>170</v>
      </c>
      <c r="D566" s="1">
        <v>44531</v>
      </c>
      <c r="E566">
        <v>15179581888</v>
      </c>
      <c r="F566" t="str">
        <f ca="1">VLOOKUP(RANDBETWEEN(1,20),'DBO Compras'!AA:AC,3,0)</f>
        <v>Comprador 20</v>
      </c>
      <c r="G566" t="s">
        <v>54</v>
      </c>
      <c r="H566" t="s">
        <v>55</v>
      </c>
      <c r="I566" t="s">
        <v>56</v>
      </c>
      <c r="J566" t="s">
        <v>39</v>
      </c>
      <c r="K566">
        <v>81350610</v>
      </c>
      <c r="L566" t="s">
        <v>40</v>
      </c>
      <c r="M566" t="s">
        <v>57</v>
      </c>
      <c r="N566">
        <v>41996849234</v>
      </c>
      <c r="O566">
        <v>0</v>
      </c>
      <c r="P566">
        <v>0</v>
      </c>
      <c r="R566" t="s">
        <v>42</v>
      </c>
      <c r="S566">
        <v>15015918644</v>
      </c>
      <c r="T566" t="str">
        <f ca="1">VLOOKUP(RANDBETWEEN(1,17),'Auxiliar Vendas'!D:G,2,0)</f>
        <v>Produto 06</v>
      </c>
      <c r="U566">
        <v>150</v>
      </c>
      <c r="V566">
        <v>7.04</v>
      </c>
      <c r="W566">
        <v>14.98</v>
      </c>
      <c r="X566">
        <v>5.61</v>
      </c>
      <c r="Y566" s="3">
        <v>1056</v>
      </c>
      <c r="Z566">
        <v>41</v>
      </c>
      <c r="AA566" t="s">
        <v>59</v>
      </c>
      <c r="AB566">
        <v>0</v>
      </c>
      <c r="AC566">
        <v>0</v>
      </c>
      <c r="AD566" t="s">
        <v>58</v>
      </c>
      <c r="AH566" s="2">
        <v>44531.334027777775</v>
      </c>
      <c r="AI566">
        <v>0</v>
      </c>
      <c r="AJ566">
        <v>0</v>
      </c>
      <c r="AK566" s="30" t="str">
        <f ca="1">VLOOKUP(T566,'Auxiliar Vendas'!E:F,2,FALSE)</f>
        <v>Produto 06</v>
      </c>
      <c r="AL566" s="31">
        <f ca="1">U566*VLOOKUP(T566,'Auxiliar Vendas'!E:G,3,FALSE)</f>
        <v>75</v>
      </c>
    </row>
    <row r="567" spans="1:38">
      <c r="A567">
        <v>15425311842</v>
      </c>
      <c r="B567">
        <v>171</v>
      </c>
      <c r="D567" s="1">
        <v>44531</v>
      </c>
      <c r="E567">
        <v>15295545217</v>
      </c>
      <c r="F567" t="str">
        <f ca="1">VLOOKUP(RANDBETWEEN(1,20),'DBO Compras'!AA:AC,3,0)</f>
        <v>Comprador 05</v>
      </c>
      <c r="G567" t="s">
        <v>136</v>
      </c>
      <c r="H567" t="s">
        <v>137</v>
      </c>
      <c r="I567" t="s">
        <v>138</v>
      </c>
      <c r="J567" t="s">
        <v>39</v>
      </c>
      <c r="K567">
        <v>81910000</v>
      </c>
      <c r="L567" t="s">
        <v>40</v>
      </c>
      <c r="M567" t="s">
        <v>139</v>
      </c>
      <c r="N567">
        <v>41998481264</v>
      </c>
      <c r="O567">
        <v>0</v>
      </c>
      <c r="P567">
        <v>0</v>
      </c>
      <c r="R567" t="s">
        <v>42</v>
      </c>
      <c r="S567">
        <v>15016080333</v>
      </c>
      <c r="T567" t="str">
        <f ca="1">VLOOKUP(RANDBETWEEN(1,17),'Auxiliar Vendas'!D:G,2,0)</f>
        <v>Produto 03</v>
      </c>
      <c r="U567">
        <v>200</v>
      </c>
      <c r="V567">
        <v>13.9</v>
      </c>
      <c r="W567">
        <v>0</v>
      </c>
      <c r="X567">
        <v>10.747</v>
      </c>
      <c r="Y567" s="3">
        <v>2780</v>
      </c>
      <c r="Z567">
        <v>78</v>
      </c>
      <c r="AA567" t="s">
        <v>80</v>
      </c>
      <c r="AB567">
        <v>0</v>
      </c>
      <c r="AC567">
        <v>0</v>
      </c>
      <c r="AD567" t="s">
        <v>58</v>
      </c>
      <c r="AH567" s="2">
        <v>44531.462500000001</v>
      </c>
      <c r="AI567">
        <v>0</v>
      </c>
      <c r="AJ567">
        <v>0</v>
      </c>
      <c r="AK567" s="30" t="str">
        <f ca="1">VLOOKUP(T567,'Auxiliar Vendas'!E:F,2,FALSE)</f>
        <v>Produto 03</v>
      </c>
      <c r="AL567" s="31">
        <f ca="1">U567*VLOOKUP(T567,'Auxiliar Vendas'!E:G,3,FALSE)</f>
        <v>120</v>
      </c>
    </row>
    <row r="568" spans="1:38">
      <c r="A568">
        <v>15425311842</v>
      </c>
      <c r="B568">
        <v>171</v>
      </c>
      <c r="D568" s="1">
        <v>44531</v>
      </c>
      <c r="E568">
        <v>15295545217</v>
      </c>
      <c r="F568" t="str">
        <f ca="1">VLOOKUP(RANDBETWEEN(1,20),'DBO Compras'!AA:AC,3,0)</f>
        <v>Comprador 16</v>
      </c>
      <c r="G568" t="s">
        <v>136</v>
      </c>
      <c r="H568" t="s">
        <v>137</v>
      </c>
      <c r="I568" t="s">
        <v>138</v>
      </c>
      <c r="J568" t="s">
        <v>39</v>
      </c>
      <c r="K568">
        <v>81910000</v>
      </c>
      <c r="L568" t="s">
        <v>40</v>
      </c>
      <c r="M568" t="s">
        <v>139</v>
      </c>
      <c r="N568">
        <v>41998481264</v>
      </c>
      <c r="O568">
        <v>0</v>
      </c>
      <c r="P568">
        <v>0</v>
      </c>
      <c r="R568" t="s">
        <v>42</v>
      </c>
      <c r="S568">
        <v>15016093155</v>
      </c>
      <c r="T568" t="str">
        <f ca="1">VLOOKUP(RANDBETWEEN(1,17),'Auxiliar Vendas'!D:G,2,0)</f>
        <v>Produto 17</v>
      </c>
      <c r="U568">
        <v>200</v>
      </c>
      <c r="V568">
        <v>17.899999999999999</v>
      </c>
      <c r="W568">
        <v>0</v>
      </c>
      <c r="X568">
        <v>14.4596</v>
      </c>
      <c r="Y568" s="3">
        <v>3580</v>
      </c>
      <c r="Z568">
        <v>78</v>
      </c>
      <c r="AA568" t="s">
        <v>65</v>
      </c>
      <c r="AB568">
        <v>0</v>
      </c>
      <c r="AC568">
        <v>0</v>
      </c>
      <c r="AD568" t="s">
        <v>58</v>
      </c>
      <c r="AH568" s="2">
        <v>44531.462500000001</v>
      </c>
      <c r="AI568">
        <v>0</v>
      </c>
      <c r="AJ568">
        <v>0</v>
      </c>
      <c r="AK568" s="30" t="str">
        <f ca="1">VLOOKUP(T568,'Auxiliar Vendas'!E:F,2,FALSE)</f>
        <v>Produto 17</v>
      </c>
      <c r="AL568" s="31">
        <f ca="1">U568*VLOOKUP(T568,'Auxiliar Vendas'!E:G,3,FALSE)</f>
        <v>284</v>
      </c>
    </row>
    <row r="569" spans="1:38">
      <c r="A569">
        <v>15425311842</v>
      </c>
      <c r="B569">
        <v>171</v>
      </c>
      <c r="D569" s="1">
        <v>44531</v>
      </c>
      <c r="E569">
        <v>15295545217</v>
      </c>
      <c r="F569" t="str">
        <f ca="1">VLOOKUP(RANDBETWEEN(1,20),'DBO Compras'!AA:AC,3,0)</f>
        <v>Comprador 14</v>
      </c>
      <c r="G569" t="s">
        <v>136</v>
      </c>
      <c r="H569" t="s">
        <v>137</v>
      </c>
      <c r="I569" t="s">
        <v>138</v>
      </c>
      <c r="J569" t="s">
        <v>39</v>
      </c>
      <c r="K569">
        <v>81910000</v>
      </c>
      <c r="L569" t="s">
        <v>40</v>
      </c>
      <c r="M569" t="s">
        <v>139</v>
      </c>
      <c r="N569">
        <v>41998481264</v>
      </c>
      <c r="O569">
        <v>0</v>
      </c>
      <c r="P569">
        <v>0</v>
      </c>
      <c r="R569" t="s">
        <v>42</v>
      </c>
      <c r="S569">
        <v>15395564051</v>
      </c>
      <c r="T569" t="str">
        <f ca="1">VLOOKUP(RANDBETWEEN(1,17),'Auxiliar Vendas'!D:G,2,0)</f>
        <v>Produto 17</v>
      </c>
      <c r="U569">
        <v>200</v>
      </c>
      <c r="V569">
        <v>14.92</v>
      </c>
      <c r="W569">
        <v>0</v>
      </c>
      <c r="X569">
        <v>12.017099999999999</v>
      </c>
      <c r="Y569" s="3">
        <v>2984</v>
      </c>
      <c r="Z569">
        <v>78</v>
      </c>
      <c r="AA569" t="s">
        <v>269</v>
      </c>
      <c r="AB569">
        <v>0</v>
      </c>
      <c r="AC569">
        <v>0</v>
      </c>
      <c r="AD569" t="s">
        <v>58</v>
      </c>
      <c r="AH569" s="2">
        <v>44531.462500000001</v>
      </c>
      <c r="AI569">
        <v>0</v>
      </c>
      <c r="AJ569">
        <v>0</v>
      </c>
      <c r="AK569" s="30" t="str">
        <f ca="1">VLOOKUP(T569,'Auxiliar Vendas'!E:F,2,FALSE)</f>
        <v>Produto 17</v>
      </c>
      <c r="AL569" s="31">
        <f ca="1">U569*VLOOKUP(T569,'Auxiliar Vendas'!E:G,3,FALSE)</f>
        <v>284</v>
      </c>
    </row>
    <row r="570" spans="1:38">
      <c r="A570">
        <v>15425311842</v>
      </c>
      <c r="B570">
        <v>171</v>
      </c>
      <c r="D570" s="1">
        <v>44531</v>
      </c>
      <c r="E570">
        <v>15295545217</v>
      </c>
      <c r="F570" t="str">
        <f ca="1">VLOOKUP(RANDBETWEEN(1,20),'DBO Compras'!AA:AC,3,0)</f>
        <v>Comprador 11</v>
      </c>
      <c r="G570" t="s">
        <v>136</v>
      </c>
      <c r="H570" t="s">
        <v>137</v>
      </c>
      <c r="I570" t="s">
        <v>138</v>
      </c>
      <c r="J570" t="s">
        <v>39</v>
      </c>
      <c r="K570">
        <v>81910000</v>
      </c>
      <c r="L570" t="s">
        <v>40</v>
      </c>
      <c r="M570" t="s">
        <v>139</v>
      </c>
      <c r="N570">
        <v>41998481264</v>
      </c>
      <c r="O570">
        <v>0</v>
      </c>
      <c r="P570">
        <v>0</v>
      </c>
      <c r="R570" t="s">
        <v>42</v>
      </c>
      <c r="S570">
        <v>15015918644</v>
      </c>
      <c r="T570" t="str">
        <f ca="1">VLOOKUP(RANDBETWEEN(1,17),'Auxiliar Vendas'!D:G,2,0)</f>
        <v>Produto 04</v>
      </c>
      <c r="U570" s="3">
        <v>1000</v>
      </c>
      <c r="V570">
        <v>7.6</v>
      </c>
      <c r="W570">
        <v>8.2100000000000009</v>
      </c>
      <c r="X570">
        <v>5.61</v>
      </c>
      <c r="Y570" s="3">
        <v>7600</v>
      </c>
      <c r="Z570">
        <v>78</v>
      </c>
      <c r="AA570" t="s">
        <v>59</v>
      </c>
      <c r="AB570">
        <v>0</v>
      </c>
      <c r="AC570">
        <v>0</v>
      </c>
      <c r="AD570" t="s">
        <v>58</v>
      </c>
      <c r="AH570" s="2">
        <v>44531.462500000001</v>
      </c>
      <c r="AI570">
        <v>0</v>
      </c>
      <c r="AJ570">
        <v>0</v>
      </c>
      <c r="AK570" s="30" t="str">
        <f ca="1">VLOOKUP(T570,'Auxiliar Vendas'!E:F,2,FALSE)</f>
        <v>Produto 04</v>
      </c>
      <c r="AL570" s="31">
        <f ca="1">U570*VLOOKUP(T570,'Auxiliar Vendas'!E:G,3,FALSE)</f>
        <v>600</v>
      </c>
    </row>
    <row r="571" spans="1:38">
      <c r="A571">
        <v>15425311842</v>
      </c>
      <c r="B571">
        <v>171</v>
      </c>
      <c r="D571" s="1">
        <v>44531</v>
      </c>
      <c r="E571">
        <v>15295545217</v>
      </c>
      <c r="F571" t="str">
        <f ca="1">VLOOKUP(RANDBETWEEN(1,20),'DBO Compras'!AA:AC,3,0)</f>
        <v>Comprador 05</v>
      </c>
      <c r="G571" t="s">
        <v>136</v>
      </c>
      <c r="H571" t="s">
        <v>137</v>
      </c>
      <c r="I571" t="s">
        <v>138</v>
      </c>
      <c r="J571" t="s">
        <v>39</v>
      </c>
      <c r="K571">
        <v>81910000</v>
      </c>
      <c r="L571" t="s">
        <v>40</v>
      </c>
      <c r="M571" t="s">
        <v>139</v>
      </c>
      <c r="N571">
        <v>41998481264</v>
      </c>
      <c r="O571">
        <v>0</v>
      </c>
      <c r="P571">
        <v>0</v>
      </c>
      <c r="R571" t="s">
        <v>42</v>
      </c>
      <c r="S571">
        <v>15015085610</v>
      </c>
      <c r="T571" t="str">
        <f ca="1">VLOOKUP(RANDBETWEEN(1,17),'Auxiliar Vendas'!D:G,2,0)</f>
        <v>Produto 05</v>
      </c>
      <c r="U571" s="3">
        <v>1000</v>
      </c>
      <c r="V571">
        <v>13.19</v>
      </c>
      <c r="W571">
        <v>6.45</v>
      </c>
      <c r="X571">
        <v>10.23</v>
      </c>
      <c r="Y571" s="3">
        <v>13190</v>
      </c>
      <c r="Z571">
        <v>78</v>
      </c>
      <c r="AA571" t="s">
        <v>43</v>
      </c>
      <c r="AB571">
        <v>0</v>
      </c>
      <c r="AC571">
        <v>0</v>
      </c>
      <c r="AD571" t="s">
        <v>58</v>
      </c>
      <c r="AH571" s="2">
        <v>44531.462500000001</v>
      </c>
      <c r="AI571">
        <v>0</v>
      </c>
      <c r="AJ571">
        <v>0</v>
      </c>
      <c r="AK571" s="30" t="str">
        <f ca="1">VLOOKUP(T571,'Auxiliar Vendas'!E:F,2,FALSE)</f>
        <v>Produto 05</v>
      </c>
      <c r="AL571" s="31">
        <f ca="1">U571*VLOOKUP(T571,'Auxiliar Vendas'!E:G,3,FALSE)</f>
        <v>600</v>
      </c>
    </row>
    <row r="572" spans="1:38">
      <c r="A572">
        <v>15425311842</v>
      </c>
      <c r="B572">
        <v>171</v>
      </c>
      <c r="D572" s="1">
        <v>44531</v>
      </c>
      <c r="E572">
        <v>15295545217</v>
      </c>
      <c r="F572" t="str">
        <f ca="1">VLOOKUP(RANDBETWEEN(1,20),'DBO Compras'!AA:AC,3,0)</f>
        <v>Comprador 20</v>
      </c>
      <c r="G572" t="s">
        <v>136</v>
      </c>
      <c r="H572" t="s">
        <v>137</v>
      </c>
      <c r="I572" t="s">
        <v>138</v>
      </c>
      <c r="J572" t="s">
        <v>39</v>
      </c>
      <c r="K572">
        <v>81910000</v>
      </c>
      <c r="L572" t="s">
        <v>40</v>
      </c>
      <c r="M572" t="s">
        <v>139</v>
      </c>
      <c r="N572">
        <v>41998481264</v>
      </c>
      <c r="O572">
        <v>0</v>
      </c>
      <c r="P572">
        <v>0</v>
      </c>
      <c r="R572" t="s">
        <v>42</v>
      </c>
      <c r="S572">
        <v>15015511068</v>
      </c>
      <c r="T572" t="str">
        <f ca="1">VLOOKUP(RANDBETWEEN(1,17),'Auxiliar Vendas'!D:G,2,0)</f>
        <v>Produto 09</v>
      </c>
      <c r="U572">
        <v>200</v>
      </c>
      <c r="V572">
        <v>15.99</v>
      </c>
      <c r="W572">
        <v>3.67</v>
      </c>
      <c r="X572">
        <v>10.23</v>
      </c>
      <c r="Y572" s="3">
        <v>3198</v>
      </c>
      <c r="Z572">
        <v>78</v>
      </c>
      <c r="AA572" t="s">
        <v>53</v>
      </c>
      <c r="AB572">
        <v>0</v>
      </c>
      <c r="AC572">
        <v>0</v>
      </c>
      <c r="AD572" t="s">
        <v>58</v>
      </c>
      <c r="AH572" s="2">
        <v>44531.462500000001</v>
      </c>
      <c r="AI572">
        <v>0</v>
      </c>
      <c r="AJ572">
        <v>0</v>
      </c>
      <c r="AK572" s="30" t="str">
        <f ca="1">VLOOKUP(T572,'Auxiliar Vendas'!E:F,2,FALSE)</f>
        <v>Produto 09</v>
      </c>
      <c r="AL572" s="31">
        <f ca="1">U572*VLOOKUP(T572,'Auxiliar Vendas'!E:G,3,FALSE)</f>
        <v>220.00000000000003</v>
      </c>
    </row>
    <row r="573" spans="1:38">
      <c r="A573">
        <v>15425311842</v>
      </c>
      <c r="B573">
        <v>171</v>
      </c>
      <c r="D573" s="1">
        <v>44531</v>
      </c>
      <c r="E573">
        <v>15295545217</v>
      </c>
      <c r="F573" t="str">
        <f ca="1">VLOOKUP(RANDBETWEEN(1,20),'DBO Compras'!AA:AC,3,0)</f>
        <v>Comprador 09</v>
      </c>
      <c r="G573" t="s">
        <v>136</v>
      </c>
      <c r="H573" t="s">
        <v>137</v>
      </c>
      <c r="I573" t="s">
        <v>138</v>
      </c>
      <c r="J573" t="s">
        <v>39</v>
      </c>
      <c r="K573">
        <v>81910000</v>
      </c>
      <c r="L573" t="s">
        <v>40</v>
      </c>
      <c r="M573" t="s">
        <v>139</v>
      </c>
      <c r="N573">
        <v>41998481264</v>
      </c>
      <c r="O573">
        <v>0</v>
      </c>
      <c r="P573">
        <v>0</v>
      </c>
      <c r="R573" t="s">
        <v>42</v>
      </c>
      <c r="S573">
        <v>15430969056</v>
      </c>
      <c r="T573" t="str">
        <f ca="1">VLOOKUP(RANDBETWEEN(1,17),'Auxiliar Vendas'!D:G,2,0)</f>
        <v>Produto 02</v>
      </c>
      <c r="U573">
        <v>200</v>
      </c>
      <c r="V573">
        <v>16.78</v>
      </c>
      <c r="W573">
        <v>0</v>
      </c>
      <c r="X573">
        <v>12.9941</v>
      </c>
      <c r="Y573" s="3">
        <v>3356</v>
      </c>
      <c r="Z573">
        <v>78</v>
      </c>
      <c r="AA573" t="s">
        <v>270</v>
      </c>
      <c r="AB573">
        <v>0</v>
      </c>
      <c r="AC573">
        <v>0</v>
      </c>
      <c r="AD573" t="s">
        <v>58</v>
      </c>
      <c r="AH573" s="2">
        <v>44531.462500000001</v>
      </c>
      <c r="AI573">
        <v>0</v>
      </c>
      <c r="AJ573">
        <v>0</v>
      </c>
      <c r="AK573" s="30" t="str">
        <f ca="1">VLOOKUP(T573,'Auxiliar Vendas'!E:F,2,FALSE)</f>
        <v>Produto 02</v>
      </c>
      <c r="AL573" s="31">
        <f ca="1">U573*VLOOKUP(T573,'Auxiliar Vendas'!E:G,3,FALSE)</f>
        <v>54</v>
      </c>
    </row>
    <row r="574" spans="1:38">
      <c r="A574">
        <v>15426574458</v>
      </c>
      <c r="B574">
        <v>172</v>
      </c>
      <c r="D574" s="1">
        <v>44531</v>
      </c>
      <c r="E574">
        <v>15058876151</v>
      </c>
      <c r="F574" t="str">
        <f ca="1">VLOOKUP(RANDBETWEEN(1,20),'DBO Compras'!AA:AC,3,0)</f>
        <v>Comprador 05</v>
      </c>
      <c r="G574" t="s">
        <v>114</v>
      </c>
      <c r="H574" t="s">
        <v>115</v>
      </c>
      <c r="I574" t="s">
        <v>116</v>
      </c>
      <c r="J574" t="s">
        <v>117</v>
      </c>
      <c r="K574">
        <v>86027620</v>
      </c>
      <c r="L574" t="s">
        <v>40</v>
      </c>
      <c r="M574" t="s">
        <v>118</v>
      </c>
      <c r="N574">
        <v>43996560102</v>
      </c>
      <c r="O574">
        <v>0</v>
      </c>
      <c r="P574">
        <v>0</v>
      </c>
      <c r="R574" t="s">
        <v>42</v>
      </c>
      <c r="S574">
        <v>15016093155</v>
      </c>
      <c r="T574" t="str">
        <f ca="1">VLOOKUP(RANDBETWEEN(1,17),'Auxiliar Vendas'!D:G,2,0)</f>
        <v>Produto 10</v>
      </c>
      <c r="U574">
        <v>150</v>
      </c>
      <c r="V574">
        <v>18.649999999999999</v>
      </c>
      <c r="W574">
        <v>0</v>
      </c>
      <c r="X574">
        <v>14.4596</v>
      </c>
      <c r="Y574" s="3">
        <v>2797.5</v>
      </c>
      <c r="Z574">
        <v>24</v>
      </c>
      <c r="AA574" t="s">
        <v>65</v>
      </c>
      <c r="AB574">
        <v>0</v>
      </c>
      <c r="AC574">
        <v>0</v>
      </c>
      <c r="AD574" t="s">
        <v>51</v>
      </c>
      <c r="AH574" s="2">
        <v>44531.354861111111</v>
      </c>
      <c r="AI574">
        <v>0</v>
      </c>
      <c r="AJ574">
        <v>0</v>
      </c>
      <c r="AK574" s="30" t="str">
        <f ca="1">VLOOKUP(T574,'Auxiliar Vendas'!E:F,2,FALSE)</f>
        <v>Produto 10</v>
      </c>
      <c r="AL574" s="31">
        <f ca="1">U574*VLOOKUP(T574,'Auxiliar Vendas'!E:G,3,FALSE)</f>
        <v>165</v>
      </c>
    </row>
    <row r="575" spans="1:38">
      <c r="A575">
        <v>15426574458</v>
      </c>
      <c r="B575">
        <v>172</v>
      </c>
      <c r="D575" s="1">
        <v>44531</v>
      </c>
      <c r="E575">
        <v>15058876151</v>
      </c>
      <c r="F575" t="str">
        <f ca="1">VLOOKUP(RANDBETWEEN(1,20),'DBO Compras'!AA:AC,3,0)</f>
        <v>Comprador 19</v>
      </c>
      <c r="G575" t="s">
        <v>114</v>
      </c>
      <c r="H575" t="s">
        <v>115</v>
      </c>
      <c r="I575" t="s">
        <v>116</v>
      </c>
      <c r="J575" t="s">
        <v>117</v>
      </c>
      <c r="K575">
        <v>86027620</v>
      </c>
      <c r="L575" t="s">
        <v>40</v>
      </c>
      <c r="M575" t="s">
        <v>118</v>
      </c>
      <c r="N575">
        <v>43996560102</v>
      </c>
      <c r="O575">
        <v>0</v>
      </c>
      <c r="P575">
        <v>0</v>
      </c>
      <c r="R575" t="s">
        <v>42</v>
      </c>
      <c r="S575">
        <v>15015085610</v>
      </c>
      <c r="T575" t="str">
        <f ca="1">VLOOKUP(RANDBETWEEN(1,17),'Auxiliar Vendas'!D:G,2,0)</f>
        <v>Produto 16</v>
      </c>
      <c r="U575">
        <v>300</v>
      </c>
      <c r="V575">
        <v>14.1</v>
      </c>
      <c r="W575">
        <v>0</v>
      </c>
      <c r="X575">
        <v>10.23</v>
      </c>
      <c r="Y575" s="3">
        <v>4230</v>
      </c>
      <c r="Z575">
        <v>24</v>
      </c>
      <c r="AA575" t="s">
        <v>43</v>
      </c>
      <c r="AB575">
        <v>0</v>
      </c>
      <c r="AC575">
        <v>0</v>
      </c>
      <c r="AD575" t="s">
        <v>51</v>
      </c>
      <c r="AH575" s="2">
        <v>44531.354861111111</v>
      </c>
      <c r="AI575">
        <v>0</v>
      </c>
      <c r="AJ575">
        <v>0</v>
      </c>
      <c r="AK575" s="30" t="str">
        <f ca="1">VLOOKUP(T575,'Auxiliar Vendas'!E:F,2,FALSE)</f>
        <v>Produto 16</v>
      </c>
      <c r="AL575" s="31">
        <f ca="1">U575*VLOOKUP(T575,'Auxiliar Vendas'!E:G,3,FALSE)</f>
        <v>381</v>
      </c>
    </row>
    <row r="576" spans="1:38">
      <c r="A576">
        <v>15426574458</v>
      </c>
      <c r="B576">
        <v>172</v>
      </c>
      <c r="D576" s="1">
        <v>44531</v>
      </c>
      <c r="E576">
        <v>15058876151</v>
      </c>
      <c r="F576" t="str">
        <f ca="1">VLOOKUP(RANDBETWEEN(1,20),'DBO Compras'!AA:AC,3,0)</f>
        <v>Comprador 05</v>
      </c>
      <c r="G576" t="s">
        <v>114</v>
      </c>
      <c r="H576" t="s">
        <v>115</v>
      </c>
      <c r="I576" t="s">
        <v>116</v>
      </c>
      <c r="J576" t="s">
        <v>117</v>
      </c>
      <c r="K576">
        <v>86027620</v>
      </c>
      <c r="L576" t="s">
        <v>40</v>
      </c>
      <c r="M576" t="s">
        <v>118</v>
      </c>
      <c r="N576">
        <v>43996560102</v>
      </c>
      <c r="O576">
        <v>0</v>
      </c>
      <c r="P576">
        <v>0</v>
      </c>
      <c r="R576" t="s">
        <v>42</v>
      </c>
      <c r="S576">
        <v>15015511068</v>
      </c>
      <c r="T576" t="str">
        <f ca="1">VLOOKUP(RANDBETWEEN(1,17),'Auxiliar Vendas'!D:G,2,0)</f>
        <v>Produto 06</v>
      </c>
      <c r="U576">
        <v>100</v>
      </c>
      <c r="V576">
        <v>16.600000000000001</v>
      </c>
      <c r="W576">
        <v>0</v>
      </c>
      <c r="X576">
        <v>10.23</v>
      </c>
      <c r="Y576" s="3">
        <v>1660</v>
      </c>
      <c r="Z576">
        <v>24</v>
      </c>
      <c r="AA576" t="s">
        <v>53</v>
      </c>
      <c r="AB576">
        <v>0</v>
      </c>
      <c r="AC576">
        <v>0</v>
      </c>
      <c r="AD576" t="s">
        <v>51</v>
      </c>
      <c r="AH576" s="2">
        <v>44531.354861111111</v>
      </c>
      <c r="AI576">
        <v>0</v>
      </c>
      <c r="AJ576">
        <v>0</v>
      </c>
      <c r="AK576" s="30" t="str">
        <f ca="1">VLOOKUP(T576,'Auxiliar Vendas'!E:F,2,FALSE)</f>
        <v>Produto 06</v>
      </c>
      <c r="AL576" s="31">
        <f ca="1">U576*VLOOKUP(T576,'Auxiliar Vendas'!E:G,3,FALSE)</f>
        <v>50</v>
      </c>
    </row>
    <row r="577" spans="1:38">
      <c r="A577">
        <v>15426574458</v>
      </c>
      <c r="B577">
        <v>172</v>
      </c>
      <c r="D577" s="1">
        <v>44531</v>
      </c>
      <c r="E577">
        <v>15058876151</v>
      </c>
      <c r="F577" t="str">
        <f ca="1">VLOOKUP(RANDBETWEEN(1,20),'DBO Compras'!AA:AC,3,0)</f>
        <v>Comprador 20</v>
      </c>
      <c r="G577" t="s">
        <v>114</v>
      </c>
      <c r="H577" t="s">
        <v>115</v>
      </c>
      <c r="I577" t="s">
        <v>116</v>
      </c>
      <c r="J577" t="s">
        <v>117</v>
      </c>
      <c r="K577">
        <v>86027620</v>
      </c>
      <c r="L577" t="s">
        <v>40</v>
      </c>
      <c r="M577" t="s">
        <v>118</v>
      </c>
      <c r="N577">
        <v>43996560102</v>
      </c>
      <c r="O577">
        <v>0</v>
      </c>
      <c r="P577">
        <v>0</v>
      </c>
      <c r="R577" t="s">
        <v>42</v>
      </c>
      <c r="S577">
        <v>15015918644</v>
      </c>
      <c r="T577" t="str">
        <f ca="1">VLOOKUP(RANDBETWEEN(1,17),'Auxiliar Vendas'!D:G,2,0)</f>
        <v>Produto 10</v>
      </c>
      <c r="U577">
        <v>150</v>
      </c>
      <c r="V577">
        <v>8.2799999999999994</v>
      </c>
      <c r="W577">
        <v>0</v>
      </c>
      <c r="X577">
        <v>5.61</v>
      </c>
      <c r="Y577" s="3">
        <v>1242</v>
      </c>
      <c r="Z577">
        <v>24</v>
      </c>
      <c r="AA577" t="s">
        <v>59</v>
      </c>
      <c r="AB577">
        <v>0</v>
      </c>
      <c r="AC577">
        <v>0</v>
      </c>
      <c r="AD577" t="s">
        <v>51</v>
      </c>
      <c r="AH577" s="2">
        <v>44531.354861111111</v>
      </c>
      <c r="AI577">
        <v>0</v>
      </c>
      <c r="AJ577">
        <v>0</v>
      </c>
      <c r="AK577" s="30" t="str">
        <f ca="1">VLOOKUP(T577,'Auxiliar Vendas'!E:F,2,FALSE)</f>
        <v>Produto 10</v>
      </c>
      <c r="AL577" s="31">
        <f ca="1">U577*VLOOKUP(T577,'Auxiliar Vendas'!E:G,3,FALSE)</f>
        <v>165</v>
      </c>
    </row>
    <row r="578" spans="1:38">
      <c r="A578">
        <v>15428178141</v>
      </c>
      <c r="B578">
        <v>173</v>
      </c>
      <c r="D578" s="1">
        <v>44531</v>
      </c>
      <c r="E578">
        <v>15428133811</v>
      </c>
      <c r="F578" t="str">
        <f ca="1">VLOOKUP(RANDBETWEEN(1,20),'DBO Compras'!AA:AC,3,0)</f>
        <v>Comprador 17</v>
      </c>
      <c r="G578" t="s">
        <v>271</v>
      </c>
      <c r="H578" t="s">
        <v>272</v>
      </c>
      <c r="I578" t="s">
        <v>273</v>
      </c>
      <c r="J578" t="s">
        <v>274</v>
      </c>
      <c r="K578">
        <v>89116650</v>
      </c>
      <c r="L578" t="s">
        <v>92</v>
      </c>
      <c r="O578">
        <v>0</v>
      </c>
      <c r="P578">
        <v>0</v>
      </c>
      <c r="R578" t="s">
        <v>42</v>
      </c>
      <c r="S578">
        <v>15015085610</v>
      </c>
      <c r="T578" t="str">
        <f ca="1">VLOOKUP(RANDBETWEEN(1,17),'Auxiliar Vendas'!D:G,2,0)</f>
        <v>Produto 02</v>
      </c>
      <c r="U578">
        <v>300</v>
      </c>
      <c r="V578">
        <v>12.8</v>
      </c>
      <c r="W578">
        <v>9.2200000000000006</v>
      </c>
      <c r="X578">
        <v>10.23</v>
      </c>
      <c r="Y578" s="3">
        <v>3840</v>
      </c>
      <c r="Z578">
        <v>103</v>
      </c>
      <c r="AA578" t="s">
        <v>43</v>
      </c>
      <c r="AB578">
        <v>0</v>
      </c>
      <c r="AC578">
        <v>0</v>
      </c>
      <c r="AD578" t="s">
        <v>189</v>
      </c>
      <c r="AH578" s="2">
        <v>44531.334027777775</v>
      </c>
      <c r="AI578">
        <v>0</v>
      </c>
      <c r="AJ578">
        <v>0</v>
      </c>
      <c r="AK578" s="30" t="str">
        <f ca="1">VLOOKUP(T578,'Auxiliar Vendas'!E:F,2,FALSE)</f>
        <v>Produto 02</v>
      </c>
      <c r="AL578" s="31">
        <f ca="1">U578*VLOOKUP(T578,'Auxiliar Vendas'!E:G,3,FALSE)</f>
        <v>81</v>
      </c>
    </row>
    <row r="579" spans="1:38">
      <c r="A579">
        <v>15428178141</v>
      </c>
      <c r="B579">
        <v>173</v>
      </c>
      <c r="D579" s="1">
        <v>44531</v>
      </c>
      <c r="E579">
        <v>15428133811</v>
      </c>
      <c r="F579" t="str">
        <f ca="1">VLOOKUP(RANDBETWEEN(1,20),'DBO Compras'!AA:AC,3,0)</f>
        <v>Comprador 01</v>
      </c>
      <c r="G579" t="s">
        <v>271</v>
      </c>
      <c r="H579" t="s">
        <v>272</v>
      </c>
      <c r="I579" t="s">
        <v>273</v>
      </c>
      <c r="J579" t="s">
        <v>274</v>
      </c>
      <c r="K579">
        <v>89116650</v>
      </c>
      <c r="L579" t="s">
        <v>92</v>
      </c>
      <c r="O579">
        <v>0</v>
      </c>
      <c r="P579">
        <v>0</v>
      </c>
      <c r="R579" t="s">
        <v>42</v>
      </c>
      <c r="S579">
        <v>15015511068</v>
      </c>
      <c r="T579" t="str">
        <f ca="1">VLOOKUP(RANDBETWEEN(1,17),'Auxiliar Vendas'!D:G,2,0)</f>
        <v>Produto 17</v>
      </c>
      <c r="U579">
        <v>300</v>
      </c>
      <c r="V579">
        <v>13.5</v>
      </c>
      <c r="W579">
        <v>18.670000000000002</v>
      </c>
      <c r="X579">
        <v>10.23</v>
      </c>
      <c r="Y579" s="3">
        <v>4050</v>
      </c>
      <c r="Z579">
        <v>103</v>
      </c>
      <c r="AA579" t="s">
        <v>53</v>
      </c>
      <c r="AB579">
        <v>0</v>
      </c>
      <c r="AC579">
        <v>0</v>
      </c>
      <c r="AD579" t="s">
        <v>189</v>
      </c>
      <c r="AH579" s="2">
        <v>44531.334027777775</v>
      </c>
      <c r="AI579">
        <v>0</v>
      </c>
      <c r="AJ579">
        <v>0</v>
      </c>
      <c r="AK579" s="30" t="str">
        <f ca="1">VLOOKUP(T579,'Auxiliar Vendas'!E:F,2,FALSE)</f>
        <v>Produto 17</v>
      </c>
      <c r="AL579" s="31">
        <f ca="1">U579*VLOOKUP(T579,'Auxiliar Vendas'!E:G,3,FALSE)</f>
        <v>426</v>
      </c>
    </row>
    <row r="580" spans="1:38">
      <c r="A580">
        <v>15428422087</v>
      </c>
      <c r="B580">
        <v>174</v>
      </c>
      <c r="D580" s="1">
        <v>44531</v>
      </c>
      <c r="E580">
        <v>15179784707</v>
      </c>
      <c r="F580" t="str">
        <f ca="1">VLOOKUP(RANDBETWEEN(1,20),'DBO Compras'!AA:AC,3,0)</f>
        <v>Comprador 08</v>
      </c>
      <c r="G580" t="s">
        <v>94</v>
      </c>
      <c r="H580" t="s">
        <v>95</v>
      </c>
      <c r="I580" t="s">
        <v>96</v>
      </c>
      <c r="J580" t="s">
        <v>97</v>
      </c>
      <c r="K580">
        <v>86185130</v>
      </c>
      <c r="L580" t="s">
        <v>40</v>
      </c>
      <c r="M580" t="s">
        <v>98</v>
      </c>
      <c r="N580">
        <v>41996084664</v>
      </c>
      <c r="O580">
        <v>0</v>
      </c>
      <c r="P580">
        <v>0</v>
      </c>
      <c r="R580" t="s">
        <v>42</v>
      </c>
      <c r="S580">
        <v>15016099089</v>
      </c>
      <c r="T580" t="str">
        <f ca="1">VLOOKUP(RANDBETWEEN(1,17),'Auxiliar Vendas'!D:G,2,0)</f>
        <v>Produto 01</v>
      </c>
      <c r="U580">
        <v>50</v>
      </c>
      <c r="V580">
        <v>21.65</v>
      </c>
      <c r="W580">
        <v>0</v>
      </c>
      <c r="X580">
        <v>16.804400000000001</v>
      </c>
      <c r="Y580" s="3">
        <v>1082.5</v>
      </c>
      <c r="Z580">
        <v>49</v>
      </c>
      <c r="AA580" t="s">
        <v>79</v>
      </c>
      <c r="AB580">
        <v>0</v>
      </c>
      <c r="AC580">
        <v>0</v>
      </c>
      <c r="AD580" t="s">
        <v>51</v>
      </c>
      <c r="AH580" s="2">
        <v>44531.355555555558</v>
      </c>
      <c r="AI580">
        <v>0</v>
      </c>
      <c r="AJ580">
        <v>0</v>
      </c>
      <c r="AK580" s="30" t="str">
        <f ca="1">VLOOKUP(T580,'Auxiliar Vendas'!E:F,2,FALSE)</f>
        <v>Produto 01</v>
      </c>
      <c r="AL580" s="31">
        <f ca="1">U580*VLOOKUP(T580,'Auxiliar Vendas'!E:G,3,FALSE)</f>
        <v>20</v>
      </c>
    </row>
    <row r="581" spans="1:38">
      <c r="A581">
        <v>15428422087</v>
      </c>
      <c r="B581">
        <v>174</v>
      </c>
      <c r="D581" s="1">
        <v>44531</v>
      </c>
      <c r="E581">
        <v>15179784707</v>
      </c>
      <c r="F581" t="str">
        <f ca="1">VLOOKUP(RANDBETWEEN(1,20),'DBO Compras'!AA:AC,3,0)</f>
        <v>Comprador 15</v>
      </c>
      <c r="G581" t="s">
        <v>94</v>
      </c>
      <c r="H581" t="s">
        <v>95</v>
      </c>
      <c r="I581" t="s">
        <v>96</v>
      </c>
      <c r="J581" t="s">
        <v>97</v>
      </c>
      <c r="K581">
        <v>86185130</v>
      </c>
      <c r="L581" t="s">
        <v>40</v>
      </c>
      <c r="M581" t="s">
        <v>98</v>
      </c>
      <c r="N581">
        <v>41996084664</v>
      </c>
      <c r="O581">
        <v>0</v>
      </c>
      <c r="P581">
        <v>0</v>
      </c>
      <c r="R581" t="s">
        <v>42</v>
      </c>
      <c r="S581">
        <v>15016080333</v>
      </c>
      <c r="T581" t="str">
        <f ca="1">VLOOKUP(RANDBETWEEN(1,17),'Auxiliar Vendas'!D:G,2,0)</f>
        <v>Produto 13</v>
      </c>
      <c r="U581">
        <v>50</v>
      </c>
      <c r="V581">
        <v>15.3</v>
      </c>
      <c r="W581">
        <v>0</v>
      </c>
      <c r="X581">
        <v>10.747</v>
      </c>
      <c r="Y581">
        <v>765</v>
      </c>
      <c r="Z581">
        <v>49</v>
      </c>
      <c r="AA581" t="s">
        <v>80</v>
      </c>
      <c r="AB581">
        <v>0</v>
      </c>
      <c r="AC581">
        <v>0</v>
      </c>
      <c r="AD581" t="s">
        <v>51</v>
      </c>
      <c r="AH581" s="2">
        <v>44531.355555555558</v>
      </c>
      <c r="AI581">
        <v>0</v>
      </c>
      <c r="AJ581">
        <v>0</v>
      </c>
      <c r="AK581" s="30" t="str">
        <f ca="1">VLOOKUP(T581,'Auxiliar Vendas'!E:F,2,FALSE)</f>
        <v>Produto 13</v>
      </c>
      <c r="AL581" s="31">
        <f ca="1">U581*VLOOKUP(T581,'Auxiliar Vendas'!E:G,3,FALSE)</f>
        <v>70</v>
      </c>
    </row>
    <row r="582" spans="1:38">
      <c r="A582">
        <v>15428422087</v>
      </c>
      <c r="B582">
        <v>174</v>
      </c>
      <c r="D582" s="1">
        <v>44531</v>
      </c>
      <c r="E582">
        <v>15179784707</v>
      </c>
      <c r="F582" t="str">
        <f ca="1">VLOOKUP(RANDBETWEEN(1,20),'DBO Compras'!AA:AC,3,0)</f>
        <v>Comprador 19</v>
      </c>
      <c r="G582" t="s">
        <v>94</v>
      </c>
      <c r="H582" t="s">
        <v>95</v>
      </c>
      <c r="I582" t="s">
        <v>96</v>
      </c>
      <c r="J582" t="s">
        <v>97</v>
      </c>
      <c r="K582">
        <v>86185130</v>
      </c>
      <c r="L582" t="s">
        <v>40</v>
      </c>
      <c r="M582" t="s">
        <v>98</v>
      </c>
      <c r="N582">
        <v>41996084664</v>
      </c>
      <c r="O582">
        <v>0</v>
      </c>
      <c r="P582">
        <v>0</v>
      </c>
      <c r="R582" t="s">
        <v>42</v>
      </c>
      <c r="S582">
        <v>15016087271</v>
      </c>
      <c r="T582" t="str">
        <f ca="1">VLOOKUP(RANDBETWEEN(1,17),'Auxiliar Vendas'!D:G,2,0)</f>
        <v>Produto 06</v>
      </c>
      <c r="U582">
        <v>50</v>
      </c>
      <c r="V582">
        <v>18.55</v>
      </c>
      <c r="W582">
        <v>0</v>
      </c>
      <c r="X582">
        <v>14.4596</v>
      </c>
      <c r="Y582">
        <v>927.5</v>
      </c>
      <c r="Z582">
        <v>49</v>
      </c>
      <c r="AA582" t="s">
        <v>64</v>
      </c>
      <c r="AB582">
        <v>0</v>
      </c>
      <c r="AC582">
        <v>0</v>
      </c>
      <c r="AD582" t="s">
        <v>51</v>
      </c>
      <c r="AH582" s="2">
        <v>44531.355555555558</v>
      </c>
      <c r="AI582">
        <v>0</v>
      </c>
      <c r="AJ582">
        <v>0</v>
      </c>
      <c r="AK582" s="30" t="str">
        <f ca="1">VLOOKUP(T582,'Auxiliar Vendas'!E:F,2,FALSE)</f>
        <v>Produto 06</v>
      </c>
      <c r="AL582" s="31">
        <f ca="1">U582*VLOOKUP(T582,'Auxiliar Vendas'!E:G,3,FALSE)</f>
        <v>25</v>
      </c>
    </row>
    <row r="583" spans="1:38">
      <c r="A583">
        <v>15428422087</v>
      </c>
      <c r="B583">
        <v>174</v>
      </c>
      <c r="D583" s="1">
        <v>44531</v>
      </c>
      <c r="E583">
        <v>15179784707</v>
      </c>
      <c r="F583" t="str">
        <f ca="1">VLOOKUP(RANDBETWEEN(1,20),'DBO Compras'!AA:AC,3,0)</f>
        <v>Comprador 17</v>
      </c>
      <c r="G583" t="s">
        <v>94</v>
      </c>
      <c r="H583" t="s">
        <v>95</v>
      </c>
      <c r="I583" t="s">
        <v>96</v>
      </c>
      <c r="J583" t="s">
        <v>97</v>
      </c>
      <c r="K583">
        <v>86185130</v>
      </c>
      <c r="L583" t="s">
        <v>40</v>
      </c>
      <c r="M583" t="s">
        <v>98</v>
      </c>
      <c r="N583">
        <v>41996084664</v>
      </c>
      <c r="O583">
        <v>0</v>
      </c>
      <c r="P583">
        <v>0</v>
      </c>
      <c r="R583" t="s">
        <v>42</v>
      </c>
      <c r="S583">
        <v>15015085610</v>
      </c>
      <c r="T583" t="str">
        <f ca="1">VLOOKUP(RANDBETWEEN(1,17),'Auxiliar Vendas'!D:G,2,0)</f>
        <v>Produto 05</v>
      </c>
      <c r="U583">
        <v>100</v>
      </c>
      <c r="V583">
        <v>14.1</v>
      </c>
      <c r="W583">
        <v>0</v>
      </c>
      <c r="X583">
        <v>10.23</v>
      </c>
      <c r="Y583" s="3">
        <v>1410</v>
      </c>
      <c r="Z583">
        <v>49</v>
      </c>
      <c r="AA583" t="s">
        <v>43</v>
      </c>
      <c r="AB583">
        <v>0</v>
      </c>
      <c r="AC583">
        <v>0</v>
      </c>
      <c r="AD583" t="s">
        <v>51</v>
      </c>
      <c r="AH583" s="2">
        <v>44531.355555555558</v>
      </c>
      <c r="AI583">
        <v>0</v>
      </c>
      <c r="AJ583">
        <v>0</v>
      </c>
      <c r="AK583" s="30" t="str">
        <f ca="1">VLOOKUP(T583,'Auxiliar Vendas'!E:F,2,FALSE)</f>
        <v>Produto 05</v>
      </c>
      <c r="AL583" s="31">
        <f ca="1">U583*VLOOKUP(T583,'Auxiliar Vendas'!E:G,3,FALSE)</f>
        <v>60</v>
      </c>
    </row>
    <row r="584" spans="1:38">
      <c r="A584">
        <v>15428422087</v>
      </c>
      <c r="B584">
        <v>174</v>
      </c>
      <c r="D584" s="1">
        <v>44531</v>
      </c>
      <c r="E584">
        <v>15179784707</v>
      </c>
      <c r="F584" t="str">
        <f ca="1">VLOOKUP(RANDBETWEEN(1,20),'DBO Compras'!AA:AC,3,0)</f>
        <v>Comprador 08</v>
      </c>
      <c r="G584" t="s">
        <v>94</v>
      </c>
      <c r="H584" t="s">
        <v>95</v>
      </c>
      <c r="I584" t="s">
        <v>96</v>
      </c>
      <c r="J584" t="s">
        <v>97</v>
      </c>
      <c r="K584">
        <v>86185130</v>
      </c>
      <c r="L584" t="s">
        <v>40</v>
      </c>
      <c r="M584" t="s">
        <v>98</v>
      </c>
      <c r="N584">
        <v>41996084664</v>
      </c>
      <c r="O584">
        <v>0</v>
      </c>
      <c r="P584">
        <v>0</v>
      </c>
      <c r="R584" t="s">
        <v>42</v>
      </c>
      <c r="S584">
        <v>15015511068</v>
      </c>
      <c r="T584" t="str">
        <f ca="1">VLOOKUP(RANDBETWEEN(1,17),'Auxiliar Vendas'!D:G,2,0)</f>
        <v>Produto 09</v>
      </c>
      <c r="U584">
        <v>100</v>
      </c>
      <c r="V584">
        <v>16.600000000000001</v>
      </c>
      <c r="W584">
        <v>0</v>
      </c>
      <c r="X584">
        <v>10.23</v>
      </c>
      <c r="Y584" s="3">
        <v>1660</v>
      </c>
      <c r="Z584">
        <v>49</v>
      </c>
      <c r="AA584" t="s">
        <v>53</v>
      </c>
      <c r="AB584">
        <v>0</v>
      </c>
      <c r="AC584">
        <v>0</v>
      </c>
      <c r="AD584" t="s">
        <v>51</v>
      </c>
      <c r="AH584" s="2">
        <v>44531.355555555558</v>
      </c>
      <c r="AI584">
        <v>0</v>
      </c>
      <c r="AJ584">
        <v>0</v>
      </c>
      <c r="AK584" s="30" t="str">
        <f ca="1">VLOOKUP(T584,'Auxiliar Vendas'!E:F,2,FALSE)</f>
        <v>Produto 09</v>
      </c>
      <c r="AL584" s="31">
        <f ca="1">U584*VLOOKUP(T584,'Auxiliar Vendas'!E:G,3,FALSE)</f>
        <v>110.00000000000001</v>
      </c>
    </row>
    <row r="585" spans="1:38">
      <c r="A585">
        <v>15428422087</v>
      </c>
      <c r="B585">
        <v>174</v>
      </c>
      <c r="D585" s="1">
        <v>44531</v>
      </c>
      <c r="E585">
        <v>15179784707</v>
      </c>
      <c r="F585" t="str">
        <f ca="1">VLOOKUP(RANDBETWEEN(1,20),'DBO Compras'!AA:AC,3,0)</f>
        <v>Comprador 06</v>
      </c>
      <c r="G585" t="s">
        <v>94</v>
      </c>
      <c r="H585" t="s">
        <v>95</v>
      </c>
      <c r="I585" t="s">
        <v>96</v>
      </c>
      <c r="J585" t="s">
        <v>97</v>
      </c>
      <c r="K585">
        <v>86185130</v>
      </c>
      <c r="L585" t="s">
        <v>40</v>
      </c>
      <c r="M585" t="s">
        <v>98</v>
      </c>
      <c r="N585">
        <v>41996084664</v>
      </c>
      <c r="O585">
        <v>0</v>
      </c>
      <c r="P585">
        <v>0</v>
      </c>
      <c r="R585" t="s">
        <v>42</v>
      </c>
      <c r="S585">
        <v>15016093155</v>
      </c>
      <c r="T585" t="str">
        <f ca="1">VLOOKUP(RANDBETWEEN(1,17),'Auxiliar Vendas'!D:G,2,0)</f>
        <v>Produto 15</v>
      </c>
      <c r="U585">
        <v>50</v>
      </c>
      <c r="V585">
        <v>18.649999999999999</v>
      </c>
      <c r="W585">
        <v>0</v>
      </c>
      <c r="X585">
        <v>14.4596</v>
      </c>
      <c r="Y585">
        <v>932.5</v>
      </c>
      <c r="Z585">
        <v>49</v>
      </c>
      <c r="AA585" t="s">
        <v>65</v>
      </c>
      <c r="AB585">
        <v>0</v>
      </c>
      <c r="AC585">
        <v>0</v>
      </c>
      <c r="AD585" t="s">
        <v>51</v>
      </c>
      <c r="AH585" s="2">
        <v>44531.355555555558</v>
      </c>
      <c r="AI585">
        <v>0</v>
      </c>
      <c r="AJ585">
        <v>0</v>
      </c>
      <c r="AK585" s="30" t="str">
        <f ca="1">VLOOKUP(T585,'Auxiliar Vendas'!E:F,2,FALSE)</f>
        <v>Produto 15</v>
      </c>
      <c r="AL585" s="31">
        <f ca="1">U585*VLOOKUP(T585,'Auxiliar Vendas'!E:G,3,FALSE)</f>
        <v>71</v>
      </c>
    </row>
    <row r="586" spans="1:38">
      <c r="A586">
        <v>15439934488</v>
      </c>
      <c r="B586">
        <v>177</v>
      </c>
      <c r="D586" s="1">
        <v>44532</v>
      </c>
      <c r="E586">
        <v>15020006032</v>
      </c>
      <c r="F586" t="str">
        <f ca="1">VLOOKUP(RANDBETWEEN(1,20),'DBO Compras'!AA:AC,3,0)</f>
        <v>Comprador 02</v>
      </c>
      <c r="G586" t="s">
        <v>36</v>
      </c>
      <c r="H586" t="s">
        <v>37</v>
      </c>
      <c r="I586" t="s">
        <v>38</v>
      </c>
      <c r="J586" t="s">
        <v>39</v>
      </c>
      <c r="K586">
        <v>82960015</v>
      </c>
      <c r="L586" t="s">
        <v>40</v>
      </c>
      <c r="M586" t="s">
        <v>41</v>
      </c>
      <c r="N586">
        <v>41996838559</v>
      </c>
      <c r="O586">
        <v>0</v>
      </c>
      <c r="P586">
        <v>0</v>
      </c>
      <c r="R586" t="s">
        <v>42</v>
      </c>
      <c r="S586">
        <v>15395751673</v>
      </c>
      <c r="T586" t="str">
        <f ca="1">VLOOKUP(RANDBETWEEN(1,17),'Auxiliar Vendas'!D:G,2,0)</f>
        <v>Produto 09</v>
      </c>
      <c r="U586">
        <v>300</v>
      </c>
      <c r="V586">
        <v>7.6</v>
      </c>
      <c r="W586">
        <v>0</v>
      </c>
      <c r="X586">
        <v>5.8620000000000001</v>
      </c>
      <c r="Y586" s="3">
        <v>2280</v>
      </c>
      <c r="Z586">
        <v>16</v>
      </c>
      <c r="AA586" t="s">
        <v>268</v>
      </c>
      <c r="AB586">
        <v>0</v>
      </c>
      <c r="AC586">
        <v>0</v>
      </c>
      <c r="AD586" t="s">
        <v>58</v>
      </c>
      <c r="AH586" s="2">
        <v>44532.35833333333</v>
      </c>
      <c r="AI586">
        <v>0</v>
      </c>
      <c r="AJ586">
        <v>0</v>
      </c>
      <c r="AK586" s="30" t="str">
        <f ca="1">VLOOKUP(T586,'Auxiliar Vendas'!E:F,2,FALSE)</f>
        <v>Produto 09</v>
      </c>
      <c r="AL586" s="31">
        <f ca="1">U586*VLOOKUP(T586,'Auxiliar Vendas'!E:G,3,FALSE)</f>
        <v>330</v>
      </c>
    </row>
    <row r="587" spans="1:38">
      <c r="A587">
        <v>15439934488</v>
      </c>
      <c r="B587">
        <v>177</v>
      </c>
      <c r="D587" s="1">
        <v>44532</v>
      </c>
      <c r="E587">
        <v>15020006032</v>
      </c>
      <c r="F587" t="str">
        <f ca="1">VLOOKUP(RANDBETWEEN(1,20),'DBO Compras'!AA:AC,3,0)</f>
        <v>Comprador 05</v>
      </c>
      <c r="G587" t="s">
        <v>36</v>
      </c>
      <c r="H587" t="s">
        <v>37</v>
      </c>
      <c r="I587" t="s">
        <v>38</v>
      </c>
      <c r="J587" t="s">
        <v>39</v>
      </c>
      <c r="K587">
        <v>82960015</v>
      </c>
      <c r="L587" t="s">
        <v>40</v>
      </c>
      <c r="M587" t="s">
        <v>41</v>
      </c>
      <c r="N587">
        <v>41996838559</v>
      </c>
      <c r="O587">
        <v>0</v>
      </c>
      <c r="P587">
        <v>0</v>
      </c>
      <c r="R587" t="s">
        <v>42</v>
      </c>
      <c r="S587">
        <v>15016099089</v>
      </c>
      <c r="T587" t="str">
        <f ca="1">VLOOKUP(RANDBETWEEN(1,17),'Auxiliar Vendas'!D:G,2,0)</f>
        <v>Produto 02</v>
      </c>
      <c r="U587">
        <v>500</v>
      </c>
      <c r="V587">
        <v>20.28</v>
      </c>
      <c r="W587">
        <v>0</v>
      </c>
      <c r="X587">
        <v>16.804400000000001</v>
      </c>
      <c r="Y587" s="3">
        <v>10140</v>
      </c>
      <c r="Z587">
        <v>16</v>
      </c>
      <c r="AA587" t="s">
        <v>79</v>
      </c>
      <c r="AB587">
        <v>0</v>
      </c>
      <c r="AC587">
        <v>0</v>
      </c>
      <c r="AD587" t="s">
        <v>58</v>
      </c>
      <c r="AH587" s="2">
        <v>44532.35833333333</v>
      </c>
      <c r="AI587">
        <v>0</v>
      </c>
      <c r="AJ587">
        <v>0</v>
      </c>
      <c r="AK587" s="30" t="str">
        <f ca="1">VLOOKUP(T587,'Auxiliar Vendas'!E:F,2,FALSE)</f>
        <v>Produto 02</v>
      </c>
      <c r="AL587" s="31">
        <f ca="1">U587*VLOOKUP(T587,'Auxiliar Vendas'!E:G,3,FALSE)</f>
        <v>135</v>
      </c>
    </row>
    <row r="588" spans="1:38">
      <c r="A588">
        <v>15439950201</v>
      </c>
      <c r="B588">
        <v>178</v>
      </c>
      <c r="D588" s="1">
        <v>44532</v>
      </c>
      <c r="E588">
        <v>15266257098</v>
      </c>
      <c r="F588" t="str">
        <f ca="1">VLOOKUP(RANDBETWEEN(1,20),'DBO Compras'!AA:AC,3,0)</f>
        <v>Comprador 17</v>
      </c>
      <c r="G588" t="s">
        <v>219</v>
      </c>
      <c r="H588" t="s">
        <v>220</v>
      </c>
      <c r="I588" t="s">
        <v>221</v>
      </c>
      <c r="J588" t="s">
        <v>193</v>
      </c>
      <c r="K588">
        <v>89214600</v>
      </c>
      <c r="L588" t="s">
        <v>92</v>
      </c>
      <c r="M588" t="s">
        <v>222</v>
      </c>
      <c r="N588">
        <v>41991696565</v>
      </c>
      <c r="O588">
        <v>0</v>
      </c>
      <c r="P588">
        <v>0</v>
      </c>
      <c r="R588" t="s">
        <v>42</v>
      </c>
      <c r="S588">
        <v>15016080333</v>
      </c>
      <c r="T588" t="str">
        <f ca="1">VLOOKUP(RANDBETWEEN(1,17),'Auxiliar Vendas'!D:G,2,0)</f>
        <v>Produto 15</v>
      </c>
      <c r="U588" s="3">
        <v>1800</v>
      </c>
      <c r="V588">
        <v>13.33</v>
      </c>
      <c r="W588">
        <v>0</v>
      </c>
      <c r="X588">
        <v>10.747</v>
      </c>
      <c r="Y588" s="3">
        <v>23994</v>
      </c>
      <c r="Z588">
        <v>63</v>
      </c>
      <c r="AA588" t="s">
        <v>80</v>
      </c>
      <c r="AB588">
        <v>0</v>
      </c>
      <c r="AC588">
        <v>0</v>
      </c>
      <c r="AD588" t="s">
        <v>58</v>
      </c>
      <c r="AH588" s="2">
        <v>44532.334027777775</v>
      </c>
      <c r="AI588">
        <v>0</v>
      </c>
      <c r="AJ588">
        <v>0</v>
      </c>
      <c r="AK588" s="30" t="str">
        <f ca="1">VLOOKUP(T588,'Auxiliar Vendas'!E:F,2,FALSE)</f>
        <v>Produto 15</v>
      </c>
      <c r="AL588" s="31">
        <f ca="1">U588*VLOOKUP(T588,'Auxiliar Vendas'!E:G,3,FALSE)</f>
        <v>2556</v>
      </c>
    </row>
    <row r="589" spans="1:38">
      <c r="A589">
        <v>15439950201</v>
      </c>
      <c r="B589">
        <v>178</v>
      </c>
      <c r="D589" s="1">
        <v>44532</v>
      </c>
      <c r="E589">
        <v>15266257098</v>
      </c>
      <c r="F589" t="str">
        <f ca="1">VLOOKUP(RANDBETWEEN(1,20),'DBO Compras'!AA:AC,3,0)</f>
        <v>Comprador 05</v>
      </c>
      <c r="G589" t="s">
        <v>219</v>
      </c>
      <c r="H589" t="s">
        <v>220</v>
      </c>
      <c r="I589" t="s">
        <v>221</v>
      </c>
      <c r="J589" t="s">
        <v>193</v>
      </c>
      <c r="K589">
        <v>89214600</v>
      </c>
      <c r="L589" t="s">
        <v>92</v>
      </c>
      <c r="M589" t="s">
        <v>222</v>
      </c>
      <c r="N589">
        <v>41991696565</v>
      </c>
      <c r="O589">
        <v>0</v>
      </c>
      <c r="P589">
        <v>0</v>
      </c>
      <c r="R589" t="s">
        <v>42</v>
      </c>
      <c r="S589">
        <v>15015918644</v>
      </c>
      <c r="T589" t="str">
        <f ca="1">VLOOKUP(RANDBETWEEN(1,17),'Auxiliar Vendas'!D:G,2,0)</f>
        <v>Produto 16</v>
      </c>
      <c r="U589" s="3">
        <v>4000</v>
      </c>
      <c r="V589">
        <v>7.15</v>
      </c>
      <c r="W589">
        <v>13.65</v>
      </c>
      <c r="X589">
        <v>5.61</v>
      </c>
      <c r="Y589" s="3">
        <v>28600</v>
      </c>
      <c r="Z589">
        <v>63</v>
      </c>
      <c r="AA589" t="s">
        <v>59</v>
      </c>
      <c r="AB589">
        <v>0</v>
      </c>
      <c r="AC589">
        <v>0</v>
      </c>
      <c r="AD589" t="s">
        <v>58</v>
      </c>
      <c r="AH589" s="2">
        <v>44532.334027777775</v>
      </c>
      <c r="AI589">
        <v>0</v>
      </c>
      <c r="AJ589">
        <v>0</v>
      </c>
      <c r="AK589" s="30" t="str">
        <f ca="1">VLOOKUP(T589,'Auxiliar Vendas'!E:F,2,FALSE)</f>
        <v>Produto 16</v>
      </c>
      <c r="AL589" s="31">
        <f ca="1">U589*VLOOKUP(T589,'Auxiliar Vendas'!E:G,3,FALSE)</f>
        <v>5080</v>
      </c>
    </row>
    <row r="590" spans="1:38">
      <c r="A590">
        <v>15439950201</v>
      </c>
      <c r="B590">
        <v>178</v>
      </c>
      <c r="D590" s="1">
        <v>44532</v>
      </c>
      <c r="E590">
        <v>15266257098</v>
      </c>
      <c r="F590" t="str">
        <f ca="1">VLOOKUP(RANDBETWEEN(1,20),'DBO Compras'!AA:AC,3,0)</f>
        <v>Comprador 15</v>
      </c>
      <c r="G590" t="s">
        <v>219</v>
      </c>
      <c r="H590" t="s">
        <v>220</v>
      </c>
      <c r="I590" t="s">
        <v>221</v>
      </c>
      <c r="J590" t="s">
        <v>193</v>
      </c>
      <c r="K590">
        <v>89214600</v>
      </c>
      <c r="L590" t="s">
        <v>92</v>
      </c>
      <c r="M590" t="s">
        <v>222</v>
      </c>
      <c r="N590">
        <v>41991696565</v>
      </c>
      <c r="O590">
        <v>0</v>
      </c>
      <c r="P590">
        <v>0</v>
      </c>
      <c r="R590" t="s">
        <v>42</v>
      </c>
      <c r="S590">
        <v>15015085610</v>
      </c>
      <c r="T590" t="str">
        <f ca="1">VLOOKUP(RANDBETWEEN(1,17),'Auxiliar Vendas'!D:G,2,0)</f>
        <v>Produto 12</v>
      </c>
      <c r="U590" s="3">
        <v>1581</v>
      </c>
      <c r="V590">
        <v>12.4</v>
      </c>
      <c r="W590">
        <v>12.06</v>
      </c>
      <c r="X590">
        <v>10.23</v>
      </c>
      <c r="Y590" s="3">
        <v>19604.400000000001</v>
      </c>
      <c r="Z590">
        <v>63</v>
      </c>
      <c r="AA590" t="s">
        <v>43</v>
      </c>
      <c r="AB590">
        <v>0</v>
      </c>
      <c r="AC590">
        <v>0</v>
      </c>
      <c r="AD590" t="s">
        <v>58</v>
      </c>
      <c r="AH590" s="2">
        <v>44532.334027777775</v>
      </c>
      <c r="AI590">
        <v>0</v>
      </c>
      <c r="AJ590">
        <v>0</v>
      </c>
      <c r="AK590" s="30" t="str">
        <f ca="1">VLOOKUP(T590,'Auxiliar Vendas'!E:F,2,FALSE)</f>
        <v>Produto 12</v>
      </c>
      <c r="AL590" s="31">
        <f ca="1">U590*VLOOKUP(T590,'Auxiliar Vendas'!E:G,3,FALSE)</f>
        <v>2213.3999999999996</v>
      </c>
    </row>
    <row r="591" spans="1:38">
      <c r="A591">
        <v>15439950201</v>
      </c>
      <c r="B591">
        <v>178</v>
      </c>
      <c r="D591" s="1">
        <v>44532</v>
      </c>
      <c r="E591">
        <v>15266257098</v>
      </c>
      <c r="F591" t="str">
        <f ca="1">VLOOKUP(RANDBETWEEN(1,20),'DBO Compras'!AA:AC,3,0)</f>
        <v>Comprador 08</v>
      </c>
      <c r="G591" t="s">
        <v>219</v>
      </c>
      <c r="H591" t="s">
        <v>220</v>
      </c>
      <c r="I591" t="s">
        <v>221</v>
      </c>
      <c r="J591" t="s">
        <v>193</v>
      </c>
      <c r="K591">
        <v>89214600</v>
      </c>
      <c r="L591" t="s">
        <v>92</v>
      </c>
      <c r="M591" t="s">
        <v>222</v>
      </c>
      <c r="N591">
        <v>41991696565</v>
      </c>
      <c r="O591">
        <v>0</v>
      </c>
      <c r="P591">
        <v>0</v>
      </c>
      <c r="R591" t="s">
        <v>42</v>
      </c>
      <c r="S591">
        <v>15016043939</v>
      </c>
      <c r="T591" t="str">
        <f ca="1">VLOOKUP(RANDBETWEEN(1,17),'Auxiliar Vendas'!D:G,2,0)</f>
        <v>Produto 16</v>
      </c>
      <c r="U591" s="3">
        <v>4179</v>
      </c>
      <c r="V591">
        <v>12.4</v>
      </c>
      <c r="W591">
        <v>12.06</v>
      </c>
      <c r="X591">
        <v>10.747</v>
      </c>
      <c r="Y591" s="3">
        <v>51819.6</v>
      </c>
      <c r="Z591">
        <v>63</v>
      </c>
      <c r="AA591" t="s">
        <v>50</v>
      </c>
      <c r="AB591">
        <v>0</v>
      </c>
      <c r="AC591">
        <v>0</v>
      </c>
      <c r="AD591" t="s">
        <v>58</v>
      </c>
      <c r="AH591" s="2">
        <v>44532.334027777775</v>
      </c>
      <c r="AI591">
        <v>0</v>
      </c>
      <c r="AJ591">
        <v>0</v>
      </c>
      <c r="AK591" s="30" t="str">
        <f ca="1">VLOOKUP(T591,'Auxiliar Vendas'!E:F,2,FALSE)</f>
        <v>Produto 16</v>
      </c>
      <c r="AL591" s="31">
        <f ca="1">U591*VLOOKUP(T591,'Auxiliar Vendas'!E:G,3,FALSE)</f>
        <v>5307.33</v>
      </c>
    </row>
    <row r="592" spans="1:38">
      <c r="A592">
        <v>15439950201</v>
      </c>
      <c r="B592">
        <v>178</v>
      </c>
      <c r="D592" s="1">
        <v>44532</v>
      </c>
      <c r="E592">
        <v>15266257098</v>
      </c>
      <c r="F592" t="str">
        <f ca="1">VLOOKUP(RANDBETWEEN(1,20),'DBO Compras'!AA:AC,3,0)</f>
        <v>Comprador 18</v>
      </c>
      <c r="G592" t="s">
        <v>219</v>
      </c>
      <c r="H592" t="s">
        <v>220</v>
      </c>
      <c r="I592" t="s">
        <v>221</v>
      </c>
      <c r="J592" t="s">
        <v>193</v>
      </c>
      <c r="K592">
        <v>89214600</v>
      </c>
      <c r="L592" t="s">
        <v>92</v>
      </c>
      <c r="M592" t="s">
        <v>222</v>
      </c>
      <c r="N592">
        <v>41991696565</v>
      </c>
      <c r="O592">
        <v>0</v>
      </c>
      <c r="P592">
        <v>0</v>
      </c>
      <c r="R592" t="s">
        <v>42</v>
      </c>
      <c r="S592">
        <v>15015911944</v>
      </c>
      <c r="T592" t="str">
        <f ca="1">VLOOKUP(RANDBETWEEN(1,17),'Auxiliar Vendas'!D:G,2,0)</f>
        <v>Produto 02</v>
      </c>
      <c r="U592">
        <v>240</v>
      </c>
      <c r="V592">
        <v>12.4</v>
      </c>
      <c r="W592">
        <v>12.06</v>
      </c>
      <c r="X592">
        <v>10.285</v>
      </c>
      <c r="Y592" s="3">
        <v>2976</v>
      </c>
      <c r="Z592">
        <v>63</v>
      </c>
      <c r="AA592" t="s">
        <v>78</v>
      </c>
      <c r="AB592">
        <v>0</v>
      </c>
      <c r="AC592">
        <v>0</v>
      </c>
      <c r="AD592" t="s">
        <v>58</v>
      </c>
      <c r="AH592" s="2">
        <v>44532.334027777775</v>
      </c>
      <c r="AI592">
        <v>0</v>
      </c>
      <c r="AJ592">
        <v>0</v>
      </c>
      <c r="AK592" s="30" t="str">
        <f ca="1">VLOOKUP(T592,'Auxiliar Vendas'!E:F,2,FALSE)</f>
        <v>Produto 02</v>
      </c>
      <c r="AL592" s="31">
        <f ca="1">U592*VLOOKUP(T592,'Auxiliar Vendas'!E:G,3,FALSE)</f>
        <v>64.800000000000011</v>
      </c>
    </row>
    <row r="593" spans="1:38">
      <c r="A593">
        <v>15492044171</v>
      </c>
      <c r="B593">
        <v>189</v>
      </c>
      <c r="D593" s="1">
        <v>44532</v>
      </c>
      <c r="E593">
        <v>15059237186</v>
      </c>
      <c r="F593" t="str">
        <f ca="1">VLOOKUP(RANDBETWEEN(1,20),'DBO Compras'!AA:AC,3,0)</f>
        <v>Comprador 18</v>
      </c>
      <c r="G593" t="s">
        <v>206</v>
      </c>
      <c r="H593" t="s">
        <v>207</v>
      </c>
      <c r="I593" t="s">
        <v>208</v>
      </c>
      <c r="J593" t="s">
        <v>209</v>
      </c>
      <c r="K593">
        <v>94853120</v>
      </c>
      <c r="L593" t="s">
        <v>204</v>
      </c>
      <c r="O593">
        <v>0</v>
      </c>
      <c r="P593">
        <v>0</v>
      </c>
      <c r="R593" t="s">
        <v>42</v>
      </c>
      <c r="S593">
        <v>15016043939</v>
      </c>
      <c r="T593" t="str">
        <f ca="1">VLOOKUP(RANDBETWEEN(1,17),'Auxiliar Vendas'!D:G,2,0)</f>
        <v>Produto 04</v>
      </c>
      <c r="U593">
        <v>100</v>
      </c>
      <c r="V593">
        <v>14.25</v>
      </c>
      <c r="W593">
        <v>0</v>
      </c>
      <c r="X593">
        <v>10.747</v>
      </c>
      <c r="Y593" s="3">
        <v>1425</v>
      </c>
      <c r="Z593">
        <v>35</v>
      </c>
      <c r="AA593" t="s">
        <v>50</v>
      </c>
      <c r="AB593">
        <v>0</v>
      </c>
      <c r="AC593">
        <v>0</v>
      </c>
      <c r="AH593" s="2">
        <v>44532.581944444442</v>
      </c>
      <c r="AI593">
        <v>0</v>
      </c>
      <c r="AJ593">
        <v>0</v>
      </c>
      <c r="AK593" s="30" t="str">
        <f ca="1">VLOOKUP(T593,'Auxiliar Vendas'!E:F,2,FALSE)</f>
        <v>Produto 04</v>
      </c>
      <c r="AL593" s="31">
        <f ca="1">U593*VLOOKUP(T593,'Auxiliar Vendas'!E:G,3,FALSE)</f>
        <v>60</v>
      </c>
    </row>
    <row r="594" spans="1:38">
      <c r="A594">
        <v>15492044171</v>
      </c>
      <c r="B594">
        <v>189</v>
      </c>
      <c r="D594" s="1">
        <v>44532</v>
      </c>
      <c r="E594">
        <v>15059237186</v>
      </c>
      <c r="F594" t="str">
        <f ca="1">VLOOKUP(RANDBETWEEN(1,20),'DBO Compras'!AA:AC,3,0)</f>
        <v>Comprador 16</v>
      </c>
      <c r="G594" t="s">
        <v>206</v>
      </c>
      <c r="H594" t="s">
        <v>207</v>
      </c>
      <c r="I594" t="s">
        <v>208</v>
      </c>
      <c r="J594" t="s">
        <v>209</v>
      </c>
      <c r="K594">
        <v>94853120</v>
      </c>
      <c r="L594" t="s">
        <v>204</v>
      </c>
      <c r="O594">
        <v>0</v>
      </c>
      <c r="P594">
        <v>0</v>
      </c>
      <c r="R594" t="s">
        <v>42</v>
      </c>
      <c r="S594">
        <v>15015511068</v>
      </c>
      <c r="T594" t="str">
        <f ca="1">VLOOKUP(RANDBETWEEN(1,17),'Auxiliar Vendas'!D:G,2,0)</f>
        <v>Produto 15</v>
      </c>
      <c r="U594">
        <v>60</v>
      </c>
      <c r="V594">
        <v>16.7</v>
      </c>
      <c r="W594">
        <v>0</v>
      </c>
      <c r="X594">
        <v>10.23</v>
      </c>
      <c r="Y594" s="3">
        <v>1002</v>
      </c>
      <c r="Z594">
        <v>35</v>
      </c>
      <c r="AA594" t="s">
        <v>53</v>
      </c>
      <c r="AB594">
        <v>0</v>
      </c>
      <c r="AC594">
        <v>0</v>
      </c>
      <c r="AH594" s="2">
        <v>44532.581944444442</v>
      </c>
      <c r="AI594">
        <v>0</v>
      </c>
      <c r="AJ594">
        <v>0</v>
      </c>
      <c r="AK594" s="30" t="str">
        <f ca="1">VLOOKUP(T594,'Auxiliar Vendas'!E:F,2,FALSE)</f>
        <v>Produto 15</v>
      </c>
      <c r="AL594" s="31">
        <f ca="1">U594*VLOOKUP(T594,'Auxiliar Vendas'!E:G,3,FALSE)</f>
        <v>85.199999999999989</v>
      </c>
    </row>
    <row r="595" spans="1:38">
      <c r="A595">
        <v>15492044171</v>
      </c>
      <c r="B595">
        <v>189</v>
      </c>
      <c r="D595" s="1">
        <v>44532</v>
      </c>
      <c r="E595">
        <v>15059237186</v>
      </c>
      <c r="F595" t="str">
        <f ca="1">VLOOKUP(RANDBETWEEN(1,20),'DBO Compras'!AA:AC,3,0)</f>
        <v>Comprador 11</v>
      </c>
      <c r="G595" t="s">
        <v>206</v>
      </c>
      <c r="H595" t="s">
        <v>207</v>
      </c>
      <c r="I595" t="s">
        <v>208</v>
      </c>
      <c r="J595" t="s">
        <v>209</v>
      </c>
      <c r="K595">
        <v>94853120</v>
      </c>
      <c r="L595" t="s">
        <v>204</v>
      </c>
      <c r="O595">
        <v>0</v>
      </c>
      <c r="P595">
        <v>0</v>
      </c>
      <c r="R595" t="s">
        <v>42</v>
      </c>
      <c r="S595">
        <v>15470874335</v>
      </c>
      <c r="T595" t="str">
        <f ca="1">VLOOKUP(RANDBETWEEN(1,17),'Auxiliar Vendas'!D:G,2,0)</f>
        <v>Produto 08</v>
      </c>
      <c r="U595">
        <v>100</v>
      </c>
      <c r="V595">
        <v>26.1</v>
      </c>
      <c r="W595">
        <v>0</v>
      </c>
      <c r="X595">
        <v>0</v>
      </c>
      <c r="Y595" s="3">
        <v>2610</v>
      </c>
      <c r="Z595">
        <v>35</v>
      </c>
      <c r="AA595" t="s">
        <v>275</v>
      </c>
      <c r="AB595">
        <v>0</v>
      </c>
      <c r="AC595">
        <v>0</v>
      </c>
      <c r="AH595" s="2">
        <v>44532.581944444442</v>
      </c>
      <c r="AI595">
        <v>0</v>
      </c>
      <c r="AJ595">
        <v>0</v>
      </c>
      <c r="AK595" s="30" t="str">
        <f ca="1">VLOOKUP(T595,'Auxiliar Vendas'!E:F,2,FALSE)</f>
        <v>Produto 08</v>
      </c>
      <c r="AL595" s="31">
        <f ca="1">U595*VLOOKUP(T595,'Auxiliar Vendas'!E:G,3,FALSE)</f>
        <v>110.00000000000001</v>
      </c>
    </row>
    <row r="596" spans="1:38">
      <c r="A596">
        <v>15492044171</v>
      </c>
      <c r="B596">
        <v>189</v>
      </c>
      <c r="D596" s="1">
        <v>44532</v>
      </c>
      <c r="E596">
        <v>15059237186</v>
      </c>
      <c r="F596" t="str">
        <f ca="1">VLOOKUP(RANDBETWEEN(1,20),'DBO Compras'!AA:AC,3,0)</f>
        <v>Comprador 18</v>
      </c>
      <c r="G596" t="s">
        <v>206</v>
      </c>
      <c r="H596" t="s">
        <v>207</v>
      </c>
      <c r="I596" t="s">
        <v>208</v>
      </c>
      <c r="J596" t="s">
        <v>209</v>
      </c>
      <c r="K596">
        <v>94853120</v>
      </c>
      <c r="L596" t="s">
        <v>204</v>
      </c>
      <c r="O596">
        <v>0</v>
      </c>
      <c r="P596">
        <v>0</v>
      </c>
      <c r="R596" t="s">
        <v>42</v>
      </c>
      <c r="S596">
        <v>15016087271</v>
      </c>
      <c r="T596" t="str">
        <f ca="1">VLOOKUP(RANDBETWEEN(1,17),'Auxiliar Vendas'!D:G,2,0)</f>
        <v>Produto 11</v>
      </c>
      <c r="U596">
        <v>100</v>
      </c>
      <c r="V596">
        <v>18.3</v>
      </c>
      <c r="W596">
        <v>1.35</v>
      </c>
      <c r="X596">
        <v>14.4596</v>
      </c>
      <c r="Y596" s="3">
        <v>1830</v>
      </c>
      <c r="Z596">
        <v>35</v>
      </c>
      <c r="AA596" t="s">
        <v>64</v>
      </c>
      <c r="AB596">
        <v>0</v>
      </c>
      <c r="AC596">
        <v>0</v>
      </c>
      <c r="AH596" s="2">
        <v>44532.581944444442</v>
      </c>
      <c r="AI596">
        <v>0</v>
      </c>
      <c r="AJ596">
        <v>0</v>
      </c>
      <c r="AK596" s="30" t="str">
        <f ca="1">VLOOKUP(T596,'Auxiliar Vendas'!E:F,2,FALSE)</f>
        <v>Produto 11</v>
      </c>
      <c r="AL596" s="31">
        <f ca="1">U596*VLOOKUP(T596,'Auxiliar Vendas'!E:G,3,FALSE)</f>
        <v>110.00000000000001</v>
      </c>
    </row>
    <row r="597" spans="1:38">
      <c r="A597">
        <v>15492044171</v>
      </c>
      <c r="B597">
        <v>189</v>
      </c>
      <c r="D597" s="1">
        <v>44532</v>
      </c>
      <c r="E597">
        <v>15059237186</v>
      </c>
      <c r="F597" t="str">
        <f ca="1">VLOOKUP(RANDBETWEEN(1,20),'DBO Compras'!AA:AC,3,0)</f>
        <v>Comprador 17</v>
      </c>
      <c r="G597" t="s">
        <v>206</v>
      </c>
      <c r="H597" t="s">
        <v>207</v>
      </c>
      <c r="I597" t="s">
        <v>208</v>
      </c>
      <c r="J597" t="s">
        <v>209</v>
      </c>
      <c r="K597">
        <v>94853120</v>
      </c>
      <c r="L597" t="s">
        <v>204</v>
      </c>
      <c r="O597">
        <v>0</v>
      </c>
      <c r="P597">
        <v>0</v>
      </c>
      <c r="R597" t="s">
        <v>42</v>
      </c>
      <c r="S597">
        <v>15139727614</v>
      </c>
      <c r="T597" t="str">
        <f ca="1">VLOOKUP(RANDBETWEEN(1,17),'Auxiliar Vendas'!D:G,2,0)</f>
        <v>Produto 01</v>
      </c>
      <c r="U597">
        <v>100</v>
      </c>
      <c r="V597">
        <v>23.75</v>
      </c>
      <c r="W597">
        <v>0.84</v>
      </c>
      <c r="X597">
        <v>0</v>
      </c>
      <c r="Y597" s="3">
        <v>2375</v>
      </c>
      <c r="Z597">
        <v>35</v>
      </c>
      <c r="AA597" t="s">
        <v>146</v>
      </c>
      <c r="AB597">
        <v>0</v>
      </c>
      <c r="AC597">
        <v>0</v>
      </c>
      <c r="AH597" s="2">
        <v>44532.581944444442</v>
      </c>
      <c r="AI597">
        <v>0</v>
      </c>
      <c r="AJ597">
        <v>0</v>
      </c>
      <c r="AK597" s="30" t="str">
        <f ca="1">VLOOKUP(T597,'Auxiliar Vendas'!E:F,2,FALSE)</f>
        <v>Produto 01</v>
      </c>
      <c r="AL597" s="31">
        <f ca="1">U597*VLOOKUP(T597,'Auxiliar Vendas'!E:G,3,FALSE)</f>
        <v>40</v>
      </c>
    </row>
    <row r="598" spans="1:38">
      <c r="A598">
        <v>15492044171</v>
      </c>
      <c r="B598">
        <v>189</v>
      </c>
      <c r="D598" s="1">
        <v>44532</v>
      </c>
      <c r="E598">
        <v>15059237186</v>
      </c>
      <c r="F598" t="str">
        <f ca="1">VLOOKUP(RANDBETWEEN(1,20),'DBO Compras'!AA:AC,3,0)</f>
        <v>Comprador 06</v>
      </c>
      <c r="G598" t="s">
        <v>206</v>
      </c>
      <c r="H598" t="s">
        <v>207</v>
      </c>
      <c r="I598" t="s">
        <v>208</v>
      </c>
      <c r="J598" t="s">
        <v>209</v>
      </c>
      <c r="K598">
        <v>94853120</v>
      </c>
      <c r="L598" t="s">
        <v>204</v>
      </c>
      <c r="O598">
        <v>0</v>
      </c>
      <c r="P598">
        <v>0</v>
      </c>
      <c r="R598" t="s">
        <v>42</v>
      </c>
      <c r="S598">
        <v>15139667431</v>
      </c>
      <c r="T598" t="str">
        <f ca="1">VLOOKUP(RANDBETWEEN(1,17),'Auxiliar Vendas'!D:G,2,0)</f>
        <v>Produto 04</v>
      </c>
      <c r="U598">
        <v>50</v>
      </c>
      <c r="V598">
        <v>20.75</v>
      </c>
      <c r="W598">
        <v>1.66</v>
      </c>
      <c r="X598">
        <v>0</v>
      </c>
      <c r="Y598" s="3">
        <v>1037.5</v>
      </c>
      <c r="Z598">
        <v>35</v>
      </c>
      <c r="AA598" t="s">
        <v>145</v>
      </c>
      <c r="AB598">
        <v>0</v>
      </c>
      <c r="AC598">
        <v>0</v>
      </c>
      <c r="AH598" s="2">
        <v>44532.581944444442</v>
      </c>
      <c r="AI598">
        <v>0</v>
      </c>
      <c r="AJ598">
        <v>0</v>
      </c>
      <c r="AK598" s="30" t="str">
        <f ca="1">VLOOKUP(T598,'Auxiliar Vendas'!E:F,2,FALSE)</f>
        <v>Produto 04</v>
      </c>
      <c r="AL598" s="31">
        <f ca="1">U598*VLOOKUP(T598,'Auxiliar Vendas'!E:G,3,FALSE)</f>
        <v>30</v>
      </c>
    </row>
    <row r="599" spans="1:38">
      <c r="A599">
        <v>15492044171</v>
      </c>
      <c r="B599">
        <v>189</v>
      </c>
      <c r="D599" s="1">
        <v>44532</v>
      </c>
      <c r="E599">
        <v>15059237186</v>
      </c>
      <c r="F599" t="str">
        <f ca="1">VLOOKUP(RANDBETWEEN(1,20),'DBO Compras'!AA:AC,3,0)</f>
        <v>Comprador 15</v>
      </c>
      <c r="G599" t="s">
        <v>206</v>
      </c>
      <c r="H599" t="s">
        <v>207</v>
      </c>
      <c r="I599" t="s">
        <v>208</v>
      </c>
      <c r="J599" t="s">
        <v>209</v>
      </c>
      <c r="K599">
        <v>94853120</v>
      </c>
      <c r="L599" t="s">
        <v>204</v>
      </c>
      <c r="O599">
        <v>0</v>
      </c>
      <c r="P599">
        <v>0</v>
      </c>
      <c r="R599" t="s">
        <v>42</v>
      </c>
      <c r="S599">
        <v>15015918644</v>
      </c>
      <c r="T599" t="str">
        <f ca="1">VLOOKUP(RANDBETWEEN(1,17),'Auxiliar Vendas'!D:G,2,0)</f>
        <v>Produto 13</v>
      </c>
      <c r="U599">
        <v>200</v>
      </c>
      <c r="V599">
        <v>8.3800000000000008</v>
      </c>
      <c r="W599">
        <v>0</v>
      </c>
      <c r="X599">
        <v>5.61</v>
      </c>
      <c r="Y599" s="3">
        <v>1676</v>
      </c>
      <c r="Z599">
        <v>35</v>
      </c>
      <c r="AA599" t="s">
        <v>59</v>
      </c>
      <c r="AB599">
        <v>0</v>
      </c>
      <c r="AC599">
        <v>0</v>
      </c>
      <c r="AH599" s="2">
        <v>44532.581944444442</v>
      </c>
      <c r="AI599">
        <v>0</v>
      </c>
      <c r="AJ599">
        <v>0</v>
      </c>
      <c r="AK599" s="30" t="str">
        <f ca="1">VLOOKUP(T599,'Auxiliar Vendas'!E:F,2,FALSE)</f>
        <v>Produto 13</v>
      </c>
      <c r="AL599" s="31">
        <f ca="1">U599*VLOOKUP(T599,'Auxiliar Vendas'!E:G,3,FALSE)</f>
        <v>280</v>
      </c>
    </row>
    <row r="600" spans="1:38">
      <c r="A600">
        <v>15492191399</v>
      </c>
      <c r="B600">
        <v>191</v>
      </c>
      <c r="D600" s="1">
        <v>44532</v>
      </c>
      <c r="E600">
        <v>15059073318</v>
      </c>
      <c r="F600" t="str">
        <f ca="1">VLOOKUP(RANDBETWEEN(1,20),'DBO Compras'!AA:AC,3,0)</f>
        <v>Comprador 04</v>
      </c>
      <c r="G600" t="s">
        <v>174</v>
      </c>
      <c r="H600" t="s">
        <v>473</v>
      </c>
      <c r="I600" t="s">
        <v>474</v>
      </c>
      <c r="J600" t="s">
        <v>175</v>
      </c>
      <c r="K600">
        <v>88390000</v>
      </c>
      <c r="L600" t="s">
        <v>92</v>
      </c>
      <c r="M600" t="s">
        <v>176</v>
      </c>
      <c r="N600">
        <v>47999669374</v>
      </c>
      <c r="O600">
        <v>0</v>
      </c>
      <c r="P600">
        <v>0</v>
      </c>
      <c r="R600" t="s">
        <v>42</v>
      </c>
      <c r="S600">
        <v>15139727614</v>
      </c>
      <c r="T600" t="str">
        <f ca="1">VLOOKUP(RANDBETWEEN(1,17),'Auxiliar Vendas'!D:G,2,0)</f>
        <v>Produto 06</v>
      </c>
      <c r="U600">
        <v>20</v>
      </c>
      <c r="V600">
        <v>22.6</v>
      </c>
      <c r="W600">
        <v>5.64</v>
      </c>
      <c r="X600">
        <v>0</v>
      </c>
      <c r="Y600">
        <v>452</v>
      </c>
      <c r="Z600">
        <v>30</v>
      </c>
      <c r="AA600" t="s">
        <v>146</v>
      </c>
      <c r="AB600">
        <v>0</v>
      </c>
      <c r="AC600">
        <v>0</v>
      </c>
      <c r="AD600" t="s">
        <v>189</v>
      </c>
      <c r="AH600" s="2">
        <v>44532.582638888889</v>
      </c>
      <c r="AI600">
        <v>0</v>
      </c>
      <c r="AJ600">
        <v>0</v>
      </c>
      <c r="AK600" s="30" t="str">
        <f ca="1">VLOOKUP(T600,'Auxiliar Vendas'!E:F,2,FALSE)</f>
        <v>Produto 06</v>
      </c>
      <c r="AL600" s="31">
        <f ca="1">U600*VLOOKUP(T600,'Auxiliar Vendas'!E:G,3,FALSE)</f>
        <v>10</v>
      </c>
    </row>
    <row r="601" spans="1:38">
      <c r="A601">
        <v>15492191399</v>
      </c>
      <c r="B601">
        <v>191</v>
      </c>
      <c r="D601" s="1">
        <v>44532</v>
      </c>
      <c r="E601">
        <v>15059073318</v>
      </c>
      <c r="F601" t="str">
        <f ca="1">VLOOKUP(RANDBETWEEN(1,20),'DBO Compras'!AA:AC,3,0)</f>
        <v>Comprador 20</v>
      </c>
      <c r="G601" t="s">
        <v>174</v>
      </c>
      <c r="H601" t="s">
        <v>473</v>
      </c>
      <c r="I601" t="s">
        <v>474</v>
      </c>
      <c r="J601" t="s">
        <v>175</v>
      </c>
      <c r="K601">
        <v>88390000</v>
      </c>
      <c r="L601" t="s">
        <v>92</v>
      </c>
      <c r="M601" t="s">
        <v>176</v>
      </c>
      <c r="N601">
        <v>47999669374</v>
      </c>
      <c r="O601">
        <v>0</v>
      </c>
      <c r="P601">
        <v>0</v>
      </c>
      <c r="R601" t="s">
        <v>42</v>
      </c>
      <c r="S601">
        <v>15139667431</v>
      </c>
      <c r="T601" t="str">
        <f ca="1">VLOOKUP(RANDBETWEEN(1,17),'Auxiliar Vendas'!D:G,2,0)</f>
        <v>Produto 15</v>
      </c>
      <c r="U601">
        <v>10</v>
      </c>
      <c r="V601">
        <v>20.2</v>
      </c>
      <c r="W601">
        <v>4.2699999999999996</v>
      </c>
      <c r="X601">
        <v>0</v>
      </c>
      <c r="Y601">
        <v>202</v>
      </c>
      <c r="Z601">
        <v>30</v>
      </c>
      <c r="AA601" t="s">
        <v>145</v>
      </c>
      <c r="AB601">
        <v>0</v>
      </c>
      <c r="AC601">
        <v>0</v>
      </c>
      <c r="AD601" t="s">
        <v>189</v>
      </c>
      <c r="AH601" s="2">
        <v>44532.582638888889</v>
      </c>
      <c r="AI601">
        <v>0</v>
      </c>
      <c r="AJ601">
        <v>0</v>
      </c>
      <c r="AK601" s="30" t="str">
        <f ca="1">VLOOKUP(T601,'Auxiliar Vendas'!E:F,2,FALSE)</f>
        <v>Produto 15</v>
      </c>
      <c r="AL601" s="31">
        <f ca="1">U601*VLOOKUP(T601,'Auxiliar Vendas'!E:G,3,FALSE)</f>
        <v>14.2</v>
      </c>
    </row>
    <row r="602" spans="1:38">
      <c r="A602">
        <v>15492191399</v>
      </c>
      <c r="B602">
        <v>191</v>
      </c>
      <c r="D602" s="1">
        <v>44532</v>
      </c>
      <c r="E602">
        <v>15059073318</v>
      </c>
      <c r="F602" t="str">
        <f ca="1">VLOOKUP(RANDBETWEEN(1,20),'DBO Compras'!AA:AC,3,0)</f>
        <v>Comprador 15</v>
      </c>
      <c r="G602" t="s">
        <v>174</v>
      </c>
      <c r="H602" t="s">
        <v>473</v>
      </c>
      <c r="I602" t="s">
        <v>474</v>
      </c>
      <c r="J602" t="s">
        <v>175</v>
      </c>
      <c r="K602">
        <v>88390000</v>
      </c>
      <c r="L602" t="s">
        <v>92</v>
      </c>
      <c r="M602" t="s">
        <v>176</v>
      </c>
      <c r="N602">
        <v>47999669374</v>
      </c>
      <c r="O602">
        <v>0</v>
      </c>
      <c r="P602">
        <v>0</v>
      </c>
      <c r="R602" t="s">
        <v>42</v>
      </c>
      <c r="S602">
        <v>15016043939</v>
      </c>
      <c r="T602" t="str">
        <f ca="1">VLOOKUP(RANDBETWEEN(1,17),'Auxiliar Vendas'!D:G,2,0)</f>
        <v>Produto 14</v>
      </c>
      <c r="U602">
        <v>250</v>
      </c>
      <c r="V602">
        <v>12.8</v>
      </c>
      <c r="W602">
        <v>9.2200000000000006</v>
      </c>
      <c r="X602">
        <v>10.747</v>
      </c>
      <c r="Y602" s="3">
        <v>3200</v>
      </c>
      <c r="Z602">
        <v>30</v>
      </c>
      <c r="AA602" t="s">
        <v>50</v>
      </c>
      <c r="AB602">
        <v>0</v>
      </c>
      <c r="AC602">
        <v>0</v>
      </c>
      <c r="AD602" t="s">
        <v>189</v>
      </c>
      <c r="AH602" s="2">
        <v>44532.582638888889</v>
      </c>
      <c r="AI602">
        <v>0</v>
      </c>
      <c r="AJ602">
        <v>0</v>
      </c>
      <c r="AK602" s="30" t="str">
        <f ca="1">VLOOKUP(T602,'Auxiliar Vendas'!E:F,2,FALSE)</f>
        <v>Produto 14</v>
      </c>
      <c r="AL602" s="31">
        <f ca="1">U602*VLOOKUP(T602,'Auxiliar Vendas'!E:G,3,FALSE)</f>
        <v>350</v>
      </c>
    </row>
    <row r="603" spans="1:38">
      <c r="A603">
        <v>15492191399</v>
      </c>
      <c r="B603">
        <v>191</v>
      </c>
      <c r="D603" s="1">
        <v>44532</v>
      </c>
      <c r="E603">
        <v>15059073318</v>
      </c>
      <c r="F603" t="str">
        <f ca="1">VLOOKUP(RANDBETWEEN(1,20),'DBO Compras'!AA:AC,3,0)</f>
        <v>Comprador 04</v>
      </c>
      <c r="G603" t="s">
        <v>174</v>
      </c>
      <c r="H603" t="s">
        <v>473</v>
      </c>
      <c r="I603" t="s">
        <v>474</v>
      </c>
      <c r="J603" t="s">
        <v>175</v>
      </c>
      <c r="K603">
        <v>88390000</v>
      </c>
      <c r="L603" t="s">
        <v>92</v>
      </c>
      <c r="M603" t="s">
        <v>176</v>
      </c>
      <c r="N603">
        <v>47999669374</v>
      </c>
      <c r="O603">
        <v>0</v>
      </c>
      <c r="P603">
        <v>0</v>
      </c>
      <c r="R603" t="s">
        <v>42</v>
      </c>
      <c r="S603">
        <v>15015511068</v>
      </c>
      <c r="T603" t="str">
        <f ca="1">VLOOKUP(RANDBETWEEN(1,17),'Auxiliar Vendas'!D:G,2,0)</f>
        <v>Produto 07</v>
      </c>
      <c r="U603">
        <v>150</v>
      </c>
      <c r="V603">
        <v>15</v>
      </c>
      <c r="W603">
        <v>9.64</v>
      </c>
      <c r="X603">
        <v>10.23</v>
      </c>
      <c r="Y603" s="3">
        <v>2250</v>
      </c>
      <c r="Z603">
        <v>30</v>
      </c>
      <c r="AA603" t="s">
        <v>53</v>
      </c>
      <c r="AB603">
        <v>0</v>
      </c>
      <c r="AC603">
        <v>0</v>
      </c>
      <c r="AD603" t="s">
        <v>189</v>
      </c>
      <c r="AH603" s="2">
        <v>44532.582638888889</v>
      </c>
      <c r="AI603">
        <v>0</v>
      </c>
      <c r="AJ603">
        <v>0</v>
      </c>
      <c r="AK603" s="30" t="str">
        <f ca="1">VLOOKUP(T603,'Auxiliar Vendas'!E:F,2,FALSE)</f>
        <v>Produto 07</v>
      </c>
      <c r="AL603" s="31">
        <f ca="1">U603*VLOOKUP(T603,'Auxiliar Vendas'!E:G,3,FALSE)</f>
        <v>165</v>
      </c>
    </row>
    <row r="604" spans="1:38">
      <c r="A604">
        <v>15492191399</v>
      </c>
      <c r="B604">
        <v>191</v>
      </c>
      <c r="D604" s="1">
        <v>44532</v>
      </c>
      <c r="E604">
        <v>15059073318</v>
      </c>
      <c r="F604" t="str">
        <f ca="1">VLOOKUP(RANDBETWEEN(1,20),'DBO Compras'!AA:AC,3,0)</f>
        <v>Comprador 18</v>
      </c>
      <c r="G604" t="s">
        <v>174</v>
      </c>
      <c r="H604" t="s">
        <v>473</v>
      </c>
      <c r="I604" t="s">
        <v>474</v>
      </c>
      <c r="J604" t="s">
        <v>175</v>
      </c>
      <c r="K604">
        <v>88390000</v>
      </c>
      <c r="L604" t="s">
        <v>92</v>
      </c>
      <c r="M604" t="s">
        <v>176</v>
      </c>
      <c r="N604">
        <v>47999669374</v>
      </c>
      <c r="O604">
        <v>0</v>
      </c>
      <c r="P604">
        <v>0</v>
      </c>
      <c r="R604" t="s">
        <v>42</v>
      </c>
      <c r="S604">
        <v>15015918644</v>
      </c>
      <c r="T604" t="str">
        <f ca="1">VLOOKUP(RANDBETWEEN(1,17),'Auxiliar Vendas'!D:G,2,0)</f>
        <v>Produto 04</v>
      </c>
      <c r="U604">
        <v>300</v>
      </c>
      <c r="V604">
        <v>7.3</v>
      </c>
      <c r="W604">
        <v>11.84</v>
      </c>
      <c r="X604">
        <v>5.61</v>
      </c>
      <c r="Y604" s="3">
        <v>2190</v>
      </c>
      <c r="Z604">
        <v>30</v>
      </c>
      <c r="AA604" t="s">
        <v>59</v>
      </c>
      <c r="AB604">
        <v>0</v>
      </c>
      <c r="AC604">
        <v>0</v>
      </c>
      <c r="AD604" t="s">
        <v>189</v>
      </c>
      <c r="AH604" s="2">
        <v>44532.582638888889</v>
      </c>
      <c r="AI604">
        <v>0</v>
      </c>
      <c r="AJ604">
        <v>0</v>
      </c>
      <c r="AK604" s="30" t="str">
        <f ca="1">VLOOKUP(T604,'Auxiliar Vendas'!E:F,2,FALSE)</f>
        <v>Produto 04</v>
      </c>
      <c r="AL604" s="31">
        <f ca="1">U604*VLOOKUP(T604,'Auxiliar Vendas'!E:G,3,FALSE)</f>
        <v>180</v>
      </c>
    </row>
    <row r="605" spans="1:38">
      <c r="A605">
        <v>15492191399</v>
      </c>
      <c r="B605">
        <v>191</v>
      </c>
      <c r="D605" s="1">
        <v>44532</v>
      </c>
      <c r="E605">
        <v>15059073318</v>
      </c>
      <c r="F605" t="str">
        <f ca="1">VLOOKUP(RANDBETWEEN(1,20),'DBO Compras'!AA:AC,3,0)</f>
        <v>Comprador 08</v>
      </c>
      <c r="G605" t="s">
        <v>174</v>
      </c>
      <c r="H605" t="s">
        <v>473</v>
      </c>
      <c r="I605" t="s">
        <v>474</v>
      </c>
      <c r="J605" t="s">
        <v>175</v>
      </c>
      <c r="K605">
        <v>88390000</v>
      </c>
      <c r="L605" t="s">
        <v>92</v>
      </c>
      <c r="M605" t="s">
        <v>176</v>
      </c>
      <c r="N605">
        <v>47999669374</v>
      </c>
      <c r="O605">
        <v>0</v>
      </c>
      <c r="P605">
        <v>0</v>
      </c>
      <c r="R605" t="s">
        <v>42</v>
      </c>
      <c r="S605">
        <v>15016099089</v>
      </c>
      <c r="T605" t="str">
        <f ca="1">VLOOKUP(RANDBETWEEN(1,17),'Auxiliar Vendas'!D:G,2,0)</f>
        <v>Produto 05</v>
      </c>
      <c r="U605">
        <v>50</v>
      </c>
      <c r="V605">
        <v>20.3</v>
      </c>
      <c r="W605">
        <v>6.24</v>
      </c>
      <c r="X605">
        <v>16.804400000000001</v>
      </c>
      <c r="Y605" s="3">
        <v>1015</v>
      </c>
      <c r="Z605">
        <v>30</v>
      </c>
      <c r="AA605" t="s">
        <v>79</v>
      </c>
      <c r="AB605">
        <v>0</v>
      </c>
      <c r="AC605">
        <v>0</v>
      </c>
      <c r="AD605" t="s">
        <v>189</v>
      </c>
      <c r="AH605" s="2">
        <v>44532.582638888889</v>
      </c>
      <c r="AI605">
        <v>0</v>
      </c>
      <c r="AJ605">
        <v>0</v>
      </c>
      <c r="AK605" s="30" t="str">
        <f ca="1">VLOOKUP(T605,'Auxiliar Vendas'!E:F,2,FALSE)</f>
        <v>Produto 05</v>
      </c>
      <c r="AL605" s="31">
        <f ca="1">U605*VLOOKUP(T605,'Auxiliar Vendas'!E:G,3,FALSE)</f>
        <v>30</v>
      </c>
    </row>
    <row r="606" spans="1:38">
      <c r="A606">
        <v>15492191399</v>
      </c>
      <c r="B606">
        <v>191</v>
      </c>
      <c r="D606" s="1">
        <v>44532</v>
      </c>
      <c r="E606">
        <v>15059073318</v>
      </c>
      <c r="F606" t="str">
        <f ca="1">VLOOKUP(RANDBETWEEN(1,20),'DBO Compras'!AA:AC,3,0)</f>
        <v>Comprador 02</v>
      </c>
      <c r="G606" t="s">
        <v>174</v>
      </c>
      <c r="H606" t="s">
        <v>473</v>
      </c>
      <c r="I606" t="s">
        <v>474</v>
      </c>
      <c r="J606" t="s">
        <v>175</v>
      </c>
      <c r="K606">
        <v>88390000</v>
      </c>
      <c r="L606" t="s">
        <v>92</v>
      </c>
      <c r="M606" t="s">
        <v>176</v>
      </c>
      <c r="N606">
        <v>47999669374</v>
      </c>
      <c r="O606">
        <v>0</v>
      </c>
      <c r="P606">
        <v>0</v>
      </c>
      <c r="R606" t="s">
        <v>42</v>
      </c>
      <c r="S606">
        <v>15016087271</v>
      </c>
      <c r="T606" t="str">
        <f ca="1">VLOOKUP(RANDBETWEEN(1,17),'Auxiliar Vendas'!D:G,2,0)</f>
        <v>Produto 13</v>
      </c>
      <c r="U606">
        <v>30</v>
      </c>
      <c r="V606">
        <v>17.3</v>
      </c>
      <c r="W606">
        <v>6.74</v>
      </c>
      <c r="X606">
        <v>14.4596</v>
      </c>
      <c r="Y606">
        <v>519</v>
      </c>
      <c r="Z606">
        <v>30</v>
      </c>
      <c r="AA606" t="s">
        <v>64</v>
      </c>
      <c r="AB606">
        <v>0</v>
      </c>
      <c r="AC606">
        <v>0</v>
      </c>
      <c r="AD606" t="s">
        <v>189</v>
      </c>
      <c r="AH606" s="2">
        <v>44532.582638888889</v>
      </c>
      <c r="AI606">
        <v>0</v>
      </c>
      <c r="AJ606">
        <v>0</v>
      </c>
      <c r="AK606" s="30" t="str">
        <f ca="1">VLOOKUP(T606,'Auxiliar Vendas'!E:F,2,FALSE)</f>
        <v>Produto 13</v>
      </c>
      <c r="AL606" s="31">
        <f ca="1">U606*VLOOKUP(T606,'Auxiliar Vendas'!E:G,3,FALSE)</f>
        <v>42</v>
      </c>
    </row>
    <row r="607" spans="1:38">
      <c r="A607">
        <v>15492280489</v>
      </c>
      <c r="B607">
        <v>192</v>
      </c>
      <c r="D607" s="1">
        <v>44532</v>
      </c>
      <c r="E607">
        <v>15264888160</v>
      </c>
      <c r="F607" t="str">
        <f ca="1">VLOOKUP(RANDBETWEEN(1,20),'DBO Compras'!AA:AC,3,0)</f>
        <v>Comprador 07</v>
      </c>
      <c r="G607" t="s">
        <v>215</v>
      </c>
      <c r="H607" t="s">
        <v>216</v>
      </c>
      <c r="I607" t="s">
        <v>217</v>
      </c>
      <c r="J607" t="s">
        <v>193</v>
      </c>
      <c r="K607">
        <v>89213401</v>
      </c>
      <c r="L607" t="s">
        <v>92</v>
      </c>
      <c r="M607" t="s">
        <v>218</v>
      </c>
      <c r="N607">
        <v>4734530505</v>
      </c>
      <c r="O607">
        <v>0</v>
      </c>
      <c r="P607">
        <v>0</v>
      </c>
      <c r="R607" t="s">
        <v>42</v>
      </c>
      <c r="S607">
        <v>15016043939</v>
      </c>
      <c r="T607" t="str">
        <f ca="1">VLOOKUP(RANDBETWEEN(1,17),'Auxiliar Vendas'!D:G,2,0)</f>
        <v>Produto 04</v>
      </c>
      <c r="U607">
        <v>250</v>
      </c>
      <c r="V607">
        <v>13.55</v>
      </c>
      <c r="W607">
        <v>3.9</v>
      </c>
      <c r="X607">
        <v>10.747</v>
      </c>
      <c r="Y607" s="3">
        <v>3387.5</v>
      </c>
      <c r="Z607">
        <v>57</v>
      </c>
      <c r="AA607" t="s">
        <v>50</v>
      </c>
      <c r="AB607">
        <v>0</v>
      </c>
      <c r="AC607">
        <v>0</v>
      </c>
      <c r="AD607" t="s">
        <v>189</v>
      </c>
      <c r="AH607" s="2">
        <v>44532.582638888889</v>
      </c>
      <c r="AI607">
        <v>0</v>
      </c>
      <c r="AJ607">
        <v>0</v>
      </c>
      <c r="AK607" s="30" t="str">
        <f ca="1">VLOOKUP(T607,'Auxiliar Vendas'!E:F,2,FALSE)</f>
        <v>Produto 04</v>
      </c>
      <c r="AL607" s="31">
        <f ca="1">U607*VLOOKUP(T607,'Auxiliar Vendas'!E:G,3,FALSE)</f>
        <v>150</v>
      </c>
    </row>
    <row r="608" spans="1:38">
      <c r="A608">
        <v>15492280489</v>
      </c>
      <c r="B608">
        <v>192</v>
      </c>
      <c r="D608" s="1">
        <v>44532</v>
      </c>
      <c r="E608">
        <v>15264888160</v>
      </c>
      <c r="F608" t="str">
        <f ca="1">VLOOKUP(RANDBETWEEN(1,20),'DBO Compras'!AA:AC,3,0)</f>
        <v>Comprador 15</v>
      </c>
      <c r="G608" t="s">
        <v>215</v>
      </c>
      <c r="H608" t="s">
        <v>216</v>
      </c>
      <c r="I608" t="s">
        <v>217</v>
      </c>
      <c r="J608" t="s">
        <v>193</v>
      </c>
      <c r="K608">
        <v>89213401</v>
      </c>
      <c r="L608" t="s">
        <v>92</v>
      </c>
      <c r="M608" t="s">
        <v>218</v>
      </c>
      <c r="N608">
        <v>4734530505</v>
      </c>
      <c r="O608">
        <v>0</v>
      </c>
      <c r="P608">
        <v>0</v>
      </c>
      <c r="R608" t="s">
        <v>42</v>
      </c>
      <c r="S608">
        <v>15016080333</v>
      </c>
      <c r="T608" t="str">
        <f ca="1">VLOOKUP(RANDBETWEEN(1,17),'Auxiliar Vendas'!D:G,2,0)</f>
        <v>Produto 05</v>
      </c>
      <c r="U608">
        <v>100</v>
      </c>
      <c r="V608">
        <v>14.6</v>
      </c>
      <c r="W608">
        <v>4.58</v>
      </c>
      <c r="X608">
        <v>10.747</v>
      </c>
      <c r="Y608" s="3">
        <v>1460</v>
      </c>
      <c r="Z608">
        <v>57</v>
      </c>
      <c r="AA608" t="s">
        <v>80</v>
      </c>
      <c r="AB608">
        <v>0</v>
      </c>
      <c r="AC608">
        <v>0</v>
      </c>
      <c r="AD608" t="s">
        <v>189</v>
      </c>
      <c r="AH608" s="2">
        <v>44532.582638888889</v>
      </c>
      <c r="AI608">
        <v>0</v>
      </c>
      <c r="AJ608">
        <v>0</v>
      </c>
      <c r="AK608" s="30" t="str">
        <f ca="1">VLOOKUP(T608,'Auxiliar Vendas'!E:F,2,FALSE)</f>
        <v>Produto 05</v>
      </c>
      <c r="AL608" s="31">
        <f ca="1">U608*VLOOKUP(T608,'Auxiliar Vendas'!E:G,3,FALSE)</f>
        <v>60</v>
      </c>
    </row>
    <row r="609" spans="1:38">
      <c r="A609">
        <v>15492280489</v>
      </c>
      <c r="B609">
        <v>192</v>
      </c>
      <c r="D609" s="1">
        <v>44532</v>
      </c>
      <c r="E609">
        <v>15264888160</v>
      </c>
      <c r="F609" t="str">
        <f ca="1">VLOOKUP(RANDBETWEEN(1,20),'DBO Compras'!AA:AC,3,0)</f>
        <v>Comprador 14</v>
      </c>
      <c r="G609" t="s">
        <v>215</v>
      </c>
      <c r="H609" t="s">
        <v>216</v>
      </c>
      <c r="I609" t="s">
        <v>217</v>
      </c>
      <c r="J609" t="s">
        <v>193</v>
      </c>
      <c r="K609">
        <v>89213401</v>
      </c>
      <c r="L609" t="s">
        <v>92</v>
      </c>
      <c r="M609" t="s">
        <v>218</v>
      </c>
      <c r="N609">
        <v>4734530505</v>
      </c>
      <c r="O609">
        <v>0</v>
      </c>
      <c r="P609">
        <v>0</v>
      </c>
      <c r="R609" t="s">
        <v>42</v>
      </c>
      <c r="S609">
        <v>15016093155</v>
      </c>
      <c r="T609" t="str">
        <f ca="1">VLOOKUP(RANDBETWEEN(1,17),'Auxiliar Vendas'!D:G,2,0)</f>
        <v>Produto 05</v>
      </c>
      <c r="U609">
        <v>200</v>
      </c>
      <c r="V609">
        <v>18.04</v>
      </c>
      <c r="W609">
        <v>3.27</v>
      </c>
      <c r="X609">
        <v>14.4596</v>
      </c>
      <c r="Y609" s="3">
        <v>3608</v>
      </c>
      <c r="Z609">
        <v>57</v>
      </c>
      <c r="AA609" t="s">
        <v>65</v>
      </c>
      <c r="AB609">
        <v>0</v>
      </c>
      <c r="AC609">
        <v>0</v>
      </c>
      <c r="AD609" t="s">
        <v>189</v>
      </c>
      <c r="AH609" s="2">
        <v>44532.582638888889</v>
      </c>
      <c r="AI609">
        <v>0</v>
      </c>
      <c r="AJ609">
        <v>0</v>
      </c>
      <c r="AK609" s="30" t="str">
        <f ca="1">VLOOKUP(T609,'Auxiliar Vendas'!E:F,2,FALSE)</f>
        <v>Produto 05</v>
      </c>
      <c r="AL609" s="31">
        <f ca="1">U609*VLOOKUP(T609,'Auxiliar Vendas'!E:G,3,FALSE)</f>
        <v>120</v>
      </c>
    </row>
    <row r="610" spans="1:38">
      <c r="A610">
        <v>15492280489</v>
      </c>
      <c r="B610">
        <v>192</v>
      </c>
      <c r="D610" s="1">
        <v>44532</v>
      </c>
      <c r="E610">
        <v>15264888160</v>
      </c>
      <c r="F610" t="str">
        <f ca="1">VLOOKUP(RANDBETWEEN(1,20),'DBO Compras'!AA:AC,3,0)</f>
        <v>Comprador 09</v>
      </c>
      <c r="G610" t="s">
        <v>215</v>
      </c>
      <c r="H610" t="s">
        <v>216</v>
      </c>
      <c r="I610" t="s">
        <v>217</v>
      </c>
      <c r="J610" t="s">
        <v>193</v>
      </c>
      <c r="K610">
        <v>89213401</v>
      </c>
      <c r="L610" t="s">
        <v>92</v>
      </c>
      <c r="M610" t="s">
        <v>218</v>
      </c>
      <c r="N610">
        <v>4734530505</v>
      </c>
      <c r="O610">
        <v>0</v>
      </c>
      <c r="P610">
        <v>0</v>
      </c>
      <c r="R610" t="s">
        <v>42</v>
      </c>
      <c r="S610">
        <v>15015511068</v>
      </c>
      <c r="T610" t="str">
        <f ca="1">VLOOKUP(RANDBETWEEN(1,17),'Auxiliar Vendas'!D:G,2,0)</f>
        <v>Produto 09</v>
      </c>
      <c r="U610">
        <v>50</v>
      </c>
      <c r="V610">
        <v>15</v>
      </c>
      <c r="W610">
        <v>9.64</v>
      </c>
      <c r="X610">
        <v>10.23</v>
      </c>
      <c r="Y610">
        <v>750</v>
      </c>
      <c r="Z610">
        <v>57</v>
      </c>
      <c r="AA610" t="s">
        <v>53</v>
      </c>
      <c r="AB610">
        <v>0</v>
      </c>
      <c r="AC610">
        <v>0</v>
      </c>
      <c r="AD610" t="s">
        <v>189</v>
      </c>
      <c r="AH610" s="2">
        <v>44532.582638888889</v>
      </c>
      <c r="AI610">
        <v>0</v>
      </c>
      <c r="AJ610">
        <v>0</v>
      </c>
      <c r="AK610" s="30" t="str">
        <f ca="1">VLOOKUP(T610,'Auxiliar Vendas'!E:F,2,FALSE)</f>
        <v>Produto 09</v>
      </c>
      <c r="AL610" s="31">
        <f ca="1">U610*VLOOKUP(T610,'Auxiliar Vendas'!E:G,3,FALSE)</f>
        <v>55.000000000000007</v>
      </c>
    </row>
    <row r="611" spans="1:38">
      <c r="A611">
        <v>15492280489</v>
      </c>
      <c r="B611">
        <v>192</v>
      </c>
      <c r="D611" s="1">
        <v>44532</v>
      </c>
      <c r="E611">
        <v>15264888160</v>
      </c>
      <c r="F611" t="str">
        <f ca="1">VLOOKUP(RANDBETWEEN(1,20),'DBO Compras'!AA:AC,3,0)</f>
        <v>Comprador 14</v>
      </c>
      <c r="G611" t="s">
        <v>215</v>
      </c>
      <c r="H611" t="s">
        <v>216</v>
      </c>
      <c r="I611" t="s">
        <v>217</v>
      </c>
      <c r="J611" t="s">
        <v>193</v>
      </c>
      <c r="K611">
        <v>89213401</v>
      </c>
      <c r="L611" t="s">
        <v>92</v>
      </c>
      <c r="M611" t="s">
        <v>218</v>
      </c>
      <c r="N611">
        <v>4734530505</v>
      </c>
      <c r="O611">
        <v>0</v>
      </c>
      <c r="P611">
        <v>0</v>
      </c>
      <c r="R611" t="s">
        <v>42</v>
      </c>
      <c r="S611">
        <v>15016099089</v>
      </c>
      <c r="T611" t="str">
        <f ca="1">VLOOKUP(RANDBETWEEN(1,17),'Auxiliar Vendas'!D:G,2,0)</f>
        <v>Produto 01</v>
      </c>
      <c r="U611">
        <v>120</v>
      </c>
      <c r="V611">
        <v>21.05</v>
      </c>
      <c r="W611">
        <v>2.77</v>
      </c>
      <c r="X611">
        <v>16.804400000000001</v>
      </c>
      <c r="Y611" s="3">
        <v>2526</v>
      </c>
      <c r="Z611">
        <v>57</v>
      </c>
      <c r="AA611" t="s">
        <v>79</v>
      </c>
      <c r="AB611">
        <v>0</v>
      </c>
      <c r="AC611">
        <v>0</v>
      </c>
      <c r="AD611" t="s">
        <v>189</v>
      </c>
      <c r="AH611" s="2">
        <v>44532.582638888889</v>
      </c>
      <c r="AI611">
        <v>0</v>
      </c>
      <c r="AJ611">
        <v>0</v>
      </c>
      <c r="AK611" s="30" t="str">
        <f ca="1">VLOOKUP(T611,'Auxiliar Vendas'!E:F,2,FALSE)</f>
        <v>Produto 01</v>
      </c>
      <c r="AL611" s="31">
        <f ca="1">U611*VLOOKUP(T611,'Auxiliar Vendas'!E:G,3,FALSE)</f>
        <v>48</v>
      </c>
    </row>
    <row r="612" spans="1:38">
      <c r="A612">
        <v>15492280489</v>
      </c>
      <c r="B612">
        <v>192</v>
      </c>
      <c r="D612" s="1">
        <v>44532</v>
      </c>
      <c r="E612">
        <v>15264888160</v>
      </c>
      <c r="F612" t="str">
        <f ca="1">VLOOKUP(RANDBETWEEN(1,20),'DBO Compras'!AA:AC,3,0)</f>
        <v>Comprador 12</v>
      </c>
      <c r="G612" t="s">
        <v>215</v>
      </c>
      <c r="H612" t="s">
        <v>216</v>
      </c>
      <c r="I612" t="s">
        <v>217</v>
      </c>
      <c r="J612" t="s">
        <v>193</v>
      </c>
      <c r="K612">
        <v>89213401</v>
      </c>
      <c r="L612" t="s">
        <v>92</v>
      </c>
      <c r="M612" t="s">
        <v>218</v>
      </c>
      <c r="N612">
        <v>4734530505</v>
      </c>
      <c r="O612">
        <v>0</v>
      </c>
      <c r="P612">
        <v>0</v>
      </c>
      <c r="R612" t="s">
        <v>42</v>
      </c>
      <c r="S612">
        <v>15016087271</v>
      </c>
      <c r="T612" t="str">
        <f ca="1">VLOOKUP(RANDBETWEEN(1,17),'Auxiliar Vendas'!D:G,2,0)</f>
        <v>Produto 15</v>
      </c>
      <c r="U612">
        <v>60</v>
      </c>
      <c r="V612">
        <v>18.100000000000001</v>
      </c>
      <c r="W612">
        <v>2.4300000000000002</v>
      </c>
      <c r="X612">
        <v>14.4596</v>
      </c>
      <c r="Y612" s="3">
        <v>1086</v>
      </c>
      <c r="Z612">
        <v>57</v>
      </c>
      <c r="AA612" t="s">
        <v>64</v>
      </c>
      <c r="AB612">
        <v>0</v>
      </c>
      <c r="AC612">
        <v>0</v>
      </c>
      <c r="AD612" t="s">
        <v>189</v>
      </c>
      <c r="AH612" s="2">
        <v>44532.582638888889</v>
      </c>
      <c r="AI612">
        <v>0</v>
      </c>
      <c r="AJ612">
        <v>0</v>
      </c>
      <c r="AK612" s="30" t="str">
        <f ca="1">VLOOKUP(T612,'Auxiliar Vendas'!E:F,2,FALSE)</f>
        <v>Produto 15</v>
      </c>
      <c r="AL612" s="31">
        <f ca="1">U612*VLOOKUP(T612,'Auxiliar Vendas'!E:G,3,FALSE)</f>
        <v>85.199999999999989</v>
      </c>
    </row>
    <row r="613" spans="1:38">
      <c r="A613">
        <v>15492280489</v>
      </c>
      <c r="B613">
        <v>192</v>
      </c>
      <c r="D613" s="1">
        <v>44532</v>
      </c>
      <c r="E613">
        <v>15264888160</v>
      </c>
      <c r="F613" t="str">
        <f ca="1">VLOOKUP(RANDBETWEEN(1,20),'DBO Compras'!AA:AC,3,0)</f>
        <v>Comprador 04</v>
      </c>
      <c r="G613" t="s">
        <v>215</v>
      </c>
      <c r="H613" t="s">
        <v>216</v>
      </c>
      <c r="I613" t="s">
        <v>217</v>
      </c>
      <c r="J613" t="s">
        <v>193</v>
      </c>
      <c r="K613">
        <v>89213401</v>
      </c>
      <c r="L613" t="s">
        <v>92</v>
      </c>
      <c r="M613" t="s">
        <v>218</v>
      </c>
      <c r="N613">
        <v>4734530505</v>
      </c>
      <c r="O613">
        <v>0</v>
      </c>
      <c r="P613">
        <v>0</v>
      </c>
      <c r="R613" t="s">
        <v>42</v>
      </c>
      <c r="S613">
        <v>15139667431</v>
      </c>
      <c r="T613" t="str">
        <f ca="1">VLOOKUP(RANDBETWEEN(1,17),'Auxiliar Vendas'!D:G,2,0)</f>
        <v>Produto 17</v>
      </c>
      <c r="U613">
        <v>20</v>
      </c>
      <c r="V613">
        <v>20.8</v>
      </c>
      <c r="W613">
        <v>1.42</v>
      </c>
      <c r="X613">
        <v>0</v>
      </c>
      <c r="Y613">
        <v>416</v>
      </c>
      <c r="Z613">
        <v>57</v>
      </c>
      <c r="AA613" t="s">
        <v>145</v>
      </c>
      <c r="AB613">
        <v>0</v>
      </c>
      <c r="AC613">
        <v>0</v>
      </c>
      <c r="AD613" t="s">
        <v>189</v>
      </c>
      <c r="AH613" s="2">
        <v>44532.582638888889</v>
      </c>
      <c r="AI613">
        <v>0</v>
      </c>
      <c r="AJ613">
        <v>0</v>
      </c>
      <c r="AK613" s="30" t="str">
        <f ca="1">VLOOKUP(T613,'Auxiliar Vendas'!E:F,2,FALSE)</f>
        <v>Produto 17</v>
      </c>
      <c r="AL613" s="31">
        <f ca="1">U613*VLOOKUP(T613,'Auxiliar Vendas'!E:G,3,FALSE)</f>
        <v>28.4</v>
      </c>
    </row>
    <row r="614" spans="1:38">
      <c r="A614">
        <v>15492323256</v>
      </c>
      <c r="B614">
        <v>193</v>
      </c>
      <c r="D614" s="1">
        <v>44532</v>
      </c>
      <c r="E614">
        <v>15265449061</v>
      </c>
      <c r="F614" t="str">
        <f ca="1">VLOOKUP(RANDBETWEEN(1,20),'DBO Compras'!AA:AC,3,0)</f>
        <v>Comprador 04</v>
      </c>
      <c r="G614" t="s">
        <v>231</v>
      </c>
      <c r="H614" t="s">
        <v>232</v>
      </c>
      <c r="I614" t="s">
        <v>233</v>
      </c>
      <c r="J614" t="s">
        <v>234</v>
      </c>
      <c r="K614">
        <v>89249000</v>
      </c>
      <c r="L614" t="s">
        <v>235</v>
      </c>
      <c r="M614" t="s">
        <v>236</v>
      </c>
      <c r="N614">
        <v>47996022520</v>
      </c>
      <c r="O614">
        <v>0</v>
      </c>
      <c r="P614">
        <v>0</v>
      </c>
      <c r="R614" t="s">
        <v>42</v>
      </c>
      <c r="S614">
        <v>15016043939</v>
      </c>
      <c r="T614" t="str">
        <f ca="1">VLOOKUP(RANDBETWEEN(1,17),'Auxiliar Vendas'!D:G,2,0)</f>
        <v>Produto 13</v>
      </c>
      <c r="U614">
        <v>150</v>
      </c>
      <c r="V614">
        <v>13.65</v>
      </c>
      <c r="W614">
        <v>3.19</v>
      </c>
      <c r="X614">
        <v>10.747</v>
      </c>
      <c r="Y614" s="3">
        <v>2047.5</v>
      </c>
      <c r="Z614">
        <v>60</v>
      </c>
      <c r="AA614" t="s">
        <v>50</v>
      </c>
      <c r="AB614">
        <v>0</v>
      </c>
      <c r="AC614">
        <v>0</v>
      </c>
      <c r="AD614" t="s">
        <v>189</v>
      </c>
      <c r="AH614" s="2">
        <v>44532.582638888889</v>
      </c>
      <c r="AI614">
        <v>0</v>
      </c>
      <c r="AJ614">
        <v>0</v>
      </c>
      <c r="AK614" s="30" t="str">
        <f ca="1">VLOOKUP(T614,'Auxiliar Vendas'!E:F,2,FALSE)</f>
        <v>Produto 13</v>
      </c>
      <c r="AL614" s="31">
        <f ca="1">U614*VLOOKUP(T614,'Auxiliar Vendas'!E:G,3,FALSE)</f>
        <v>210</v>
      </c>
    </row>
    <row r="615" spans="1:38">
      <c r="A615">
        <v>15492323256</v>
      </c>
      <c r="B615">
        <v>193</v>
      </c>
      <c r="D615" s="1">
        <v>44532</v>
      </c>
      <c r="E615">
        <v>15265449061</v>
      </c>
      <c r="F615" t="str">
        <f ca="1">VLOOKUP(RANDBETWEEN(1,20),'DBO Compras'!AA:AC,3,0)</f>
        <v>Comprador 17</v>
      </c>
      <c r="G615" t="s">
        <v>231</v>
      </c>
      <c r="H615" t="s">
        <v>232</v>
      </c>
      <c r="I615" t="s">
        <v>233</v>
      </c>
      <c r="J615" t="s">
        <v>234</v>
      </c>
      <c r="K615">
        <v>89249000</v>
      </c>
      <c r="L615" t="s">
        <v>235</v>
      </c>
      <c r="M615" t="s">
        <v>236</v>
      </c>
      <c r="N615">
        <v>47996022520</v>
      </c>
      <c r="O615">
        <v>0</v>
      </c>
      <c r="P615">
        <v>0</v>
      </c>
      <c r="R615" t="s">
        <v>42</v>
      </c>
      <c r="S615">
        <v>15016093155</v>
      </c>
      <c r="T615" t="str">
        <f ca="1">VLOOKUP(RANDBETWEEN(1,17),'Auxiliar Vendas'!D:G,2,0)</f>
        <v>Produto 08</v>
      </c>
      <c r="U615">
        <v>150</v>
      </c>
      <c r="V615">
        <v>18.14</v>
      </c>
      <c r="W615">
        <v>2.73</v>
      </c>
      <c r="X615">
        <v>14.4596</v>
      </c>
      <c r="Y615" s="3">
        <v>2721</v>
      </c>
      <c r="Z615">
        <v>60</v>
      </c>
      <c r="AA615" t="s">
        <v>65</v>
      </c>
      <c r="AB615">
        <v>0</v>
      </c>
      <c r="AC615">
        <v>0</v>
      </c>
      <c r="AD615" t="s">
        <v>189</v>
      </c>
      <c r="AH615" s="2">
        <v>44532.582638888889</v>
      </c>
      <c r="AI615">
        <v>0</v>
      </c>
      <c r="AJ615">
        <v>0</v>
      </c>
      <c r="AK615" s="30" t="str">
        <f ca="1">VLOOKUP(T615,'Auxiliar Vendas'!E:F,2,FALSE)</f>
        <v>Produto 08</v>
      </c>
      <c r="AL615" s="31">
        <f ca="1">U615*VLOOKUP(T615,'Auxiliar Vendas'!E:G,3,FALSE)</f>
        <v>165</v>
      </c>
    </row>
    <row r="616" spans="1:38">
      <c r="A616">
        <v>15492323256</v>
      </c>
      <c r="B616">
        <v>193</v>
      </c>
      <c r="D616" s="1">
        <v>44532</v>
      </c>
      <c r="E616">
        <v>15265449061</v>
      </c>
      <c r="F616" t="str">
        <f ca="1">VLOOKUP(RANDBETWEEN(1,20),'DBO Compras'!AA:AC,3,0)</f>
        <v>Comprador 12</v>
      </c>
      <c r="G616" t="s">
        <v>231</v>
      </c>
      <c r="H616" t="s">
        <v>232</v>
      </c>
      <c r="I616" t="s">
        <v>233</v>
      </c>
      <c r="J616" t="s">
        <v>234</v>
      </c>
      <c r="K616">
        <v>89249000</v>
      </c>
      <c r="L616" t="s">
        <v>235</v>
      </c>
      <c r="M616" t="s">
        <v>236</v>
      </c>
      <c r="N616">
        <v>47996022520</v>
      </c>
      <c r="O616">
        <v>0</v>
      </c>
      <c r="P616">
        <v>0</v>
      </c>
      <c r="R616" t="s">
        <v>42</v>
      </c>
      <c r="S616">
        <v>15016080333</v>
      </c>
      <c r="T616" t="str">
        <f ca="1">VLOOKUP(RANDBETWEEN(1,17),'Auxiliar Vendas'!D:G,2,0)</f>
        <v>Produto 08</v>
      </c>
      <c r="U616">
        <v>70</v>
      </c>
      <c r="V616">
        <v>14.7</v>
      </c>
      <c r="W616">
        <v>3.92</v>
      </c>
      <c r="X616">
        <v>10.747</v>
      </c>
      <c r="Y616" s="3">
        <v>1029</v>
      </c>
      <c r="Z616">
        <v>60</v>
      </c>
      <c r="AA616" t="s">
        <v>80</v>
      </c>
      <c r="AB616">
        <v>0</v>
      </c>
      <c r="AC616">
        <v>0</v>
      </c>
      <c r="AD616" t="s">
        <v>189</v>
      </c>
      <c r="AH616" s="2">
        <v>44532.582638888889</v>
      </c>
      <c r="AI616">
        <v>0</v>
      </c>
      <c r="AJ616">
        <v>0</v>
      </c>
      <c r="AK616" s="30" t="str">
        <f ca="1">VLOOKUP(T616,'Auxiliar Vendas'!E:F,2,FALSE)</f>
        <v>Produto 08</v>
      </c>
      <c r="AL616" s="31">
        <f ca="1">U616*VLOOKUP(T616,'Auxiliar Vendas'!E:G,3,FALSE)</f>
        <v>77</v>
      </c>
    </row>
    <row r="617" spans="1:38">
      <c r="A617">
        <v>15451825974</v>
      </c>
      <c r="B617">
        <v>180</v>
      </c>
      <c r="D617" s="1">
        <v>44533</v>
      </c>
      <c r="E617">
        <v>15058959920</v>
      </c>
      <c r="F617" t="str">
        <f ca="1">VLOOKUP(RANDBETWEEN(1,20),'DBO Compras'!AA:AC,3,0)</f>
        <v>Comprador 04</v>
      </c>
      <c r="G617" t="s">
        <v>119</v>
      </c>
      <c r="H617" t="s">
        <v>120</v>
      </c>
      <c r="I617" t="s">
        <v>121</v>
      </c>
      <c r="J617" t="s">
        <v>113</v>
      </c>
      <c r="K617">
        <v>87025540</v>
      </c>
      <c r="L617" t="s">
        <v>40</v>
      </c>
      <c r="M617" t="s">
        <v>98</v>
      </c>
      <c r="N617">
        <v>4441413353</v>
      </c>
      <c r="O617">
        <v>0</v>
      </c>
      <c r="P617">
        <v>0</v>
      </c>
      <c r="R617" t="s">
        <v>42</v>
      </c>
      <c r="S617">
        <v>15016043939</v>
      </c>
      <c r="T617" t="str">
        <f ca="1">VLOOKUP(RANDBETWEEN(1,17),'Auxiliar Vendas'!D:G,2,0)</f>
        <v>Produto 13</v>
      </c>
      <c r="U617">
        <v>140</v>
      </c>
      <c r="V617">
        <v>14.25</v>
      </c>
      <c r="W617">
        <v>0</v>
      </c>
      <c r="X617">
        <v>10.747</v>
      </c>
      <c r="Y617" s="3">
        <v>1995</v>
      </c>
      <c r="Z617">
        <v>26</v>
      </c>
      <c r="AA617" t="s">
        <v>50</v>
      </c>
      <c r="AB617">
        <v>0</v>
      </c>
      <c r="AC617">
        <v>0</v>
      </c>
      <c r="AD617" t="s">
        <v>51</v>
      </c>
      <c r="AH617" s="2">
        <v>44533.354166666664</v>
      </c>
      <c r="AI617">
        <v>0</v>
      </c>
      <c r="AJ617">
        <v>0</v>
      </c>
      <c r="AK617" s="30" t="str">
        <f ca="1">VLOOKUP(T617,'Auxiliar Vendas'!E:F,2,FALSE)</f>
        <v>Produto 13</v>
      </c>
      <c r="AL617" s="31">
        <f ca="1">U617*VLOOKUP(T617,'Auxiliar Vendas'!E:G,3,FALSE)</f>
        <v>196</v>
      </c>
    </row>
    <row r="618" spans="1:38">
      <c r="A618">
        <v>15451825974</v>
      </c>
      <c r="B618">
        <v>180</v>
      </c>
      <c r="D618" s="1">
        <v>44533</v>
      </c>
      <c r="E618">
        <v>15058959920</v>
      </c>
      <c r="F618" t="str">
        <f ca="1">VLOOKUP(RANDBETWEEN(1,20),'DBO Compras'!AA:AC,3,0)</f>
        <v>Comprador 04</v>
      </c>
      <c r="G618" t="s">
        <v>119</v>
      </c>
      <c r="H618" t="s">
        <v>120</v>
      </c>
      <c r="I618" t="s">
        <v>121</v>
      </c>
      <c r="J618" t="s">
        <v>113</v>
      </c>
      <c r="K618">
        <v>87025540</v>
      </c>
      <c r="L618" t="s">
        <v>40</v>
      </c>
      <c r="M618" t="s">
        <v>98</v>
      </c>
      <c r="N618">
        <v>4441413353</v>
      </c>
      <c r="O618">
        <v>0</v>
      </c>
      <c r="P618">
        <v>0</v>
      </c>
      <c r="R618" t="s">
        <v>42</v>
      </c>
      <c r="S618">
        <v>15016087271</v>
      </c>
      <c r="T618" t="str">
        <f ca="1">VLOOKUP(RANDBETWEEN(1,17),'Auxiliar Vendas'!D:G,2,0)</f>
        <v>Produto 11</v>
      </c>
      <c r="U618">
        <v>65</v>
      </c>
      <c r="V618">
        <v>18.55</v>
      </c>
      <c r="W618">
        <v>0</v>
      </c>
      <c r="X618">
        <v>14.4596</v>
      </c>
      <c r="Y618" s="3">
        <v>1205.75</v>
      </c>
      <c r="Z618">
        <v>26</v>
      </c>
      <c r="AA618" t="s">
        <v>64</v>
      </c>
      <c r="AB618">
        <v>0</v>
      </c>
      <c r="AC618">
        <v>0</v>
      </c>
      <c r="AD618" t="s">
        <v>51</v>
      </c>
      <c r="AH618" s="2">
        <v>44533.354166666664</v>
      </c>
      <c r="AI618">
        <v>0</v>
      </c>
      <c r="AJ618">
        <v>0</v>
      </c>
      <c r="AK618" s="30" t="str">
        <f ca="1">VLOOKUP(T618,'Auxiliar Vendas'!E:F,2,FALSE)</f>
        <v>Produto 11</v>
      </c>
      <c r="AL618" s="31">
        <f ca="1">U618*VLOOKUP(T618,'Auxiliar Vendas'!E:G,3,FALSE)</f>
        <v>71.5</v>
      </c>
    </row>
    <row r="619" spans="1:38">
      <c r="A619">
        <v>15451825974</v>
      </c>
      <c r="B619">
        <v>180</v>
      </c>
      <c r="D619" s="1">
        <v>44533</v>
      </c>
      <c r="E619">
        <v>15058959920</v>
      </c>
      <c r="F619" t="str">
        <f ca="1">VLOOKUP(RANDBETWEEN(1,20),'DBO Compras'!AA:AC,3,0)</f>
        <v>Comprador 03</v>
      </c>
      <c r="G619" t="s">
        <v>119</v>
      </c>
      <c r="H619" t="s">
        <v>120</v>
      </c>
      <c r="I619" t="s">
        <v>121</v>
      </c>
      <c r="J619" t="s">
        <v>113</v>
      </c>
      <c r="K619">
        <v>87025540</v>
      </c>
      <c r="L619" t="s">
        <v>40</v>
      </c>
      <c r="M619" t="s">
        <v>98</v>
      </c>
      <c r="N619">
        <v>4441413353</v>
      </c>
      <c r="O619">
        <v>0</v>
      </c>
      <c r="P619">
        <v>0</v>
      </c>
      <c r="R619" t="s">
        <v>42</v>
      </c>
      <c r="S619">
        <v>15016099089</v>
      </c>
      <c r="T619" t="str">
        <f ca="1">VLOOKUP(RANDBETWEEN(1,17),'Auxiliar Vendas'!D:G,2,0)</f>
        <v>Produto 17</v>
      </c>
      <c r="U619">
        <v>185</v>
      </c>
      <c r="V619">
        <v>21.65</v>
      </c>
      <c r="W619">
        <v>0</v>
      </c>
      <c r="X619">
        <v>16.804400000000001</v>
      </c>
      <c r="Y619" s="3">
        <v>4005.25</v>
      </c>
      <c r="Z619">
        <v>26</v>
      </c>
      <c r="AA619" t="s">
        <v>79</v>
      </c>
      <c r="AB619">
        <v>0</v>
      </c>
      <c r="AC619">
        <v>0</v>
      </c>
      <c r="AD619" t="s">
        <v>51</v>
      </c>
      <c r="AH619" s="2">
        <v>44533.354166666664</v>
      </c>
      <c r="AI619">
        <v>0</v>
      </c>
      <c r="AJ619">
        <v>0</v>
      </c>
      <c r="AK619" s="30" t="str">
        <f ca="1">VLOOKUP(T619,'Auxiliar Vendas'!E:F,2,FALSE)</f>
        <v>Produto 17</v>
      </c>
      <c r="AL619" s="31">
        <f ca="1">U619*VLOOKUP(T619,'Auxiliar Vendas'!E:G,3,FALSE)</f>
        <v>262.7</v>
      </c>
    </row>
    <row r="620" spans="1:38">
      <c r="A620">
        <v>15451825974</v>
      </c>
      <c r="B620">
        <v>180</v>
      </c>
      <c r="D620" s="1">
        <v>44533</v>
      </c>
      <c r="E620">
        <v>15058959920</v>
      </c>
      <c r="F620" t="str">
        <f ca="1">VLOOKUP(RANDBETWEEN(1,20),'DBO Compras'!AA:AC,3,0)</f>
        <v>Comprador 07</v>
      </c>
      <c r="G620" t="s">
        <v>119</v>
      </c>
      <c r="H620" t="s">
        <v>120</v>
      </c>
      <c r="I620" t="s">
        <v>121</v>
      </c>
      <c r="J620" t="s">
        <v>113</v>
      </c>
      <c r="K620">
        <v>87025540</v>
      </c>
      <c r="L620" t="s">
        <v>40</v>
      </c>
      <c r="M620" t="s">
        <v>98</v>
      </c>
      <c r="N620">
        <v>4441413353</v>
      </c>
      <c r="O620">
        <v>0</v>
      </c>
      <c r="P620">
        <v>0</v>
      </c>
      <c r="R620" t="s">
        <v>42</v>
      </c>
      <c r="S620">
        <v>15015511068</v>
      </c>
      <c r="T620" t="str">
        <f ca="1">VLOOKUP(RANDBETWEEN(1,17),'Auxiliar Vendas'!D:G,2,0)</f>
        <v>Produto 10</v>
      </c>
      <c r="U620">
        <v>25</v>
      </c>
      <c r="V620">
        <v>16.7</v>
      </c>
      <c r="W620">
        <v>0</v>
      </c>
      <c r="X620">
        <v>10.23</v>
      </c>
      <c r="Y620">
        <v>417.5</v>
      </c>
      <c r="Z620">
        <v>26</v>
      </c>
      <c r="AA620" t="s">
        <v>53</v>
      </c>
      <c r="AB620">
        <v>0</v>
      </c>
      <c r="AC620">
        <v>0</v>
      </c>
      <c r="AD620" t="s">
        <v>51</v>
      </c>
      <c r="AH620" s="2">
        <v>44533.354166666664</v>
      </c>
      <c r="AI620">
        <v>0</v>
      </c>
      <c r="AJ620">
        <v>0</v>
      </c>
      <c r="AK620" s="30" t="str">
        <f ca="1">VLOOKUP(T620,'Auxiliar Vendas'!E:F,2,FALSE)</f>
        <v>Produto 10</v>
      </c>
      <c r="AL620" s="31">
        <f ca="1">U620*VLOOKUP(T620,'Auxiliar Vendas'!E:G,3,FALSE)</f>
        <v>27.500000000000004</v>
      </c>
    </row>
    <row r="621" spans="1:38">
      <c r="A621">
        <v>15453753098</v>
      </c>
      <c r="B621">
        <v>182</v>
      </c>
      <c r="D621" s="1">
        <v>44533</v>
      </c>
      <c r="E621">
        <v>15279322250</v>
      </c>
      <c r="F621" t="str">
        <f ca="1">VLOOKUP(RANDBETWEEN(1,20),'DBO Compras'!AA:AC,3,0)</f>
        <v>Comprador 11</v>
      </c>
      <c r="G621" t="s">
        <v>83</v>
      </c>
      <c r="H621" t="s">
        <v>84</v>
      </c>
      <c r="I621" t="s">
        <v>85</v>
      </c>
      <c r="J621" t="s">
        <v>39</v>
      </c>
      <c r="K621">
        <v>80220100</v>
      </c>
      <c r="L621" t="s">
        <v>40</v>
      </c>
      <c r="M621" t="s">
        <v>86</v>
      </c>
      <c r="N621">
        <v>41993330017</v>
      </c>
      <c r="O621">
        <v>0</v>
      </c>
      <c r="P621">
        <v>0</v>
      </c>
      <c r="R621" t="s">
        <v>42</v>
      </c>
      <c r="S621">
        <v>15016043939</v>
      </c>
      <c r="T621" t="str">
        <f ca="1">VLOOKUP(RANDBETWEEN(1,17),'Auxiliar Vendas'!D:G,2,0)</f>
        <v>Produto 03</v>
      </c>
      <c r="U621">
        <v>300</v>
      </c>
      <c r="V621">
        <v>12.45</v>
      </c>
      <c r="W621">
        <v>0</v>
      </c>
      <c r="X621">
        <v>10.747</v>
      </c>
      <c r="Y621" s="3">
        <v>3735</v>
      </c>
      <c r="Z621">
        <v>68</v>
      </c>
      <c r="AA621" t="s">
        <v>50</v>
      </c>
      <c r="AB621">
        <v>0</v>
      </c>
      <c r="AC621">
        <v>0</v>
      </c>
      <c r="AD621" t="s">
        <v>58</v>
      </c>
      <c r="AH621" s="2">
        <v>44533.359027777777</v>
      </c>
      <c r="AI621">
        <v>0</v>
      </c>
      <c r="AJ621">
        <v>0</v>
      </c>
      <c r="AK621" s="30" t="str">
        <f ca="1">VLOOKUP(T621,'Auxiliar Vendas'!E:F,2,FALSE)</f>
        <v>Produto 03</v>
      </c>
      <c r="AL621" s="31">
        <f ca="1">U621*VLOOKUP(T621,'Auxiliar Vendas'!E:G,3,FALSE)</f>
        <v>180</v>
      </c>
    </row>
    <row r="622" spans="1:38">
      <c r="A622">
        <v>15453753098</v>
      </c>
      <c r="B622">
        <v>182</v>
      </c>
      <c r="D622" s="1">
        <v>44533</v>
      </c>
      <c r="E622">
        <v>15279322250</v>
      </c>
      <c r="F622" t="str">
        <f ca="1">VLOOKUP(RANDBETWEEN(1,20),'DBO Compras'!AA:AC,3,0)</f>
        <v>Comprador 11</v>
      </c>
      <c r="G622" t="s">
        <v>83</v>
      </c>
      <c r="H622" t="s">
        <v>84</v>
      </c>
      <c r="I622" t="s">
        <v>85</v>
      </c>
      <c r="J622" t="s">
        <v>39</v>
      </c>
      <c r="K622">
        <v>80220100</v>
      </c>
      <c r="L622" t="s">
        <v>40</v>
      </c>
      <c r="M622" t="s">
        <v>86</v>
      </c>
      <c r="N622">
        <v>41993330017</v>
      </c>
      <c r="O622">
        <v>0</v>
      </c>
      <c r="P622">
        <v>0</v>
      </c>
      <c r="R622" t="s">
        <v>42</v>
      </c>
      <c r="S622">
        <v>15016099089</v>
      </c>
      <c r="T622" t="str">
        <f ca="1">VLOOKUP(RANDBETWEEN(1,17),'Auxiliar Vendas'!D:G,2,0)</f>
        <v>Produto 10</v>
      </c>
      <c r="U622">
        <v>200</v>
      </c>
      <c r="V622">
        <v>19.3</v>
      </c>
      <c r="W622">
        <v>0</v>
      </c>
      <c r="X622">
        <v>16.804400000000001</v>
      </c>
      <c r="Y622" s="3">
        <v>3860</v>
      </c>
      <c r="Z622">
        <v>68</v>
      </c>
      <c r="AA622" t="s">
        <v>79</v>
      </c>
      <c r="AB622">
        <v>0</v>
      </c>
      <c r="AC622">
        <v>0</v>
      </c>
      <c r="AD622" t="s">
        <v>58</v>
      </c>
      <c r="AH622" s="2">
        <v>44533.359027777777</v>
      </c>
      <c r="AI622">
        <v>0</v>
      </c>
      <c r="AJ622">
        <v>0</v>
      </c>
      <c r="AK622" s="30" t="str">
        <f ca="1">VLOOKUP(T622,'Auxiliar Vendas'!E:F,2,FALSE)</f>
        <v>Produto 10</v>
      </c>
      <c r="AL622" s="31">
        <f ca="1">U622*VLOOKUP(T622,'Auxiliar Vendas'!E:G,3,FALSE)</f>
        <v>220.00000000000003</v>
      </c>
    </row>
    <row r="623" spans="1:38">
      <c r="A623">
        <v>15453753098</v>
      </c>
      <c r="B623">
        <v>182</v>
      </c>
      <c r="D623" s="1">
        <v>44533</v>
      </c>
      <c r="E623">
        <v>15279322250</v>
      </c>
      <c r="F623" t="str">
        <f ca="1">VLOOKUP(RANDBETWEEN(1,20),'DBO Compras'!AA:AC,3,0)</f>
        <v>Comprador 02</v>
      </c>
      <c r="G623" t="s">
        <v>83</v>
      </c>
      <c r="H623" t="s">
        <v>84</v>
      </c>
      <c r="I623" t="s">
        <v>85</v>
      </c>
      <c r="J623" t="s">
        <v>39</v>
      </c>
      <c r="K623">
        <v>80220100</v>
      </c>
      <c r="L623" t="s">
        <v>40</v>
      </c>
      <c r="M623" t="s">
        <v>86</v>
      </c>
      <c r="N623">
        <v>41993330017</v>
      </c>
      <c r="O623">
        <v>0</v>
      </c>
      <c r="P623">
        <v>0</v>
      </c>
      <c r="R623" t="s">
        <v>42</v>
      </c>
      <c r="S623">
        <v>15016093155</v>
      </c>
      <c r="T623" t="str">
        <f ca="1">VLOOKUP(RANDBETWEEN(1,17),'Auxiliar Vendas'!D:G,2,0)</f>
        <v>Produto 12</v>
      </c>
      <c r="U623">
        <v>200</v>
      </c>
      <c r="V623">
        <v>16.7</v>
      </c>
      <c r="W623">
        <v>0</v>
      </c>
      <c r="X623">
        <v>14.4596</v>
      </c>
      <c r="Y623" s="3">
        <v>3340</v>
      </c>
      <c r="Z623">
        <v>68</v>
      </c>
      <c r="AA623" t="s">
        <v>65</v>
      </c>
      <c r="AB623">
        <v>0</v>
      </c>
      <c r="AC623">
        <v>0</v>
      </c>
      <c r="AD623" t="s">
        <v>58</v>
      </c>
      <c r="AH623" s="2">
        <v>44533.359027777777</v>
      </c>
      <c r="AI623">
        <v>0</v>
      </c>
      <c r="AJ623">
        <v>0</v>
      </c>
      <c r="AK623" s="30" t="str">
        <f ca="1">VLOOKUP(T623,'Auxiliar Vendas'!E:F,2,FALSE)</f>
        <v>Produto 12</v>
      </c>
      <c r="AL623" s="31">
        <f ca="1">U623*VLOOKUP(T623,'Auxiliar Vendas'!E:G,3,FALSE)</f>
        <v>280</v>
      </c>
    </row>
    <row r="624" spans="1:38">
      <c r="A624">
        <v>15453753098</v>
      </c>
      <c r="B624">
        <v>182</v>
      </c>
      <c r="D624" s="1">
        <v>44533</v>
      </c>
      <c r="E624">
        <v>15279322250</v>
      </c>
      <c r="F624" t="str">
        <f ca="1">VLOOKUP(RANDBETWEEN(1,20),'DBO Compras'!AA:AC,3,0)</f>
        <v>Comprador 19</v>
      </c>
      <c r="G624" t="s">
        <v>83</v>
      </c>
      <c r="H624" t="s">
        <v>84</v>
      </c>
      <c r="I624" t="s">
        <v>85</v>
      </c>
      <c r="J624" t="s">
        <v>39</v>
      </c>
      <c r="K624">
        <v>80220100</v>
      </c>
      <c r="L624" t="s">
        <v>40</v>
      </c>
      <c r="M624" t="s">
        <v>86</v>
      </c>
      <c r="N624">
        <v>41993330017</v>
      </c>
      <c r="O624">
        <v>0</v>
      </c>
      <c r="P624">
        <v>0</v>
      </c>
      <c r="R624" t="s">
        <v>42</v>
      </c>
      <c r="S624">
        <v>15139727614</v>
      </c>
      <c r="T624" t="str">
        <f ca="1">VLOOKUP(RANDBETWEEN(1,17),'Auxiliar Vendas'!D:G,2,0)</f>
        <v>Produto 12</v>
      </c>
      <c r="U624">
        <v>100</v>
      </c>
      <c r="V624">
        <v>22.6</v>
      </c>
      <c r="W624">
        <v>0</v>
      </c>
      <c r="X624">
        <v>0</v>
      </c>
      <c r="Y624" s="3">
        <v>2260</v>
      </c>
      <c r="Z624">
        <v>68</v>
      </c>
      <c r="AA624" t="s">
        <v>146</v>
      </c>
      <c r="AB624">
        <v>0</v>
      </c>
      <c r="AC624">
        <v>0</v>
      </c>
      <c r="AD624" t="s">
        <v>58</v>
      </c>
      <c r="AH624" s="2">
        <v>44533.359027777777</v>
      </c>
      <c r="AI624">
        <v>0</v>
      </c>
      <c r="AJ624">
        <v>0</v>
      </c>
      <c r="AK624" s="30" t="str">
        <f ca="1">VLOOKUP(T624,'Auxiliar Vendas'!E:F,2,FALSE)</f>
        <v>Produto 12</v>
      </c>
      <c r="AL624" s="31">
        <f ca="1">U624*VLOOKUP(T624,'Auxiliar Vendas'!E:G,3,FALSE)</f>
        <v>140</v>
      </c>
    </row>
    <row r="625" spans="1:38">
      <c r="A625">
        <v>15453753098</v>
      </c>
      <c r="B625">
        <v>182</v>
      </c>
      <c r="D625" s="1">
        <v>44533</v>
      </c>
      <c r="E625">
        <v>15279322250</v>
      </c>
      <c r="F625" t="str">
        <f ca="1">VLOOKUP(RANDBETWEEN(1,20),'DBO Compras'!AA:AC,3,0)</f>
        <v>Comprador 09</v>
      </c>
      <c r="G625" t="s">
        <v>83</v>
      </c>
      <c r="H625" t="s">
        <v>84</v>
      </c>
      <c r="I625" t="s">
        <v>85</v>
      </c>
      <c r="J625" t="s">
        <v>39</v>
      </c>
      <c r="K625">
        <v>80220100</v>
      </c>
      <c r="L625" t="s">
        <v>40</v>
      </c>
      <c r="M625" t="s">
        <v>86</v>
      </c>
      <c r="N625">
        <v>41993330017</v>
      </c>
      <c r="O625">
        <v>0</v>
      </c>
      <c r="P625">
        <v>0</v>
      </c>
      <c r="R625" t="s">
        <v>42</v>
      </c>
      <c r="S625">
        <v>15015918644</v>
      </c>
      <c r="T625" t="str">
        <f ca="1">VLOOKUP(RANDBETWEEN(1,17),'Auxiliar Vendas'!D:G,2,0)</f>
        <v>Produto 02</v>
      </c>
      <c r="U625">
        <v>200</v>
      </c>
      <c r="V625">
        <v>7.2</v>
      </c>
      <c r="W625">
        <v>13.04</v>
      </c>
      <c r="X625">
        <v>5.61</v>
      </c>
      <c r="Y625" s="3">
        <v>1440</v>
      </c>
      <c r="Z625">
        <v>68</v>
      </c>
      <c r="AA625" t="s">
        <v>59</v>
      </c>
      <c r="AB625">
        <v>0</v>
      </c>
      <c r="AC625">
        <v>0</v>
      </c>
      <c r="AD625" t="s">
        <v>58</v>
      </c>
      <c r="AH625" s="2">
        <v>44533.359027777777</v>
      </c>
      <c r="AI625">
        <v>0</v>
      </c>
      <c r="AJ625">
        <v>0</v>
      </c>
      <c r="AK625" s="30" t="str">
        <f ca="1">VLOOKUP(T625,'Auxiliar Vendas'!E:F,2,FALSE)</f>
        <v>Produto 02</v>
      </c>
      <c r="AL625" s="31">
        <f ca="1">U625*VLOOKUP(T625,'Auxiliar Vendas'!E:G,3,FALSE)</f>
        <v>54</v>
      </c>
    </row>
    <row r="626" spans="1:38">
      <c r="A626">
        <v>15453753098</v>
      </c>
      <c r="B626">
        <v>182</v>
      </c>
      <c r="D626" s="1">
        <v>44533</v>
      </c>
      <c r="E626">
        <v>15279322250</v>
      </c>
      <c r="F626" t="str">
        <f ca="1">VLOOKUP(RANDBETWEEN(1,20),'DBO Compras'!AA:AC,3,0)</f>
        <v>Comprador 10</v>
      </c>
      <c r="G626" t="s">
        <v>83</v>
      </c>
      <c r="H626" t="s">
        <v>84</v>
      </c>
      <c r="I626" t="s">
        <v>85</v>
      </c>
      <c r="J626" t="s">
        <v>39</v>
      </c>
      <c r="K626">
        <v>80220100</v>
      </c>
      <c r="L626" t="s">
        <v>40</v>
      </c>
      <c r="M626" t="s">
        <v>86</v>
      </c>
      <c r="N626">
        <v>41993330017</v>
      </c>
      <c r="O626">
        <v>0</v>
      </c>
      <c r="P626">
        <v>0</v>
      </c>
      <c r="R626" t="s">
        <v>42</v>
      </c>
      <c r="S626">
        <v>15016080333</v>
      </c>
      <c r="T626" t="str">
        <f ca="1">VLOOKUP(RANDBETWEEN(1,17),'Auxiliar Vendas'!D:G,2,0)</f>
        <v>Produto 07</v>
      </c>
      <c r="U626">
        <v>200</v>
      </c>
      <c r="V626">
        <v>13.5</v>
      </c>
      <c r="W626">
        <v>11.76</v>
      </c>
      <c r="X626">
        <v>10.747</v>
      </c>
      <c r="Y626" s="3">
        <v>2700</v>
      </c>
      <c r="Z626">
        <v>68</v>
      </c>
      <c r="AA626" t="s">
        <v>80</v>
      </c>
      <c r="AB626">
        <v>0</v>
      </c>
      <c r="AC626">
        <v>0</v>
      </c>
      <c r="AD626" t="s">
        <v>58</v>
      </c>
      <c r="AH626" s="2">
        <v>44533.359027777777</v>
      </c>
      <c r="AI626">
        <v>0</v>
      </c>
      <c r="AJ626">
        <v>0</v>
      </c>
      <c r="AK626" s="30" t="str">
        <f ca="1">VLOOKUP(T626,'Auxiliar Vendas'!E:F,2,FALSE)</f>
        <v>Produto 07</v>
      </c>
      <c r="AL626" s="31">
        <f ca="1">U626*VLOOKUP(T626,'Auxiliar Vendas'!E:G,3,FALSE)</f>
        <v>220.00000000000003</v>
      </c>
    </row>
    <row r="627" spans="1:38">
      <c r="A627">
        <v>15473720116</v>
      </c>
      <c r="B627">
        <v>183</v>
      </c>
      <c r="D627" s="1">
        <v>44536</v>
      </c>
      <c r="E627">
        <v>15295556615</v>
      </c>
      <c r="F627" t="str">
        <f ca="1">VLOOKUP(RANDBETWEEN(1,20),'DBO Compras'!AA:AC,3,0)</f>
        <v>Comprador 19</v>
      </c>
      <c r="G627" t="s">
        <v>261</v>
      </c>
      <c r="H627" t="s">
        <v>262</v>
      </c>
      <c r="I627" t="s">
        <v>69</v>
      </c>
      <c r="J627" t="s">
        <v>244</v>
      </c>
      <c r="K627">
        <v>84261350</v>
      </c>
      <c r="L627" t="s">
        <v>40</v>
      </c>
      <c r="N627">
        <v>4284158927</v>
      </c>
      <c r="O627">
        <v>0</v>
      </c>
      <c r="P627">
        <v>0</v>
      </c>
      <c r="R627" t="s">
        <v>42</v>
      </c>
      <c r="S627">
        <v>15016099089</v>
      </c>
      <c r="T627" t="str">
        <f ca="1">VLOOKUP(RANDBETWEEN(1,17),'Auxiliar Vendas'!D:G,2,0)</f>
        <v>Produto 01</v>
      </c>
      <c r="U627">
        <v>200</v>
      </c>
      <c r="V627">
        <v>21.65</v>
      </c>
      <c r="W627">
        <v>0</v>
      </c>
      <c r="X627">
        <v>16.804400000000001</v>
      </c>
      <c r="Y627" s="3">
        <v>4330</v>
      </c>
      <c r="Z627">
        <v>79</v>
      </c>
      <c r="AA627" t="s">
        <v>79</v>
      </c>
      <c r="AB627">
        <v>0</v>
      </c>
      <c r="AC627">
        <v>0</v>
      </c>
      <c r="AD627" t="s">
        <v>51</v>
      </c>
      <c r="AH627" s="2">
        <v>44536.584722222222</v>
      </c>
      <c r="AI627">
        <v>0</v>
      </c>
      <c r="AJ627">
        <v>0</v>
      </c>
      <c r="AK627" s="30" t="str">
        <f ca="1">VLOOKUP(T627,'Auxiliar Vendas'!E:F,2,FALSE)</f>
        <v>Produto 01</v>
      </c>
      <c r="AL627" s="31">
        <f ca="1">U627*VLOOKUP(T627,'Auxiliar Vendas'!E:G,3,FALSE)</f>
        <v>80</v>
      </c>
    </row>
    <row r="628" spans="1:38">
      <c r="A628">
        <v>15473720116</v>
      </c>
      <c r="B628">
        <v>183</v>
      </c>
      <c r="D628" s="1">
        <v>44536</v>
      </c>
      <c r="E628">
        <v>15295556615</v>
      </c>
      <c r="F628" t="str">
        <f ca="1">VLOOKUP(RANDBETWEEN(1,20),'DBO Compras'!AA:AC,3,0)</f>
        <v>Comprador 02</v>
      </c>
      <c r="G628" t="s">
        <v>261</v>
      </c>
      <c r="H628" t="s">
        <v>262</v>
      </c>
      <c r="I628" t="s">
        <v>69</v>
      </c>
      <c r="J628" t="s">
        <v>244</v>
      </c>
      <c r="K628">
        <v>84261350</v>
      </c>
      <c r="L628" t="s">
        <v>40</v>
      </c>
      <c r="N628">
        <v>4284158927</v>
      </c>
      <c r="O628">
        <v>0</v>
      </c>
      <c r="P628">
        <v>0</v>
      </c>
      <c r="R628" t="s">
        <v>42</v>
      </c>
      <c r="S628">
        <v>15016087271</v>
      </c>
      <c r="T628" t="str">
        <f ca="1">VLOOKUP(RANDBETWEEN(1,17),'Auxiliar Vendas'!D:G,2,0)</f>
        <v>Produto 10</v>
      </c>
      <c r="U628">
        <v>110</v>
      </c>
      <c r="V628">
        <v>18.55</v>
      </c>
      <c r="W628">
        <v>0</v>
      </c>
      <c r="X628">
        <v>14.4596</v>
      </c>
      <c r="Y628" s="3">
        <v>2040.5</v>
      </c>
      <c r="Z628">
        <v>79</v>
      </c>
      <c r="AA628" t="s">
        <v>64</v>
      </c>
      <c r="AB628">
        <v>0</v>
      </c>
      <c r="AC628">
        <v>0</v>
      </c>
      <c r="AD628" t="s">
        <v>51</v>
      </c>
      <c r="AH628" s="2">
        <v>44536.584722222222</v>
      </c>
      <c r="AI628">
        <v>0</v>
      </c>
      <c r="AJ628">
        <v>0</v>
      </c>
      <c r="AK628" s="30" t="str">
        <f ca="1">VLOOKUP(T628,'Auxiliar Vendas'!E:F,2,FALSE)</f>
        <v>Produto 10</v>
      </c>
      <c r="AL628" s="31">
        <f ca="1">U628*VLOOKUP(T628,'Auxiliar Vendas'!E:G,3,FALSE)</f>
        <v>121.00000000000001</v>
      </c>
    </row>
    <row r="629" spans="1:38">
      <c r="A629">
        <v>15481553915</v>
      </c>
      <c r="B629">
        <v>185</v>
      </c>
      <c r="D629" s="1">
        <v>44536</v>
      </c>
      <c r="E629">
        <v>15481553907</v>
      </c>
      <c r="F629" t="str">
        <f ca="1">VLOOKUP(RANDBETWEEN(1,20),'DBO Compras'!AA:AC,3,0)</f>
        <v>Comprador 19</v>
      </c>
      <c r="G629" t="s">
        <v>276</v>
      </c>
      <c r="H629" t="s">
        <v>475</v>
      </c>
      <c r="I629" t="s">
        <v>277</v>
      </c>
      <c r="J629" t="s">
        <v>244</v>
      </c>
      <c r="K629">
        <v>0</v>
      </c>
      <c r="L629" t="s">
        <v>40</v>
      </c>
      <c r="M629" t="s">
        <v>278</v>
      </c>
      <c r="N629">
        <v>4299826321</v>
      </c>
      <c r="O629">
        <v>0</v>
      </c>
      <c r="P629">
        <v>150</v>
      </c>
      <c r="R629" t="s">
        <v>42</v>
      </c>
      <c r="S629">
        <v>15016043939</v>
      </c>
      <c r="T629" t="str">
        <f ca="1">VLOOKUP(RANDBETWEEN(1,17),'Auxiliar Vendas'!D:G,2,0)</f>
        <v>Produto 13</v>
      </c>
      <c r="U629">
        <v>100</v>
      </c>
      <c r="V629">
        <v>14.25</v>
      </c>
      <c r="W629">
        <v>0</v>
      </c>
      <c r="X629">
        <v>10.747</v>
      </c>
      <c r="Y629" s="3">
        <v>1425</v>
      </c>
      <c r="Z629">
        <v>106</v>
      </c>
      <c r="AA629" t="s">
        <v>50</v>
      </c>
      <c r="AB629">
        <v>72.959999999999994</v>
      </c>
      <c r="AC629">
        <v>0</v>
      </c>
      <c r="AD629" t="s">
        <v>51</v>
      </c>
      <c r="AH629" s="2">
        <v>44536.456944444442</v>
      </c>
      <c r="AI629">
        <v>0</v>
      </c>
      <c r="AJ629">
        <v>0</v>
      </c>
      <c r="AK629" s="30" t="str">
        <f ca="1">VLOOKUP(T629,'Auxiliar Vendas'!E:F,2,FALSE)</f>
        <v>Produto 13</v>
      </c>
      <c r="AL629" s="31">
        <f ca="1">U629*VLOOKUP(T629,'Auxiliar Vendas'!E:G,3,FALSE)</f>
        <v>140</v>
      </c>
    </row>
    <row r="630" spans="1:38">
      <c r="A630">
        <v>15481553915</v>
      </c>
      <c r="B630">
        <v>185</v>
      </c>
      <c r="D630" s="1">
        <v>44536</v>
      </c>
      <c r="E630">
        <v>15481553907</v>
      </c>
      <c r="F630" t="str">
        <f ca="1">VLOOKUP(RANDBETWEEN(1,20),'DBO Compras'!AA:AC,3,0)</f>
        <v>Comprador 10</v>
      </c>
      <c r="G630" t="s">
        <v>276</v>
      </c>
      <c r="H630" t="s">
        <v>475</v>
      </c>
      <c r="I630" t="s">
        <v>277</v>
      </c>
      <c r="J630" t="s">
        <v>244</v>
      </c>
      <c r="K630">
        <v>0</v>
      </c>
      <c r="L630" t="s">
        <v>40</v>
      </c>
      <c r="M630" t="s">
        <v>278</v>
      </c>
      <c r="N630">
        <v>4299826321</v>
      </c>
      <c r="O630">
        <v>0</v>
      </c>
      <c r="P630">
        <v>150</v>
      </c>
      <c r="R630" t="s">
        <v>42</v>
      </c>
      <c r="S630">
        <v>15016049144</v>
      </c>
      <c r="T630" t="str">
        <f ca="1">VLOOKUP(RANDBETWEEN(1,17),'Auxiliar Vendas'!D:G,2,0)</f>
        <v>Produto 04</v>
      </c>
      <c r="U630">
        <v>60</v>
      </c>
      <c r="V630">
        <v>8.3800000000000008</v>
      </c>
      <c r="W630">
        <v>0</v>
      </c>
      <c r="X630">
        <v>5.8620000000000001</v>
      </c>
      <c r="Y630">
        <v>502.8</v>
      </c>
      <c r="Z630">
        <v>106</v>
      </c>
      <c r="AA630" t="s">
        <v>267</v>
      </c>
      <c r="AB630">
        <v>25.74</v>
      </c>
      <c r="AC630">
        <v>0</v>
      </c>
      <c r="AD630" t="s">
        <v>51</v>
      </c>
      <c r="AH630" s="2">
        <v>44536.456944444442</v>
      </c>
      <c r="AI630">
        <v>0</v>
      </c>
      <c r="AJ630">
        <v>0</v>
      </c>
      <c r="AK630" s="30" t="str">
        <f ca="1">VLOOKUP(T630,'Auxiliar Vendas'!E:F,2,FALSE)</f>
        <v>Produto 04</v>
      </c>
      <c r="AL630" s="31">
        <f ca="1">U630*VLOOKUP(T630,'Auxiliar Vendas'!E:G,3,FALSE)</f>
        <v>36</v>
      </c>
    </row>
    <row r="631" spans="1:38">
      <c r="A631">
        <v>15481553915</v>
      </c>
      <c r="B631">
        <v>185</v>
      </c>
      <c r="D631" s="1">
        <v>44536</v>
      </c>
      <c r="E631">
        <v>15481553907</v>
      </c>
      <c r="F631" t="str">
        <f ca="1">VLOOKUP(RANDBETWEEN(1,20),'DBO Compras'!AA:AC,3,0)</f>
        <v>Comprador 14</v>
      </c>
      <c r="G631" t="s">
        <v>276</v>
      </c>
      <c r="H631" t="s">
        <v>475</v>
      </c>
      <c r="I631" t="s">
        <v>277</v>
      </c>
      <c r="J631" t="s">
        <v>244</v>
      </c>
      <c r="K631">
        <v>0</v>
      </c>
      <c r="L631" t="s">
        <v>40</v>
      </c>
      <c r="M631" t="s">
        <v>278</v>
      </c>
      <c r="N631">
        <v>4299826321</v>
      </c>
      <c r="O631">
        <v>0</v>
      </c>
      <c r="P631">
        <v>150</v>
      </c>
      <c r="R631" t="s">
        <v>42</v>
      </c>
      <c r="S631">
        <v>15015511068</v>
      </c>
      <c r="T631" t="str">
        <f ca="1">VLOOKUP(RANDBETWEEN(1,17),'Auxiliar Vendas'!D:G,2,0)</f>
        <v>Produto 07</v>
      </c>
      <c r="U631">
        <v>60</v>
      </c>
      <c r="V631">
        <v>16.7</v>
      </c>
      <c r="W631">
        <v>0</v>
      </c>
      <c r="X631">
        <v>10.23</v>
      </c>
      <c r="Y631" s="3">
        <v>1002</v>
      </c>
      <c r="Z631">
        <v>106</v>
      </c>
      <c r="AA631" t="s">
        <v>53</v>
      </c>
      <c r="AB631">
        <v>51.3</v>
      </c>
      <c r="AC631">
        <v>0</v>
      </c>
      <c r="AD631" t="s">
        <v>51</v>
      </c>
      <c r="AH631" s="2">
        <v>44536.456944444442</v>
      </c>
      <c r="AI631">
        <v>0</v>
      </c>
      <c r="AJ631">
        <v>0</v>
      </c>
      <c r="AK631" s="30" t="str">
        <f ca="1">VLOOKUP(T631,'Auxiliar Vendas'!E:F,2,FALSE)</f>
        <v>Produto 07</v>
      </c>
      <c r="AL631" s="31">
        <f ca="1">U631*VLOOKUP(T631,'Auxiliar Vendas'!E:G,3,FALSE)</f>
        <v>66</v>
      </c>
    </row>
    <row r="632" spans="1:38">
      <c r="A632">
        <v>15492525771</v>
      </c>
      <c r="B632">
        <v>194</v>
      </c>
      <c r="D632" s="1">
        <v>44536</v>
      </c>
      <c r="E632">
        <v>15179581888</v>
      </c>
      <c r="F632" t="str">
        <f ca="1">VLOOKUP(RANDBETWEEN(1,20),'DBO Compras'!AA:AC,3,0)</f>
        <v>Comprador 11</v>
      </c>
      <c r="G632" t="s">
        <v>54</v>
      </c>
      <c r="H632" t="s">
        <v>55</v>
      </c>
      <c r="I632" t="s">
        <v>56</v>
      </c>
      <c r="J632" t="s">
        <v>39</v>
      </c>
      <c r="K632">
        <v>81350610</v>
      </c>
      <c r="L632" t="s">
        <v>40</v>
      </c>
      <c r="M632" t="s">
        <v>57</v>
      </c>
      <c r="N632">
        <v>41996849234</v>
      </c>
      <c r="O632">
        <v>0</v>
      </c>
      <c r="P632">
        <v>0</v>
      </c>
      <c r="R632" t="s">
        <v>42</v>
      </c>
      <c r="S632">
        <v>15016043939</v>
      </c>
      <c r="T632" t="str">
        <f ca="1">VLOOKUP(RANDBETWEEN(1,17),'Auxiliar Vendas'!D:G,2,0)</f>
        <v>Produto 11</v>
      </c>
      <c r="U632">
        <v>200</v>
      </c>
      <c r="V632">
        <v>12.38</v>
      </c>
      <c r="W632">
        <v>12.2</v>
      </c>
      <c r="X632">
        <v>10.747</v>
      </c>
      <c r="Y632" s="3">
        <v>2476</v>
      </c>
      <c r="Z632">
        <v>41</v>
      </c>
      <c r="AA632" t="s">
        <v>50</v>
      </c>
      <c r="AB632">
        <v>0</v>
      </c>
      <c r="AC632">
        <v>0</v>
      </c>
      <c r="AD632" t="s">
        <v>58</v>
      </c>
      <c r="AH632" s="2">
        <v>44536.584027777775</v>
      </c>
      <c r="AI632">
        <v>0</v>
      </c>
      <c r="AJ632">
        <v>0</v>
      </c>
      <c r="AK632" s="30" t="str">
        <f ca="1">VLOOKUP(T632,'Auxiliar Vendas'!E:F,2,FALSE)</f>
        <v>Produto 11</v>
      </c>
      <c r="AL632" s="31">
        <f ca="1">U632*VLOOKUP(T632,'Auxiliar Vendas'!E:G,3,FALSE)</f>
        <v>220.00000000000003</v>
      </c>
    </row>
    <row r="633" spans="1:38">
      <c r="A633">
        <v>15492525771</v>
      </c>
      <c r="B633">
        <v>194</v>
      </c>
      <c r="D633" s="1">
        <v>44536</v>
      </c>
      <c r="E633">
        <v>15179581888</v>
      </c>
      <c r="F633" t="str">
        <f ca="1">VLOOKUP(RANDBETWEEN(1,20),'DBO Compras'!AA:AC,3,0)</f>
        <v>Comprador 16</v>
      </c>
      <c r="G633" t="s">
        <v>54</v>
      </c>
      <c r="H633" t="s">
        <v>55</v>
      </c>
      <c r="I633" t="s">
        <v>56</v>
      </c>
      <c r="J633" t="s">
        <v>39</v>
      </c>
      <c r="K633">
        <v>81350610</v>
      </c>
      <c r="L633" t="s">
        <v>40</v>
      </c>
      <c r="M633" t="s">
        <v>57</v>
      </c>
      <c r="N633">
        <v>41996849234</v>
      </c>
      <c r="O633">
        <v>0</v>
      </c>
      <c r="P633">
        <v>0</v>
      </c>
      <c r="R633" t="s">
        <v>42</v>
      </c>
      <c r="S633">
        <v>15016049144</v>
      </c>
      <c r="T633" t="str">
        <f ca="1">VLOOKUP(RANDBETWEEN(1,17),'Auxiliar Vendas'!D:G,2,0)</f>
        <v>Produto 08</v>
      </c>
      <c r="U633">
        <v>200</v>
      </c>
      <c r="V633">
        <v>7.04</v>
      </c>
      <c r="W633">
        <v>14.98</v>
      </c>
      <c r="X633">
        <v>5.8620000000000001</v>
      </c>
      <c r="Y633" s="3">
        <v>1408</v>
      </c>
      <c r="Z633">
        <v>41</v>
      </c>
      <c r="AA633" t="s">
        <v>267</v>
      </c>
      <c r="AB633">
        <v>0</v>
      </c>
      <c r="AC633">
        <v>0</v>
      </c>
      <c r="AD633" t="s">
        <v>58</v>
      </c>
      <c r="AH633" s="2">
        <v>44536.584027777775</v>
      </c>
      <c r="AI633">
        <v>0</v>
      </c>
      <c r="AJ633">
        <v>0</v>
      </c>
      <c r="AK633" s="30" t="str">
        <f ca="1">VLOOKUP(T633,'Auxiliar Vendas'!E:F,2,FALSE)</f>
        <v>Produto 08</v>
      </c>
      <c r="AL633" s="31">
        <f ca="1">U633*VLOOKUP(T633,'Auxiliar Vendas'!E:G,3,FALSE)</f>
        <v>220.00000000000003</v>
      </c>
    </row>
    <row r="634" spans="1:38">
      <c r="A634">
        <v>15492525771</v>
      </c>
      <c r="B634">
        <v>194</v>
      </c>
      <c r="D634" s="1">
        <v>44536</v>
      </c>
      <c r="E634">
        <v>15179581888</v>
      </c>
      <c r="F634" t="str">
        <f ca="1">VLOOKUP(RANDBETWEEN(1,20),'DBO Compras'!AA:AC,3,0)</f>
        <v>Comprador 01</v>
      </c>
      <c r="G634" t="s">
        <v>54</v>
      </c>
      <c r="H634" t="s">
        <v>55</v>
      </c>
      <c r="I634" t="s">
        <v>56</v>
      </c>
      <c r="J634" t="s">
        <v>39</v>
      </c>
      <c r="K634">
        <v>81350610</v>
      </c>
      <c r="L634" t="s">
        <v>40</v>
      </c>
      <c r="M634" t="s">
        <v>57</v>
      </c>
      <c r="N634">
        <v>41996849234</v>
      </c>
      <c r="O634">
        <v>0</v>
      </c>
      <c r="P634">
        <v>0</v>
      </c>
      <c r="R634" t="s">
        <v>42</v>
      </c>
      <c r="S634">
        <v>15015511068</v>
      </c>
      <c r="T634" t="str">
        <f ca="1">VLOOKUP(RANDBETWEEN(1,17),'Auxiliar Vendas'!D:G,2,0)</f>
        <v>Produto 03</v>
      </c>
      <c r="U634">
        <v>100</v>
      </c>
      <c r="V634">
        <v>14.9</v>
      </c>
      <c r="W634">
        <v>10.24</v>
      </c>
      <c r="X634">
        <v>10.23</v>
      </c>
      <c r="Y634" s="3">
        <v>1490</v>
      </c>
      <c r="Z634">
        <v>41</v>
      </c>
      <c r="AA634" t="s">
        <v>53</v>
      </c>
      <c r="AB634">
        <v>0</v>
      </c>
      <c r="AC634">
        <v>0</v>
      </c>
      <c r="AD634" t="s">
        <v>58</v>
      </c>
      <c r="AH634" s="2">
        <v>44536.584027777775</v>
      </c>
      <c r="AI634">
        <v>0</v>
      </c>
      <c r="AJ634">
        <v>0</v>
      </c>
      <c r="AK634" s="30" t="str">
        <f ca="1">VLOOKUP(T634,'Auxiliar Vendas'!E:F,2,FALSE)</f>
        <v>Produto 03</v>
      </c>
      <c r="AL634" s="31">
        <f ca="1">U634*VLOOKUP(T634,'Auxiliar Vendas'!E:G,3,FALSE)</f>
        <v>60</v>
      </c>
    </row>
    <row r="635" spans="1:38">
      <c r="A635">
        <v>15488819943</v>
      </c>
      <c r="B635">
        <v>187</v>
      </c>
      <c r="D635" s="1">
        <v>44537</v>
      </c>
      <c r="E635">
        <v>15488819921</v>
      </c>
      <c r="F635" t="str">
        <f ca="1">VLOOKUP(RANDBETWEEN(1,20),'DBO Compras'!AA:AC,3,0)</f>
        <v>Comprador 18</v>
      </c>
      <c r="G635" t="s">
        <v>282</v>
      </c>
      <c r="H635" t="s">
        <v>283</v>
      </c>
      <c r="I635" t="s">
        <v>284</v>
      </c>
      <c r="J635" t="s">
        <v>193</v>
      </c>
      <c r="K635">
        <v>89214505</v>
      </c>
      <c r="L635" t="s">
        <v>92</v>
      </c>
      <c r="M635" t="s">
        <v>285</v>
      </c>
      <c r="N635">
        <v>47996868165</v>
      </c>
      <c r="O635">
        <v>0</v>
      </c>
      <c r="P635">
        <v>0</v>
      </c>
      <c r="R635" t="s">
        <v>42</v>
      </c>
      <c r="S635">
        <v>15016043939</v>
      </c>
      <c r="T635" t="str">
        <f ca="1">VLOOKUP(RANDBETWEEN(1,17),'Auxiliar Vendas'!D:G,2,0)</f>
        <v>Produto 05</v>
      </c>
      <c r="U635">
        <v>150</v>
      </c>
      <c r="V635">
        <v>12.8</v>
      </c>
      <c r="W635">
        <v>0</v>
      </c>
      <c r="X635">
        <v>10.747</v>
      </c>
      <c r="Y635" s="3">
        <v>1920</v>
      </c>
      <c r="Z635">
        <v>108</v>
      </c>
      <c r="AA635" t="s">
        <v>50</v>
      </c>
      <c r="AB635">
        <v>0</v>
      </c>
      <c r="AC635">
        <v>0</v>
      </c>
      <c r="AD635" t="s">
        <v>189</v>
      </c>
      <c r="AH635" s="2">
        <v>44537.686805555553</v>
      </c>
      <c r="AI635">
        <v>0</v>
      </c>
      <c r="AJ635">
        <v>0</v>
      </c>
      <c r="AK635" s="30" t="str">
        <f ca="1">VLOOKUP(T635,'Auxiliar Vendas'!E:F,2,FALSE)</f>
        <v>Produto 05</v>
      </c>
      <c r="AL635" s="31">
        <f ca="1">U635*VLOOKUP(T635,'Auxiliar Vendas'!E:G,3,FALSE)</f>
        <v>90</v>
      </c>
    </row>
    <row r="636" spans="1:38">
      <c r="A636">
        <v>15488819943</v>
      </c>
      <c r="B636">
        <v>187</v>
      </c>
      <c r="D636" s="1">
        <v>44537</v>
      </c>
      <c r="E636">
        <v>15488819921</v>
      </c>
      <c r="F636" t="str">
        <f ca="1">VLOOKUP(RANDBETWEEN(1,20),'DBO Compras'!AA:AC,3,0)</f>
        <v>Comprador 09</v>
      </c>
      <c r="G636" t="s">
        <v>282</v>
      </c>
      <c r="H636" t="s">
        <v>283</v>
      </c>
      <c r="I636" t="s">
        <v>284</v>
      </c>
      <c r="J636" t="s">
        <v>193</v>
      </c>
      <c r="K636">
        <v>89214505</v>
      </c>
      <c r="L636" t="s">
        <v>92</v>
      </c>
      <c r="M636" t="s">
        <v>285</v>
      </c>
      <c r="N636">
        <v>47996868165</v>
      </c>
      <c r="O636">
        <v>0</v>
      </c>
      <c r="P636">
        <v>0</v>
      </c>
      <c r="R636" t="s">
        <v>42</v>
      </c>
      <c r="S636">
        <v>15016093155</v>
      </c>
      <c r="T636" t="str">
        <f ca="1">VLOOKUP(RANDBETWEEN(1,17),'Auxiliar Vendas'!D:G,2,0)</f>
        <v>Produto 05</v>
      </c>
      <c r="U636">
        <v>100</v>
      </c>
      <c r="V636">
        <v>17.3</v>
      </c>
      <c r="W636">
        <v>0</v>
      </c>
      <c r="X636">
        <v>14.4596</v>
      </c>
      <c r="Y636" s="3">
        <v>1730</v>
      </c>
      <c r="Z636">
        <v>108</v>
      </c>
      <c r="AA636" t="s">
        <v>65</v>
      </c>
      <c r="AB636">
        <v>0</v>
      </c>
      <c r="AC636">
        <v>0</v>
      </c>
      <c r="AD636" t="s">
        <v>189</v>
      </c>
      <c r="AH636" s="2">
        <v>44537.686805555553</v>
      </c>
      <c r="AI636">
        <v>0</v>
      </c>
      <c r="AJ636">
        <v>0</v>
      </c>
      <c r="AK636" s="30" t="str">
        <f ca="1">VLOOKUP(T636,'Auxiliar Vendas'!E:F,2,FALSE)</f>
        <v>Produto 05</v>
      </c>
      <c r="AL636" s="31">
        <f ca="1">U636*VLOOKUP(T636,'Auxiliar Vendas'!E:G,3,FALSE)</f>
        <v>60</v>
      </c>
    </row>
    <row r="637" spans="1:38">
      <c r="A637">
        <v>15488819943</v>
      </c>
      <c r="B637">
        <v>187</v>
      </c>
      <c r="D637" s="1">
        <v>44537</v>
      </c>
      <c r="E637">
        <v>15488819921</v>
      </c>
      <c r="F637" t="str">
        <f ca="1">VLOOKUP(RANDBETWEEN(1,20),'DBO Compras'!AA:AC,3,0)</f>
        <v>Comprador 01</v>
      </c>
      <c r="G637" t="s">
        <v>282</v>
      </c>
      <c r="H637" t="s">
        <v>283</v>
      </c>
      <c r="I637" t="s">
        <v>284</v>
      </c>
      <c r="J637" t="s">
        <v>193</v>
      </c>
      <c r="K637">
        <v>89214505</v>
      </c>
      <c r="L637" t="s">
        <v>92</v>
      </c>
      <c r="M637" t="s">
        <v>285</v>
      </c>
      <c r="N637">
        <v>47996868165</v>
      </c>
      <c r="O637">
        <v>0</v>
      </c>
      <c r="P637">
        <v>0</v>
      </c>
      <c r="R637" t="s">
        <v>42</v>
      </c>
      <c r="S637">
        <v>15016080333</v>
      </c>
      <c r="T637" t="str">
        <f ca="1">VLOOKUP(RANDBETWEEN(1,17),'Auxiliar Vendas'!D:G,2,0)</f>
        <v>Produto 06</v>
      </c>
      <c r="U637">
        <v>50</v>
      </c>
      <c r="V637">
        <v>13.4</v>
      </c>
      <c r="W637">
        <v>0</v>
      </c>
      <c r="X637">
        <v>10.747</v>
      </c>
      <c r="Y637">
        <v>670</v>
      </c>
      <c r="Z637">
        <v>108</v>
      </c>
      <c r="AA637" t="s">
        <v>80</v>
      </c>
      <c r="AB637">
        <v>0</v>
      </c>
      <c r="AC637">
        <v>0</v>
      </c>
      <c r="AD637" t="s">
        <v>189</v>
      </c>
      <c r="AH637" s="2">
        <v>44537.686805555553</v>
      </c>
      <c r="AI637">
        <v>0</v>
      </c>
      <c r="AJ637">
        <v>0</v>
      </c>
      <c r="AK637" s="30" t="str">
        <f ca="1">VLOOKUP(T637,'Auxiliar Vendas'!E:F,2,FALSE)</f>
        <v>Produto 06</v>
      </c>
      <c r="AL637" s="31">
        <f ca="1">U637*VLOOKUP(T637,'Auxiliar Vendas'!E:G,3,FALSE)</f>
        <v>25</v>
      </c>
    </row>
    <row r="638" spans="1:38">
      <c r="A638">
        <v>15488819943</v>
      </c>
      <c r="B638">
        <v>187</v>
      </c>
      <c r="D638" s="1">
        <v>44537</v>
      </c>
      <c r="E638">
        <v>15488819921</v>
      </c>
      <c r="F638" t="str">
        <f ca="1">VLOOKUP(RANDBETWEEN(1,20),'DBO Compras'!AA:AC,3,0)</f>
        <v>Comprador 02</v>
      </c>
      <c r="G638" t="s">
        <v>282</v>
      </c>
      <c r="H638" t="s">
        <v>283</v>
      </c>
      <c r="I638" t="s">
        <v>284</v>
      </c>
      <c r="J638" t="s">
        <v>193</v>
      </c>
      <c r="K638">
        <v>89214505</v>
      </c>
      <c r="L638" t="s">
        <v>92</v>
      </c>
      <c r="M638" t="s">
        <v>285</v>
      </c>
      <c r="N638">
        <v>47996868165</v>
      </c>
      <c r="O638">
        <v>0</v>
      </c>
      <c r="P638">
        <v>0</v>
      </c>
      <c r="R638" t="s">
        <v>42</v>
      </c>
      <c r="S638">
        <v>15016099089</v>
      </c>
      <c r="T638" t="str">
        <f ca="1">VLOOKUP(RANDBETWEEN(1,17),'Auxiliar Vendas'!D:G,2,0)</f>
        <v>Produto 05</v>
      </c>
      <c r="U638">
        <v>50</v>
      </c>
      <c r="V638">
        <v>20.3</v>
      </c>
      <c r="W638">
        <v>0</v>
      </c>
      <c r="X638">
        <v>16.804400000000001</v>
      </c>
      <c r="Y638" s="3">
        <v>1015</v>
      </c>
      <c r="Z638">
        <v>108</v>
      </c>
      <c r="AA638" t="s">
        <v>79</v>
      </c>
      <c r="AB638">
        <v>0</v>
      </c>
      <c r="AC638">
        <v>0</v>
      </c>
      <c r="AD638" t="s">
        <v>189</v>
      </c>
      <c r="AH638" s="2">
        <v>44537.686805555553</v>
      </c>
      <c r="AI638">
        <v>0</v>
      </c>
      <c r="AJ638">
        <v>0</v>
      </c>
      <c r="AK638" s="30" t="str">
        <f ca="1">VLOOKUP(T638,'Auxiliar Vendas'!E:F,2,FALSE)</f>
        <v>Produto 05</v>
      </c>
      <c r="AL638" s="31">
        <f ca="1">U638*VLOOKUP(T638,'Auxiliar Vendas'!E:G,3,FALSE)</f>
        <v>30</v>
      </c>
    </row>
    <row r="639" spans="1:38">
      <c r="A639">
        <v>15488819943</v>
      </c>
      <c r="B639">
        <v>187</v>
      </c>
      <c r="D639" s="1">
        <v>44537</v>
      </c>
      <c r="E639">
        <v>15488819921</v>
      </c>
      <c r="F639" t="str">
        <f ca="1">VLOOKUP(RANDBETWEEN(1,20),'DBO Compras'!AA:AC,3,0)</f>
        <v>Comprador 07</v>
      </c>
      <c r="G639" t="s">
        <v>282</v>
      </c>
      <c r="H639" t="s">
        <v>283</v>
      </c>
      <c r="I639" t="s">
        <v>284</v>
      </c>
      <c r="J639" t="s">
        <v>193</v>
      </c>
      <c r="K639">
        <v>89214505</v>
      </c>
      <c r="L639" t="s">
        <v>92</v>
      </c>
      <c r="M639" t="s">
        <v>285</v>
      </c>
      <c r="N639">
        <v>47996868165</v>
      </c>
      <c r="O639">
        <v>0</v>
      </c>
      <c r="P639">
        <v>0</v>
      </c>
      <c r="R639" t="s">
        <v>42</v>
      </c>
      <c r="S639">
        <v>15015511068</v>
      </c>
      <c r="T639" t="str">
        <f ca="1">VLOOKUP(RANDBETWEEN(1,17),'Auxiliar Vendas'!D:G,2,0)</f>
        <v>Produto 14</v>
      </c>
      <c r="U639">
        <v>100</v>
      </c>
      <c r="V639">
        <v>15</v>
      </c>
      <c r="W639">
        <v>0</v>
      </c>
      <c r="X639">
        <v>10.23</v>
      </c>
      <c r="Y639" s="3">
        <v>1500</v>
      </c>
      <c r="Z639">
        <v>108</v>
      </c>
      <c r="AA639" t="s">
        <v>53</v>
      </c>
      <c r="AB639">
        <v>0</v>
      </c>
      <c r="AC639">
        <v>0</v>
      </c>
      <c r="AD639" t="s">
        <v>189</v>
      </c>
      <c r="AH639" s="2">
        <v>44537.686805555553</v>
      </c>
      <c r="AI639">
        <v>0</v>
      </c>
      <c r="AJ639">
        <v>0</v>
      </c>
      <c r="AK639" s="30" t="str">
        <f ca="1">VLOOKUP(T639,'Auxiliar Vendas'!E:F,2,FALSE)</f>
        <v>Produto 14</v>
      </c>
      <c r="AL639" s="31">
        <f ca="1">U639*VLOOKUP(T639,'Auxiliar Vendas'!E:G,3,FALSE)</f>
        <v>140</v>
      </c>
    </row>
    <row r="640" spans="1:38">
      <c r="A640">
        <v>15488819943</v>
      </c>
      <c r="B640">
        <v>187</v>
      </c>
      <c r="D640" s="1">
        <v>44537</v>
      </c>
      <c r="E640">
        <v>15488819921</v>
      </c>
      <c r="F640" t="str">
        <f ca="1">VLOOKUP(RANDBETWEEN(1,20),'DBO Compras'!AA:AC,3,0)</f>
        <v>Comprador 17</v>
      </c>
      <c r="G640" t="s">
        <v>282</v>
      </c>
      <c r="H640" t="s">
        <v>283</v>
      </c>
      <c r="I640" t="s">
        <v>284</v>
      </c>
      <c r="J640" t="s">
        <v>193</v>
      </c>
      <c r="K640">
        <v>89214505</v>
      </c>
      <c r="L640" t="s">
        <v>92</v>
      </c>
      <c r="M640" t="s">
        <v>285</v>
      </c>
      <c r="N640">
        <v>47996868165</v>
      </c>
      <c r="O640">
        <v>0</v>
      </c>
      <c r="P640">
        <v>0</v>
      </c>
      <c r="R640" t="s">
        <v>42</v>
      </c>
      <c r="S640">
        <v>15139727614</v>
      </c>
      <c r="T640" t="str">
        <f ca="1">VLOOKUP(RANDBETWEEN(1,17),'Auxiliar Vendas'!D:G,2,0)</f>
        <v>Produto 07</v>
      </c>
      <c r="U640">
        <v>30</v>
      </c>
      <c r="V640">
        <v>22.6</v>
      </c>
      <c r="W640">
        <v>0</v>
      </c>
      <c r="X640">
        <v>0</v>
      </c>
      <c r="Y640">
        <v>678</v>
      </c>
      <c r="Z640">
        <v>108</v>
      </c>
      <c r="AA640" t="s">
        <v>146</v>
      </c>
      <c r="AB640">
        <v>0</v>
      </c>
      <c r="AC640">
        <v>0</v>
      </c>
      <c r="AD640" t="s">
        <v>189</v>
      </c>
      <c r="AH640" s="2">
        <v>44537.686805555553</v>
      </c>
      <c r="AI640">
        <v>0</v>
      </c>
      <c r="AJ640">
        <v>0</v>
      </c>
      <c r="AK640" s="30" t="str">
        <f ca="1">VLOOKUP(T640,'Auxiliar Vendas'!E:F,2,FALSE)</f>
        <v>Produto 07</v>
      </c>
      <c r="AL640" s="31">
        <f ca="1">U640*VLOOKUP(T640,'Auxiliar Vendas'!E:G,3,FALSE)</f>
        <v>33</v>
      </c>
    </row>
    <row r="641" spans="1:38">
      <c r="A641">
        <v>15488819943</v>
      </c>
      <c r="B641">
        <v>187</v>
      </c>
      <c r="D641" s="1">
        <v>44537</v>
      </c>
      <c r="E641">
        <v>15488819921</v>
      </c>
      <c r="F641" t="str">
        <f ca="1">VLOOKUP(RANDBETWEEN(1,20),'DBO Compras'!AA:AC,3,0)</f>
        <v>Comprador 13</v>
      </c>
      <c r="G641" t="s">
        <v>282</v>
      </c>
      <c r="H641" t="s">
        <v>283</v>
      </c>
      <c r="I641" t="s">
        <v>284</v>
      </c>
      <c r="J641" t="s">
        <v>193</v>
      </c>
      <c r="K641">
        <v>89214505</v>
      </c>
      <c r="L641" t="s">
        <v>92</v>
      </c>
      <c r="M641" t="s">
        <v>285</v>
      </c>
      <c r="N641">
        <v>47996868165</v>
      </c>
      <c r="O641">
        <v>0</v>
      </c>
      <c r="P641">
        <v>0</v>
      </c>
      <c r="R641" t="s">
        <v>42</v>
      </c>
      <c r="S641">
        <v>15139667431</v>
      </c>
      <c r="T641" t="str">
        <f ca="1">VLOOKUP(RANDBETWEEN(1,17),'Auxiliar Vendas'!D:G,2,0)</f>
        <v>Produto 08</v>
      </c>
      <c r="U641">
        <v>20</v>
      </c>
      <c r="V641">
        <v>20.2</v>
      </c>
      <c r="W641">
        <v>0</v>
      </c>
      <c r="X641">
        <v>0</v>
      </c>
      <c r="Y641">
        <v>404</v>
      </c>
      <c r="Z641">
        <v>108</v>
      </c>
      <c r="AA641" t="s">
        <v>145</v>
      </c>
      <c r="AB641">
        <v>0</v>
      </c>
      <c r="AC641">
        <v>0</v>
      </c>
      <c r="AD641" t="s">
        <v>189</v>
      </c>
      <c r="AH641" s="2">
        <v>44537.686805555553</v>
      </c>
      <c r="AI641">
        <v>0</v>
      </c>
      <c r="AJ641">
        <v>0</v>
      </c>
      <c r="AK641" s="30" t="str">
        <f ca="1">VLOOKUP(T641,'Auxiliar Vendas'!E:F,2,FALSE)</f>
        <v>Produto 08</v>
      </c>
      <c r="AL641" s="31">
        <f ca="1">U641*VLOOKUP(T641,'Auxiliar Vendas'!E:G,3,FALSE)</f>
        <v>22</v>
      </c>
    </row>
    <row r="642" spans="1:38">
      <c r="A642">
        <v>15490325529</v>
      </c>
      <c r="B642">
        <v>188</v>
      </c>
      <c r="D642" s="1">
        <v>44537</v>
      </c>
      <c r="E642">
        <v>15179701182</v>
      </c>
      <c r="F642" t="str">
        <f ca="1">VLOOKUP(RANDBETWEEN(1,20),'DBO Compras'!AA:AC,3,0)</f>
        <v>Comprador 19</v>
      </c>
      <c r="G642" t="s">
        <v>140</v>
      </c>
      <c r="H642" t="s">
        <v>141</v>
      </c>
      <c r="I642" t="s">
        <v>142</v>
      </c>
      <c r="J642" t="s">
        <v>143</v>
      </c>
      <c r="K642">
        <v>84050290</v>
      </c>
      <c r="L642" t="s">
        <v>40</v>
      </c>
      <c r="M642" t="s">
        <v>144</v>
      </c>
      <c r="N642">
        <v>42999659968</v>
      </c>
      <c r="O642">
        <v>0</v>
      </c>
      <c r="P642">
        <v>0</v>
      </c>
      <c r="R642" t="s">
        <v>42</v>
      </c>
      <c r="S642">
        <v>15016043939</v>
      </c>
      <c r="T642" t="str">
        <f ca="1">VLOOKUP(RANDBETWEEN(1,17),'Auxiliar Vendas'!D:G,2,0)</f>
        <v>Produto 08</v>
      </c>
      <c r="U642">
        <v>300</v>
      </c>
      <c r="V642">
        <v>12.8</v>
      </c>
      <c r="W642">
        <v>0</v>
      </c>
      <c r="X642">
        <v>10.747</v>
      </c>
      <c r="Y642" s="3">
        <v>3840</v>
      </c>
      <c r="Z642">
        <v>46</v>
      </c>
      <c r="AA642" t="s">
        <v>50</v>
      </c>
      <c r="AB642">
        <v>0</v>
      </c>
      <c r="AC642">
        <v>0</v>
      </c>
      <c r="AD642" t="s">
        <v>58</v>
      </c>
      <c r="AH642" s="2">
        <v>44537.583333333336</v>
      </c>
      <c r="AI642">
        <v>0</v>
      </c>
      <c r="AJ642">
        <v>0</v>
      </c>
      <c r="AK642" s="30" t="str">
        <f ca="1">VLOOKUP(T642,'Auxiliar Vendas'!E:F,2,FALSE)</f>
        <v>Produto 08</v>
      </c>
      <c r="AL642" s="31">
        <f ca="1">U642*VLOOKUP(T642,'Auxiliar Vendas'!E:G,3,FALSE)</f>
        <v>330</v>
      </c>
    </row>
    <row r="643" spans="1:38">
      <c r="A643">
        <v>15490325529</v>
      </c>
      <c r="B643">
        <v>188</v>
      </c>
      <c r="D643" s="1">
        <v>44537</v>
      </c>
      <c r="E643">
        <v>15179701182</v>
      </c>
      <c r="F643" t="str">
        <f ca="1">VLOOKUP(RANDBETWEEN(1,20),'DBO Compras'!AA:AC,3,0)</f>
        <v>Comprador 20</v>
      </c>
      <c r="G643" t="s">
        <v>140</v>
      </c>
      <c r="H643" t="s">
        <v>141</v>
      </c>
      <c r="I643" t="s">
        <v>142</v>
      </c>
      <c r="J643" t="s">
        <v>143</v>
      </c>
      <c r="K643">
        <v>84050290</v>
      </c>
      <c r="L643" t="s">
        <v>40</v>
      </c>
      <c r="M643" t="s">
        <v>144</v>
      </c>
      <c r="N643">
        <v>42999659968</v>
      </c>
      <c r="O643">
        <v>0</v>
      </c>
      <c r="P643">
        <v>0</v>
      </c>
      <c r="R643" t="s">
        <v>42</v>
      </c>
      <c r="S643">
        <v>15016080333</v>
      </c>
      <c r="T643" t="str">
        <f ca="1">VLOOKUP(RANDBETWEEN(1,17),'Auxiliar Vendas'!D:G,2,0)</f>
        <v>Produto 07</v>
      </c>
      <c r="U643">
        <v>50</v>
      </c>
      <c r="V643">
        <v>13.4</v>
      </c>
      <c r="W643">
        <v>0</v>
      </c>
      <c r="X643">
        <v>10.747</v>
      </c>
      <c r="Y643">
        <v>670</v>
      </c>
      <c r="Z643">
        <v>46</v>
      </c>
      <c r="AA643" t="s">
        <v>80</v>
      </c>
      <c r="AB643">
        <v>0</v>
      </c>
      <c r="AC643">
        <v>0</v>
      </c>
      <c r="AD643" t="s">
        <v>58</v>
      </c>
      <c r="AH643" s="2">
        <v>44537.583333333336</v>
      </c>
      <c r="AI643">
        <v>0</v>
      </c>
      <c r="AJ643">
        <v>0</v>
      </c>
      <c r="AK643" s="30" t="str">
        <f ca="1">VLOOKUP(T643,'Auxiliar Vendas'!E:F,2,FALSE)</f>
        <v>Produto 07</v>
      </c>
      <c r="AL643" s="31">
        <f ca="1">U643*VLOOKUP(T643,'Auxiliar Vendas'!E:G,3,FALSE)</f>
        <v>55.000000000000007</v>
      </c>
    </row>
    <row r="644" spans="1:38">
      <c r="A644">
        <v>15490325529</v>
      </c>
      <c r="B644">
        <v>188</v>
      </c>
      <c r="D644" s="1">
        <v>44537</v>
      </c>
      <c r="E644">
        <v>15179701182</v>
      </c>
      <c r="F644" t="str">
        <f ca="1">VLOOKUP(RANDBETWEEN(1,20),'DBO Compras'!AA:AC,3,0)</f>
        <v>Comprador 12</v>
      </c>
      <c r="G644" t="s">
        <v>140</v>
      </c>
      <c r="H644" t="s">
        <v>141</v>
      </c>
      <c r="I644" t="s">
        <v>142</v>
      </c>
      <c r="J644" t="s">
        <v>143</v>
      </c>
      <c r="K644">
        <v>84050290</v>
      </c>
      <c r="L644" t="s">
        <v>40</v>
      </c>
      <c r="M644" t="s">
        <v>144</v>
      </c>
      <c r="N644">
        <v>42999659968</v>
      </c>
      <c r="O644">
        <v>0</v>
      </c>
      <c r="P644">
        <v>0</v>
      </c>
      <c r="R644" t="s">
        <v>42</v>
      </c>
      <c r="S644">
        <v>15016093155</v>
      </c>
      <c r="T644" t="str">
        <f ca="1">VLOOKUP(RANDBETWEEN(1,17),'Auxiliar Vendas'!D:G,2,0)</f>
        <v>Produto 02</v>
      </c>
      <c r="U644">
        <v>200</v>
      </c>
      <c r="V644">
        <v>17.3</v>
      </c>
      <c r="W644">
        <v>0</v>
      </c>
      <c r="X644">
        <v>14.4596</v>
      </c>
      <c r="Y644" s="3">
        <v>3460</v>
      </c>
      <c r="Z644">
        <v>46</v>
      </c>
      <c r="AA644" t="s">
        <v>65</v>
      </c>
      <c r="AB644">
        <v>0</v>
      </c>
      <c r="AC644">
        <v>0</v>
      </c>
      <c r="AD644" t="s">
        <v>58</v>
      </c>
      <c r="AH644" s="2">
        <v>44537.583333333336</v>
      </c>
      <c r="AI644">
        <v>0</v>
      </c>
      <c r="AJ644">
        <v>0</v>
      </c>
      <c r="AK644" s="30" t="str">
        <f ca="1">VLOOKUP(T644,'Auxiliar Vendas'!E:F,2,FALSE)</f>
        <v>Produto 02</v>
      </c>
      <c r="AL644" s="31">
        <f ca="1">U644*VLOOKUP(T644,'Auxiliar Vendas'!E:G,3,FALSE)</f>
        <v>54</v>
      </c>
    </row>
    <row r="645" spans="1:38">
      <c r="A645">
        <v>15490325529</v>
      </c>
      <c r="B645">
        <v>188</v>
      </c>
      <c r="D645" s="1">
        <v>44537</v>
      </c>
      <c r="E645">
        <v>15179701182</v>
      </c>
      <c r="F645" t="str">
        <f ca="1">VLOOKUP(RANDBETWEEN(1,20),'DBO Compras'!AA:AC,3,0)</f>
        <v>Comprador 10</v>
      </c>
      <c r="G645" t="s">
        <v>140</v>
      </c>
      <c r="H645" t="s">
        <v>141</v>
      </c>
      <c r="I645" t="s">
        <v>142</v>
      </c>
      <c r="J645" t="s">
        <v>143</v>
      </c>
      <c r="K645">
        <v>84050290</v>
      </c>
      <c r="L645" t="s">
        <v>40</v>
      </c>
      <c r="M645" t="s">
        <v>144</v>
      </c>
      <c r="N645">
        <v>42999659968</v>
      </c>
      <c r="O645">
        <v>0</v>
      </c>
      <c r="P645">
        <v>0</v>
      </c>
      <c r="R645" t="s">
        <v>42</v>
      </c>
      <c r="S645">
        <v>15016099089</v>
      </c>
      <c r="T645" t="str">
        <f ca="1">VLOOKUP(RANDBETWEEN(1,17),'Auxiliar Vendas'!D:G,2,0)</f>
        <v>Produto 15</v>
      </c>
      <c r="U645">
        <v>120</v>
      </c>
      <c r="V645">
        <v>20.3</v>
      </c>
      <c r="W645">
        <v>0</v>
      </c>
      <c r="X645">
        <v>16.804400000000001</v>
      </c>
      <c r="Y645" s="3">
        <v>2436</v>
      </c>
      <c r="Z645">
        <v>46</v>
      </c>
      <c r="AA645" t="s">
        <v>79</v>
      </c>
      <c r="AB645">
        <v>0</v>
      </c>
      <c r="AC645">
        <v>0</v>
      </c>
      <c r="AD645" t="s">
        <v>58</v>
      </c>
      <c r="AH645" s="2">
        <v>44537.583333333336</v>
      </c>
      <c r="AI645">
        <v>0</v>
      </c>
      <c r="AJ645">
        <v>0</v>
      </c>
      <c r="AK645" s="30" t="str">
        <f ca="1">VLOOKUP(T645,'Auxiliar Vendas'!E:F,2,FALSE)</f>
        <v>Produto 15</v>
      </c>
      <c r="AL645" s="31">
        <f ca="1">U645*VLOOKUP(T645,'Auxiliar Vendas'!E:G,3,FALSE)</f>
        <v>170.39999999999998</v>
      </c>
    </row>
    <row r="646" spans="1:38">
      <c r="A646">
        <v>15490325529</v>
      </c>
      <c r="B646">
        <v>188</v>
      </c>
      <c r="D646" s="1">
        <v>44537</v>
      </c>
      <c r="E646">
        <v>15179701182</v>
      </c>
      <c r="F646" t="str">
        <f ca="1">VLOOKUP(RANDBETWEEN(1,20),'DBO Compras'!AA:AC,3,0)</f>
        <v>Comprador 15</v>
      </c>
      <c r="G646" t="s">
        <v>140</v>
      </c>
      <c r="H646" t="s">
        <v>141</v>
      </c>
      <c r="I646" t="s">
        <v>142</v>
      </c>
      <c r="J646" t="s">
        <v>143</v>
      </c>
      <c r="K646">
        <v>84050290</v>
      </c>
      <c r="L646" t="s">
        <v>40</v>
      </c>
      <c r="M646" t="s">
        <v>144</v>
      </c>
      <c r="N646">
        <v>42999659968</v>
      </c>
      <c r="O646">
        <v>0</v>
      </c>
      <c r="P646">
        <v>0</v>
      </c>
      <c r="R646" t="s">
        <v>42</v>
      </c>
      <c r="S646">
        <v>15015918644</v>
      </c>
      <c r="T646" t="str">
        <f ca="1">VLOOKUP(RANDBETWEEN(1,17),'Auxiliar Vendas'!D:G,2,0)</f>
        <v>Produto 12</v>
      </c>
      <c r="U646">
        <v>400</v>
      </c>
      <c r="V646">
        <v>7.3</v>
      </c>
      <c r="W646">
        <v>0</v>
      </c>
      <c r="X646">
        <v>5.61</v>
      </c>
      <c r="Y646" s="3">
        <v>2920</v>
      </c>
      <c r="Z646">
        <v>46</v>
      </c>
      <c r="AA646" t="s">
        <v>59</v>
      </c>
      <c r="AB646">
        <v>0</v>
      </c>
      <c r="AC646">
        <v>0</v>
      </c>
      <c r="AD646" t="s">
        <v>58</v>
      </c>
      <c r="AH646" s="2">
        <v>44537.583333333336</v>
      </c>
      <c r="AI646">
        <v>0</v>
      </c>
      <c r="AJ646">
        <v>0</v>
      </c>
      <c r="AK646" s="30" t="str">
        <f ca="1">VLOOKUP(T646,'Auxiliar Vendas'!E:F,2,FALSE)</f>
        <v>Produto 12</v>
      </c>
      <c r="AL646" s="31">
        <f ca="1">U646*VLOOKUP(T646,'Auxiliar Vendas'!E:G,3,FALSE)</f>
        <v>560</v>
      </c>
    </row>
    <row r="647" spans="1:38">
      <c r="A647">
        <v>15490325529</v>
      </c>
      <c r="B647">
        <v>188</v>
      </c>
      <c r="D647" s="1">
        <v>44537</v>
      </c>
      <c r="E647">
        <v>15179701182</v>
      </c>
      <c r="F647" t="str">
        <f ca="1">VLOOKUP(RANDBETWEEN(1,20),'DBO Compras'!AA:AC,3,0)</f>
        <v>Comprador 09</v>
      </c>
      <c r="G647" t="s">
        <v>140</v>
      </c>
      <c r="H647" t="s">
        <v>141</v>
      </c>
      <c r="I647" t="s">
        <v>142</v>
      </c>
      <c r="J647" t="s">
        <v>143</v>
      </c>
      <c r="K647">
        <v>84050290</v>
      </c>
      <c r="L647" t="s">
        <v>40</v>
      </c>
      <c r="M647" t="s">
        <v>144</v>
      </c>
      <c r="N647">
        <v>42999659968</v>
      </c>
      <c r="O647">
        <v>0</v>
      </c>
      <c r="P647">
        <v>0</v>
      </c>
      <c r="R647" t="s">
        <v>42</v>
      </c>
      <c r="S647">
        <v>15015511068</v>
      </c>
      <c r="T647" t="str">
        <f ca="1">VLOOKUP(RANDBETWEEN(1,17),'Auxiliar Vendas'!D:G,2,0)</f>
        <v>Produto 15</v>
      </c>
      <c r="U647">
        <v>20</v>
      </c>
      <c r="V647">
        <v>15</v>
      </c>
      <c r="W647">
        <v>9.64</v>
      </c>
      <c r="X647">
        <v>10.23</v>
      </c>
      <c r="Y647">
        <v>300</v>
      </c>
      <c r="Z647">
        <v>46</v>
      </c>
      <c r="AA647" t="s">
        <v>53</v>
      </c>
      <c r="AB647">
        <v>0</v>
      </c>
      <c r="AC647">
        <v>0</v>
      </c>
      <c r="AD647" t="s">
        <v>58</v>
      </c>
      <c r="AH647" s="2">
        <v>44537.583333333336</v>
      </c>
      <c r="AI647">
        <v>0</v>
      </c>
      <c r="AJ647">
        <v>0</v>
      </c>
      <c r="AK647" s="30" t="str">
        <f ca="1">VLOOKUP(T647,'Auxiliar Vendas'!E:F,2,FALSE)</f>
        <v>Produto 15</v>
      </c>
      <c r="AL647" s="31">
        <f ca="1">U647*VLOOKUP(T647,'Auxiliar Vendas'!E:G,3,FALSE)</f>
        <v>28.4</v>
      </c>
    </row>
    <row r="648" spans="1:38">
      <c r="A648">
        <v>15490325529</v>
      </c>
      <c r="B648">
        <v>188</v>
      </c>
      <c r="D648" s="1">
        <v>44537</v>
      </c>
      <c r="E648">
        <v>15179701182</v>
      </c>
      <c r="F648" t="str">
        <f ca="1">VLOOKUP(RANDBETWEEN(1,20),'DBO Compras'!AA:AC,3,0)</f>
        <v>Comprador 08</v>
      </c>
      <c r="G648" t="s">
        <v>140</v>
      </c>
      <c r="H648" t="s">
        <v>141</v>
      </c>
      <c r="I648" t="s">
        <v>142</v>
      </c>
      <c r="J648" t="s">
        <v>143</v>
      </c>
      <c r="K648">
        <v>84050290</v>
      </c>
      <c r="L648" t="s">
        <v>40</v>
      </c>
      <c r="M648" t="s">
        <v>144</v>
      </c>
      <c r="N648">
        <v>42999659968</v>
      </c>
      <c r="O648">
        <v>0</v>
      </c>
      <c r="P648">
        <v>0</v>
      </c>
      <c r="R648" t="s">
        <v>42</v>
      </c>
      <c r="S648">
        <v>15015511068</v>
      </c>
      <c r="T648" t="str">
        <f ca="1">VLOOKUP(RANDBETWEEN(1,17),'Auxiliar Vendas'!D:G,2,0)</f>
        <v>Produto 11</v>
      </c>
      <c r="U648">
        <v>100</v>
      </c>
      <c r="V648">
        <v>14.5</v>
      </c>
      <c r="W648">
        <v>12.65</v>
      </c>
      <c r="X648">
        <v>10.23</v>
      </c>
      <c r="Y648" s="3">
        <v>1450</v>
      </c>
      <c r="Z648">
        <v>46</v>
      </c>
      <c r="AA648" t="s">
        <v>53</v>
      </c>
      <c r="AB648">
        <v>0</v>
      </c>
      <c r="AC648">
        <v>0</v>
      </c>
      <c r="AD648" t="s">
        <v>58</v>
      </c>
      <c r="AH648" s="2">
        <v>44537.583333333336</v>
      </c>
      <c r="AI648">
        <v>0</v>
      </c>
      <c r="AJ648">
        <v>0</v>
      </c>
      <c r="AK648" s="30" t="str">
        <f ca="1">VLOOKUP(T648,'Auxiliar Vendas'!E:F,2,FALSE)</f>
        <v>Produto 11</v>
      </c>
      <c r="AL648" s="31">
        <f ca="1">U648*VLOOKUP(T648,'Auxiliar Vendas'!E:G,3,FALSE)</f>
        <v>110.00000000000001</v>
      </c>
    </row>
    <row r="649" spans="1:38">
      <c r="A649">
        <v>15493515501</v>
      </c>
      <c r="B649">
        <v>195</v>
      </c>
      <c r="D649" s="1">
        <v>44537</v>
      </c>
      <c r="E649">
        <v>15493515488</v>
      </c>
      <c r="F649" t="str">
        <f ca="1">VLOOKUP(RANDBETWEEN(1,20),'DBO Compras'!AA:AC,3,0)</f>
        <v>Comprador 07</v>
      </c>
      <c r="G649" t="s">
        <v>286</v>
      </c>
      <c r="H649" t="s">
        <v>287</v>
      </c>
      <c r="I649" t="s">
        <v>288</v>
      </c>
      <c r="J649" t="s">
        <v>289</v>
      </c>
      <c r="K649">
        <v>92709625</v>
      </c>
      <c r="L649" t="s">
        <v>204</v>
      </c>
      <c r="M649" t="s">
        <v>290</v>
      </c>
      <c r="N649">
        <v>51995483061</v>
      </c>
      <c r="O649">
        <v>0</v>
      </c>
      <c r="P649">
        <v>0</v>
      </c>
      <c r="R649" t="s">
        <v>42</v>
      </c>
      <c r="S649">
        <v>15290493701</v>
      </c>
      <c r="T649" t="str">
        <f ca="1">VLOOKUP(RANDBETWEEN(1,17),'Auxiliar Vendas'!D:G,2,0)</f>
        <v>Produto 13</v>
      </c>
      <c r="U649">
        <v>200</v>
      </c>
      <c r="V649">
        <v>6.6</v>
      </c>
      <c r="W649">
        <v>0</v>
      </c>
      <c r="X649">
        <v>5.8620000000000001</v>
      </c>
      <c r="Y649" s="3">
        <v>1320</v>
      </c>
      <c r="Z649">
        <v>109</v>
      </c>
      <c r="AA649" t="s">
        <v>291</v>
      </c>
      <c r="AB649">
        <v>0</v>
      </c>
      <c r="AC649">
        <v>0</v>
      </c>
      <c r="AD649" t="s">
        <v>189</v>
      </c>
      <c r="AH649" s="2">
        <v>44540.633333333331</v>
      </c>
      <c r="AI649">
        <v>0</v>
      </c>
      <c r="AJ649">
        <v>0</v>
      </c>
      <c r="AK649" s="30" t="str">
        <f ca="1">VLOOKUP(T649,'Auxiliar Vendas'!E:F,2,FALSE)</f>
        <v>Produto 13</v>
      </c>
      <c r="AL649" s="31">
        <f ca="1">U649*VLOOKUP(T649,'Auxiliar Vendas'!E:G,3,FALSE)</f>
        <v>280</v>
      </c>
    </row>
    <row r="650" spans="1:38">
      <c r="A650">
        <v>15493515501</v>
      </c>
      <c r="B650">
        <v>195</v>
      </c>
      <c r="D650" s="1">
        <v>44537</v>
      </c>
      <c r="E650">
        <v>15493515488</v>
      </c>
      <c r="F650" t="str">
        <f ca="1">VLOOKUP(RANDBETWEEN(1,20),'DBO Compras'!AA:AC,3,0)</f>
        <v>Comprador 10</v>
      </c>
      <c r="G650" t="s">
        <v>286</v>
      </c>
      <c r="H650" t="s">
        <v>287</v>
      </c>
      <c r="I650" t="s">
        <v>288</v>
      </c>
      <c r="J650" t="s">
        <v>289</v>
      </c>
      <c r="K650">
        <v>92709625</v>
      </c>
      <c r="L650" t="s">
        <v>204</v>
      </c>
      <c r="M650" t="s">
        <v>290</v>
      </c>
      <c r="N650">
        <v>51995483061</v>
      </c>
      <c r="O650">
        <v>0</v>
      </c>
      <c r="P650">
        <v>0</v>
      </c>
      <c r="R650" t="s">
        <v>42</v>
      </c>
      <c r="S650">
        <v>15016043939</v>
      </c>
      <c r="T650" t="str">
        <f ca="1">VLOOKUP(RANDBETWEEN(1,17),'Auxiliar Vendas'!D:G,2,0)</f>
        <v>Produto 13</v>
      </c>
      <c r="U650">
        <v>500</v>
      </c>
      <c r="V650">
        <v>12.8</v>
      </c>
      <c r="W650">
        <v>0</v>
      </c>
      <c r="X650">
        <v>10.747</v>
      </c>
      <c r="Y650" s="3">
        <v>6400</v>
      </c>
      <c r="Z650">
        <v>109</v>
      </c>
      <c r="AA650" t="s">
        <v>50</v>
      </c>
      <c r="AB650">
        <v>0</v>
      </c>
      <c r="AC650">
        <v>0</v>
      </c>
      <c r="AD650" t="s">
        <v>189</v>
      </c>
      <c r="AH650" s="2">
        <v>44540.633333333331</v>
      </c>
      <c r="AI650">
        <v>0</v>
      </c>
      <c r="AJ650">
        <v>0</v>
      </c>
      <c r="AK650" s="30" t="str">
        <f ca="1">VLOOKUP(T650,'Auxiliar Vendas'!E:F,2,FALSE)</f>
        <v>Produto 13</v>
      </c>
      <c r="AL650" s="31">
        <f ca="1">U650*VLOOKUP(T650,'Auxiliar Vendas'!E:G,3,FALSE)</f>
        <v>700</v>
      </c>
    </row>
    <row r="651" spans="1:38">
      <c r="A651">
        <v>15493515501</v>
      </c>
      <c r="B651">
        <v>195</v>
      </c>
      <c r="D651" s="1">
        <v>44537</v>
      </c>
      <c r="E651">
        <v>15493515488</v>
      </c>
      <c r="F651" t="str">
        <f ca="1">VLOOKUP(RANDBETWEEN(1,20),'DBO Compras'!AA:AC,3,0)</f>
        <v>Comprador 11</v>
      </c>
      <c r="G651" t="s">
        <v>286</v>
      </c>
      <c r="H651" t="s">
        <v>287</v>
      </c>
      <c r="I651" t="s">
        <v>288</v>
      </c>
      <c r="J651" t="s">
        <v>289</v>
      </c>
      <c r="K651">
        <v>92709625</v>
      </c>
      <c r="L651" t="s">
        <v>204</v>
      </c>
      <c r="M651" t="s">
        <v>290</v>
      </c>
      <c r="N651">
        <v>51995483061</v>
      </c>
      <c r="O651">
        <v>0</v>
      </c>
      <c r="P651">
        <v>0</v>
      </c>
      <c r="R651" t="s">
        <v>42</v>
      </c>
      <c r="S651">
        <v>15016049144</v>
      </c>
      <c r="T651" t="str">
        <f ca="1">VLOOKUP(RANDBETWEEN(1,17),'Auxiliar Vendas'!D:G,2,0)</f>
        <v>Produto 13</v>
      </c>
      <c r="U651">
        <v>300</v>
      </c>
      <c r="V651">
        <v>7.3</v>
      </c>
      <c r="W651">
        <v>0</v>
      </c>
      <c r="X651">
        <v>5.8620000000000001</v>
      </c>
      <c r="Y651" s="3">
        <v>2190</v>
      </c>
      <c r="Z651">
        <v>109</v>
      </c>
      <c r="AA651" t="s">
        <v>267</v>
      </c>
      <c r="AB651">
        <v>0</v>
      </c>
      <c r="AC651">
        <v>0</v>
      </c>
      <c r="AD651" t="s">
        <v>189</v>
      </c>
      <c r="AH651" s="2">
        <v>44540.633333333331</v>
      </c>
      <c r="AI651">
        <v>0</v>
      </c>
      <c r="AJ651">
        <v>0</v>
      </c>
      <c r="AK651" s="30" t="str">
        <f ca="1">VLOOKUP(T651,'Auxiliar Vendas'!E:F,2,FALSE)</f>
        <v>Produto 13</v>
      </c>
      <c r="AL651" s="31">
        <f ca="1">U651*VLOOKUP(T651,'Auxiliar Vendas'!E:G,3,FALSE)</f>
        <v>420</v>
      </c>
    </row>
    <row r="652" spans="1:38">
      <c r="A652">
        <v>15493515501</v>
      </c>
      <c r="B652">
        <v>195</v>
      </c>
      <c r="D652" s="1">
        <v>44537</v>
      </c>
      <c r="E652">
        <v>15493515488</v>
      </c>
      <c r="F652" t="str">
        <f ca="1">VLOOKUP(RANDBETWEEN(1,20),'DBO Compras'!AA:AC,3,0)</f>
        <v>Comprador 09</v>
      </c>
      <c r="G652" t="s">
        <v>286</v>
      </c>
      <c r="H652" t="s">
        <v>287</v>
      </c>
      <c r="I652" t="s">
        <v>288</v>
      </c>
      <c r="J652" t="s">
        <v>289</v>
      </c>
      <c r="K652">
        <v>92709625</v>
      </c>
      <c r="L652" t="s">
        <v>204</v>
      </c>
      <c r="M652" t="s">
        <v>290</v>
      </c>
      <c r="N652">
        <v>51995483061</v>
      </c>
      <c r="O652">
        <v>0</v>
      </c>
      <c r="P652">
        <v>0</v>
      </c>
      <c r="R652" t="s">
        <v>42</v>
      </c>
      <c r="S652">
        <v>15016080333</v>
      </c>
      <c r="T652" t="str">
        <f ca="1">VLOOKUP(RANDBETWEEN(1,17),'Auxiliar Vendas'!D:G,2,0)</f>
        <v>Produto 08</v>
      </c>
      <c r="U652">
        <v>100</v>
      </c>
      <c r="V652">
        <v>13.4</v>
      </c>
      <c r="W652">
        <v>0</v>
      </c>
      <c r="X652">
        <v>10.747</v>
      </c>
      <c r="Y652" s="3">
        <v>1340</v>
      </c>
      <c r="Z652">
        <v>109</v>
      </c>
      <c r="AA652" t="s">
        <v>80</v>
      </c>
      <c r="AB652">
        <v>0</v>
      </c>
      <c r="AC652">
        <v>0</v>
      </c>
      <c r="AD652" t="s">
        <v>189</v>
      </c>
      <c r="AH652" s="2">
        <v>44540.633333333331</v>
      </c>
      <c r="AI652">
        <v>0</v>
      </c>
      <c r="AJ652">
        <v>0</v>
      </c>
      <c r="AK652" s="30" t="str">
        <f ca="1">VLOOKUP(T652,'Auxiliar Vendas'!E:F,2,FALSE)</f>
        <v>Produto 08</v>
      </c>
      <c r="AL652" s="31">
        <f ca="1">U652*VLOOKUP(T652,'Auxiliar Vendas'!E:G,3,FALSE)</f>
        <v>110.00000000000001</v>
      </c>
    </row>
    <row r="653" spans="1:38">
      <c r="A653">
        <v>15493515501</v>
      </c>
      <c r="B653">
        <v>195</v>
      </c>
      <c r="D653" s="1">
        <v>44537</v>
      </c>
      <c r="E653">
        <v>15493515488</v>
      </c>
      <c r="F653" t="str">
        <f ca="1">VLOOKUP(RANDBETWEEN(1,20),'DBO Compras'!AA:AC,3,0)</f>
        <v>Comprador 12</v>
      </c>
      <c r="G653" t="s">
        <v>286</v>
      </c>
      <c r="H653" t="s">
        <v>287</v>
      </c>
      <c r="I653" t="s">
        <v>288</v>
      </c>
      <c r="J653" t="s">
        <v>289</v>
      </c>
      <c r="K653">
        <v>92709625</v>
      </c>
      <c r="L653" t="s">
        <v>204</v>
      </c>
      <c r="M653" t="s">
        <v>290</v>
      </c>
      <c r="N653">
        <v>51995483061</v>
      </c>
      <c r="O653">
        <v>0</v>
      </c>
      <c r="P653">
        <v>0</v>
      </c>
      <c r="R653" t="s">
        <v>42</v>
      </c>
      <c r="S653">
        <v>15016093155</v>
      </c>
      <c r="T653" t="str">
        <f ca="1">VLOOKUP(RANDBETWEEN(1,17),'Auxiliar Vendas'!D:G,2,0)</f>
        <v>Produto 08</v>
      </c>
      <c r="U653">
        <v>200</v>
      </c>
      <c r="V653">
        <v>17.3</v>
      </c>
      <c r="W653">
        <v>0</v>
      </c>
      <c r="X653">
        <v>14.4596</v>
      </c>
      <c r="Y653" s="3">
        <v>3460</v>
      </c>
      <c r="Z653">
        <v>109</v>
      </c>
      <c r="AA653" t="s">
        <v>65</v>
      </c>
      <c r="AB653">
        <v>0</v>
      </c>
      <c r="AC653">
        <v>0</v>
      </c>
      <c r="AD653" t="s">
        <v>189</v>
      </c>
      <c r="AH653" s="2">
        <v>44540.633333333331</v>
      </c>
      <c r="AI653">
        <v>0</v>
      </c>
      <c r="AJ653">
        <v>0</v>
      </c>
      <c r="AK653" s="30" t="str">
        <f ca="1">VLOOKUP(T653,'Auxiliar Vendas'!E:F,2,FALSE)</f>
        <v>Produto 08</v>
      </c>
      <c r="AL653" s="31">
        <f ca="1">U653*VLOOKUP(T653,'Auxiliar Vendas'!E:G,3,FALSE)</f>
        <v>220.00000000000003</v>
      </c>
    </row>
    <row r="654" spans="1:38">
      <c r="A654">
        <v>15493515501</v>
      </c>
      <c r="B654">
        <v>195</v>
      </c>
      <c r="D654" s="1">
        <v>44537</v>
      </c>
      <c r="E654">
        <v>15493515488</v>
      </c>
      <c r="F654" t="str">
        <f ca="1">VLOOKUP(RANDBETWEEN(1,20),'DBO Compras'!AA:AC,3,0)</f>
        <v>Comprador 06</v>
      </c>
      <c r="G654" t="s">
        <v>286</v>
      </c>
      <c r="H654" t="s">
        <v>287</v>
      </c>
      <c r="I654" t="s">
        <v>288</v>
      </c>
      <c r="J654" t="s">
        <v>289</v>
      </c>
      <c r="K654">
        <v>92709625</v>
      </c>
      <c r="L654" t="s">
        <v>204</v>
      </c>
      <c r="M654" t="s">
        <v>290</v>
      </c>
      <c r="N654">
        <v>51995483061</v>
      </c>
      <c r="O654">
        <v>0</v>
      </c>
      <c r="P654">
        <v>0</v>
      </c>
      <c r="R654" t="s">
        <v>42</v>
      </c>
      <c r="S654">
        <v>15016087271</v>
      </c>
      <c r="T654" t="str">
        <f ca="1">VLOOKUP(RANDBETWEEN(1,17),'Auxiliar Vendas'!D:G,2,0)</f>
        <v>Produto 04</v>
      </c>
      <c r="U654">
        <v>100</v>
      </c>
      <c r="V654">
        <v>17.3</v>
      </c>
      <c r="W654">
        <v>0</v>
      </c>
      <c r="X654">
        <v>14.4596</v>
      </c>
      <c r="Y654" s="3">
        <v>1730</v>
      </c>
      <c r="Z654">
        <v>109</v>
      </c>
      <c r="AA654" t="s">
        <v>64</v>
      </c>
      <c r="AB654">
        <v>0</v>
      </c>
      <c r="AC654">
        <v>0</v>
      </c>
      <c r="AD654" t="s">
        <v>189</v>
      </c>
      <c r="AH654" s="2">
        <v>44540.633333333331</v>
      </c>
      <c r="AI654">
        <v>0</v>
      </c>
      <c r="AJ654">
        <v>0</v>
      </c>
      <c r="AK654" s="30" t="str">
        <f ca="1">VLOOKUP(T654,'Auxiliar Vendas'!E:F,2,FALSE)</f>
        <v>Produto 04</v>
      </c>
      <c r="AL654" s="31">
        <f ca="1">U654*VLOOKUP(T654,'Auxiliar Vendas'!E:G,3,FALSE)</f>
        <v>60</v>
      </c>
    </row>
    <row r="655" spans="1:38">
      <c r="A655">
        <v>15493515501</v>
      </c>
      <c r="B655">
        <v>195</v>
      </c>
      <c r="D655" s="1">
        <v>44537</v>
      </c>
      <c r="E655">
        <v>15493515488</v>
      </c>
      <c r="F655" t="str">
        <f ca="1">VLOOKUP(RANDBETWEEN(1,20),'DBO Compras'!AA:AC,3,0)</f>
        <v>Comprador 14</v>
      </c>
      <c r="G655" t="s">
        <v>286</v>
      </c>
      <c r="H655" t="s">
        <v>287</v>
      </c>
      <c r="I655" t="s">
        <v>288</v>
      </c>
      <c r="J655" t="s">
        <v>289</v>
      </c>
      <c r="K655">
        <v>92709625</v>
      </c>
      <c r="L655" t="s">
        <v>204</v>
      </c>
      <c r="M655" t="s">
        <v>290</v>
      </c>
      <c r="N655">
        <v>51995483061</v>
      </c>
      <c r="O655">
        <v>0</v>
      </c>
      <c r="P655">
        <v>0</v>
      </c>
      <c r="R655" t="s">
        <v>42</v>
      </c>
      <c r="S655">
        <v>15016099089</v>
      </c>
      <c r="T655" t="str">
        <f ca="1">VLOOKUP(RANDBETWEEN(1,17),'Auxiliar Vendas'!D:G,2,0)</f>
        <v>Produto 13</v>
      </c>
      <c r="U655">
        <v>200</v>
      </c>
      <c r="V655">
        <v>20.3</v>
      </c>
      <c r="W655">
        <v>0</v>
      </c>
      <c r="X655">
        <v>16.804400000000001</v>
      </c>
      <c r="Y655" s="3">
        <v>4060</v>
      </c>
      <c r="Z655">
        <v>109</v>
      </c>
      <c r="AA655" t="s">
        <v>79</v>
      </c>
      <c r="AB655">
        <v>0</v>
      </c>
      <c r="AC655">
        <v>0</v>
      </c>
      <c r="AD655" t="s">
        <v>189</v>
      </c>
      <c r="AH655" s="2">
        <v>44540.633333333331</v>
      </c>
      <c r="AI655">
        <v>0</v>
      </c>
      <c r="AJ655">
        <v>0</v>
      </c>
      <c r="AK655" s="30" t="str">
        <f ca="1">VLOOKUP(T655,'Auxiliar Vendas'!E:F,2,FALSE)</f>
        <v>Produto 13</v>
      </c>
      <c r="AL655" s="31">
        <f ca="1">U655*VLOOKUP(T655,'Auxiliar Vendas'!E:G,3,FALSE)</f>
        <v>280</v>
      </c>
    </row>
    <row r="656" spans="1:38">
      <c r="A656">
        <v>15493515501</v>
      </c>
      <c r="B656">
        <v>195</v>
      </c>
      <c r="D656" s="1">
        <v>44537</v>
      </c>
      <c r="E656">
        <v>15493515488</v>
      </c>
      <c r="F656" t="str">
        <f ca="1">VLOOKUP(RANDBETWEEN(1,20),'DBO Compras'!AA:AC,3,0)</f>
        <v>Comprador 02</v>
      </c>
      <c r="G656" t="s">
        <v>286</v>
      </c>
      <c r="H656" t="s">
        <v>287</v>
      </c>
      <c r="I656" t="s">
        <v>288</v>
      </c>
      <c r="J656" t="s">
        <v>289</v>
      </c>
      <c r="K656">
        <v>92709625</v>
      </c>
      <c r="L656" t="s">
        <v>204</v>
      </c>
      <c r="M656" t="s">
        <v>290</v>
      </c>
      <c r="N656">
        <v>51995483061</v>
      </c>
      <c r="O656">
        <v>0</v>
      </c>
      <c r="P656">
        <v>0</v>
      </c>
      <c r="R656" t="s">
        <v>42</v>
      </c>
      <c r="S656">
        <v>15015511068</v>
      </c>
      <c r="T656" t="str">
        <f ca="1">VLOOKUP(RANDBETWEEN(1,17),'Auxiliar Vendas'!D:G,2,0)</f>
        <v>Produto 11</v>
      </c>
      <c r="U656">
        <v>200</v>
      </c>
      <c r="V656">
        <v>15</v>
      </c>
      <c r="W656">
        <v>9.64</v>
      </c>
      <c r="X656">
        <v>10.23</v>
      </c>
      <c r="Y656" s="3">
        <v>3000</v>
      </c>
      <c r="Z656">
        <v>109</v>
      </c>
      <c r="AA656" t="s">
        <v>53</v>
      </c>
      <c r="AB656">
        <v>0</v>
      </c>
      <c r="AC656">
        <v>0</v>
      </c>
      <c r="AD656" t="s">
        <v>189</v>
      </c>
      <c r="AH656" s="2">
        <v>44540.633333333331</v>
      </c>
      <c r="AI656">
        <v>0</v>
      </c>
      <c r="AJ656">
        <v>0</v>
      </c>
      <c r="AK656" s="30" t="str">
        <f ca="1">VLOOKUP(T656,'Auxiliar Vendas'!E:F,2,FALSE)</f>
        <v>Produto 11</v>
      </c>
      <c r="AL656" s="31">
        <f ca="1">U656*VLOOKUP(T656,'Auxiliar Vendas'!E:G,3,FALSE)</f>
        <v>220.00000000000003</v>
      </c>
    </row>
    <row r="657" spans="1:38">
      <c r="A657">
        <v>15500579450</v>
      </c>
      <c r="B657">
        <v>196</v>
      </c>
      <c r="D657" s="1">
        <v>44538</v>
      </c>
      <c r="E657">
        <v>15058698393</v>
      </c>
      <c r="F657" t="str">
        <f ca="1">VLOOKUP(RANDBETWEEN(1,20),'DBO Compras'!AA:AC,3,0)</f>
        <v>Comprador 01</v>
      </c>
      <c r="G657" t="s">
        <v>67</v>
      </c>
      <c r="H657" t="s">
        <v>68</v>
      </c>
      <c r="I657" t="s">
        <v>69</v>
      </c>
      <c r="J657" t="s">
        <v>70</v>
      </c>
      <c r="K657">
        <v>83320382</v>
      </c>
      <c r="L657" t="s">
        <v>40</v>
      </c>
      <c r="M657" t="s">
        <v>71</v>
      </c>
      <c r="N657">
        <v>41998972354</v>
      </c>
      <c r="O657">
        <v>0</v>
      </c>
      <c r="P657">
        <v>0</v>
      </c>
      <c r="R657" t="s">
        <v>42</v>
      </c>
      <c r="S657">
        <v>15016093155</v>
      </c>
      <c r="T657" t="str">
        <f ca="1">VLOOKUP(RANDBETWEEN(1,17),'Auxiliar Vendas'!D:G,2,0)</f>
        <v>Produto 02</v>
      </c>
      <c r="U657">
        <v>150</v>
      </c>
      <c r="V657">
        <v>16.7</v>
      </c>
      <c r="W657">
        <v>0</v>
      </c>
      <c r="X657">
        <v>14.4596</v>
      </c>
      <c r="Y657" s="3">
        <v>2505</v>
      </c>
      <c r="Z657">
        <v>18</v>
      </c>
      <c r="AA657" t="s">
        <v>65</v>
      </c>
      <c r="AB657">
        <v>0</v>
      </c>
      <c r="AC657">
        <v>0</v>
      </c>
      <c r="AD657" t="s">
        <v>58</v>
      </c>
      <c r="AH657" s="2">
        <v>44538.568749999999</v>
      </c>
      <c r="AI657">
        <v>0</v>
      </c>
      <c r="AJ657">
        <v>0</v>
      </c>
      <c r="AK657" s="30" t="str">
        <f ca="1">VLOOKUP(T657,'Auxiliar Vendas'!E:F,2,FALSE)</f>
        <v>Produto 02</v>
      </c>
      <c r="AL657" s="31">
        <f ca="1">U657*VLOOKUP(T657,'Auxiliar Vendas'!E:G,3,FALSE)</f>
        <v>40.5</v>
      </c>
    </row>
    <row r="658" spans="1:38">
      <c r="A658">
        <v>15500579450</v>
      </c>
      <c r="B658">
        <v>196</v>
      </c>
      <c r="D658" s="1">
        <v>44538</v>
      </c>
      <c r="E658">
        <v>15058698393</v>
      </c>
      <c r="F658" t="str">
        <f ca="1">VLOOKUP(RANDBETWEEN(1,20),'DBO Compras'!AA:AC,3,0)</f>
        <v>Comprador 02</v>
      </c>
      <c r="G658" t="s">
        <v>67</v>
      </c>
      <c r="H658" t="s">
        <v>68</v>
      </c>
      <c r="I658" t="s">
        <v>69</v>
      </c>
      <c r="J658" t="s">
        <v>70</v>
      </c>
      <c r="K658">
        <v>83320382</v>
      </c>
      <c r="L658" t="s">
        <v>40</v>
      </c>
      <c r="M658" t="s">
        <v>71</v>
      </c>
      <c r="N658">
        <v>41998972354</v>
      </c>
      <c r="O658">
        <v>0</v>
      </c>
      <c r="P658">
        <v>0</v>
      </c>
      <c r="R658" t="s">
        <v>42</v>
      </c>
      <c r="S658">
        <v>15016099089</v>
      </c>
      <c r="T658" t="str">
        <f ca="1">VLOOKUP(RANDBETWEEN(1,17),'Auxiliar Vendas'!D:G,2,0)</f>
        <v>Produto 01</v>
      </c>
      <c r="U658">
        <v>200</v>
      </c>
      <c r="V658">
        <v>19.3</v>
      </c>
      <c r="W658">
        <v>0</v>
      </c>
      <c r="X658">
        <v>16.804400000000001</v>
      </c>
      <c r="Y658" s="3">
        <v>3860</v>
      </c>
      <c r="Z658">
        <v>18</v>
      </c>
      <c r="AA658" t="s">
        <v>79</v>
      </c>
      <c r="AB658">
        <v>0</v>
      </c>
      <c r="AC658">
        <v>0</v>
      </c>
      <c r="AD658" t="s">
        <v>58</v>
      </c>
      <c r="AH658" s="2">
        <v>44538.568749999999</v>
      </c>
      <c r="AI658">
        <v>0</v>
      </c>
      <c r="AJ658">
        <v>0</v>
      </c>
      <c r="AK658" s="30" t="str">
        <f ca="1">VLOOKUP(T658,'Auxiliar Vendas'!E:F,2,FALSE)</f>
        <v>Produto 01</v>
      </c>
      <c r="AL658" s="31">
        <f ca="1">U658*VLOOKUP(T658,'Auxiliar Vendas'!E:G,3,FALSE)</f>
        <v>80</v>
      </c>
    </row>
    <row r="659" spans="1:38">
      <c r="A659">
        <v>15500579450</v>
      </c>
      <c r="B659">
        <v>196</v>
      </c>
      <c r="D659" s="1">
        <v>44538</v>
      </c>
      <c r="E659">
        <v>15058698393</v>
      </c>
      <c r="F659" t="str">
        <f ca="1">VLOOKUP(RANDBETWEEN(1,20),'DBO Compras'!AA:AC,3,0)</f>
        <v>Comprador 16</v>
      </c>
      <c r="G659" t="s">
        <v>67</v>
      </c>
      <c r="H659" t="s">
        <v>68</v>
      </c>
      <c r="I659" t="s">
        <v>69</v>
      </c>
      <c r="J659" t="s">
        <v>70</v>
      </c>
      <c r="K659">
        <v>83320382</v>
      </c>
      <c r="L659" t="s">
        <v>40</v>
      </c>
      <c r="M659" t="s">
        <v>71</v>
      </c>
      <c r="N659">
        <v>41998972354</v>
      </c>
      <c r="O659">
        <v>0</v>
      </c>
      <c r="P659">
        <v>0</v>
      </c>
      <c r="R659" t="s">
        <v>42</v>
      </c>
      <c r="S659">
        <v>15015720950</v>
      </c>
      <c r="T659" t="str">
        <f ca="1">VLOOKUP(RANDBETWEEN(1,17),'Auxiliar Vendas'!D:G,2,0)</f>
        <v>Produto 07</v>
      </c>
      <c r="U659">
        <v>100</v>
      </c>
      <c r="V659">
        <v>13.5</v>
      </c>
      <c r="W659">
        <v>11.76</v>
      </c>
      <c r="X659">
        <v>10.23</v>
      </c>
      <c r="Y659" s="3">
        <v>1350</v>
      </c>
      <c r="Z659">
        <v>18</v>
      </c>
      <c r="AA659" t="s">
        <v>127</v>
      </c>
      <c r="AB659">
        <v>0</v>
      </c>
      <c r="AC659">
        <v>0</v>
      </c>
      <c r="AD659" t="s">
        <v>58</v>
      </c>
      <c r="AH659" s="2">
        <v>44538.568749999999</v>
      </c>
      <c r="AI659">
        <v>0</v>
      </c>
      <c r="AJ659">
        <v>0</v>
      </c>
      <c r="AK659" s="30" t="str">
        <f ca="1">VLOOKUP(T659,'Auxiliar Vendas'!E:F,2,FALSE)</f>
        <v>Produto 07</v>
      </c>
      <c r="AL659" s="31">
        <f ca="1">U659*VLOOKUP(T659,'Auxiliar Vendas'!E:G,3,FALSE)</f>
        <v>110.00000000000001</v>
      </c>
    </row>
    <row r="660" spans="1:38">
      <c r="A660">
        <v>15501401513</v>
      </c>
      <c r="B660">
        <v>197</v>
      </c>
      <c r="D660" s="1">
        <v>44538</v>
      </c>
      <c r="E660">
        <v>15501401501</v>
      </c>
      <c r="F660" t="str">
        <f ca="1">VLOOKUP(RANDBETWEEN(1,20),'DBO Compras'!AA:AC,3,0)</f>
        <v>Comprador 03</v>
      </c>
      <c r="G660" t="s">
        <v>292</v>
      </c>
      <c r="H660" t="s">
        <v>293</v>
      </c>
      <c r="I660" t="s">
        <v>294</v>
      </c>
      <c r="J660" t="s">
        <v>295</v>
      </c>
      <c r="K660">
        <v>88508395</v>
      </c>
      <c r="L660" t="s">
        <v>92</v>
      </c>
      <c r="M660" t="s">
        <v>296</v>
      </c>
      <c r="N660">
        <v>49999519233</v>
      </c>
      <c r="O660">
        <v>0</v>
      </c>
      <c r="P660">
        <v>700</v>
      </c>
      <c r="R660" t="s">
        <v>42</v>
      </c>
      <c r="S660">
        <v>15016043939</v>
      </c>
      <c r="T660" t="str">
        <f ca="1">VLOOKUP(RANDBETWEEN(1,17),'Auxiliar Vendas'!D:G,2,0)</f>
        <v>Produto 05</v>
      </c>
      <c r="U660">
        <v>200</v>
      </c>
      <c r="V660">
        <v>12.8</v>
      </c>
      <c r="W660">
        <v>0</v>
      </c>
      <c r="X660">
        <v>10.747</v>
      </c>
      <c r="Y660" s="3">
        <v>2560</v>
      </c>
      <c r="Z660">
        <v>110</v>
      </c>
      <c r="AA660" t="s">
        <v>50</v>
      </c>
      <c r="AB660">
        <v>110.96</v>
      </c>
      <c r="AC660">
        <v>0</v>
      </c>
      <c r="AD660" t="s">
        <v>189</v>
      </c>
      <c r="AH660" s="2">
        <v>44539.724305555559</v>
      </c>
      <c r="AI660">
        <v>0</v>
      </c>
      <c r="AJ660">
        <v>0</v>
      </c>
      <c r="AK660" s="30" t="str">
        <f ca="1">VLOOKUP(T660,'Auxiliar Vendas'!E:F,2,FALSE)</f>
        <v>Produto 05</v>
      </c>
      <c r="AL660" s="31">
        <f ca="1">U660*VLOOKUP(T660,'Auxiliar Vendas'!E:G,3,FALSE)</f>
        <v>120</v>
      </c>
    </row>
    <row r="661" spans="1:38">
      <c r="A661">
        <v>15501401513</v>
      </c>
      <c r="B661">
        <v>197</v>
      </c>
      <c r="D661" s="1">
        <v>44538</v>
      </c>
      <c r="E661">
        <v>15501401501</v>
      </c>
      <c r="F661" t="str">
        <f ca="1">VLOOKUP(RANDBETWEEN(1,20),'DBO Compras'!AA:AC,3,0)</f>
        <v>Comprador 04</v>
      </c>
      <c r="G661" t="s">
        <v>292</v>
      </c>
      <c r="H661" t="s">
        <v>293</v>
      </c>
      <c r="I661" t="s">
        <v>294</v>
      </c>
      <c r="J661" t="s">
        <v>295</v>
      </c>
      <c r="K661">
        <v>88508395</v>
      </c>
      <c r="L661" t="s">
        <v>92</v>
      </c>
      <c r="M661" t="s">
        <v>296</v>
      </c>
      <c r="N661">
        <v>49999519233</v>
      </c>
      <c r="O661">
        <v>0</v>
      </c>
      <c r="P661">
        <v>700</v>
      </c>
      <c r="R661" t="s">
        <v>42</v>
      </c>
      <c r="S661">
        <v>15016080333</v>
      </c>
      <c r="T661" t="str">
        <f ca="1">VLOOKUP(RANDBETWEEN(1,17),'Auxiliar Vendas'!D:G,2,0)</f>
        <v>Produto 13</v>
      </c>
      <c r="U661">
        <v>100</v>
      </c>
      <c r="V661">
        <v>13.4</v>
      </c>
      <c r="W661">
        <v>0</v>
      </c>
      <c r="X661">
        <v>10.747</v>
      </c>
      <c r="Y661" s="3">
        <v>1340</v>
      </c>
      <c r="Z661">
        <v>110</v>
      </c>
      <c r="AA661" t="s">
        <v>80</v>
      </c>
      <c r="AB661">
        <v>58.08</v>
      </c>
      <c r="AC661">
        <v>0</v>
      </c>
      <c r="AD661" t="s">
        <v>189</v>
      </c>
      <c r="AH661" s="2">
        <v>44539.724305555559</v>
      </c>
      <c r="AI661">
        <v>0</v>
      </c>
      <c r="AJ661">
        <v>0</v>
      </c>
      <c r="AK661" s="30" t="str">
        <f ca="1">VLOOKUP(T661,'Auxiliar Vendas'!E:F,2,FALSE)</f>
        <v>Produto 13</v>
      </c>
      <c r="AL661" s="31">
        <f ca="1">U661*VLOOKUP(T661,'Auxiliar Vendas'!E:G,3,FALSE)</f>
        <v>140</v>
      </c>
    </row>
    <row r="662" spans="1:38">
      <c r="A662">
        <v>15501401513</v>
      </c>
      <c r="B662">
        <v>197</v>
      </c>
      <c r="D662" s="1">
        <v>44538</v>
      </c>
      <c r="E662">
        <v>15501401501</v>
      </c>
      <c r="F662" t="str">
        <f ca="1">VLOOKUP(RANDBETWEEN(1,20),'DBO Compras'!AA:AC,3,0)</f>
        <v>Comprador 19</v>
      </c>
      <c r="G662" t="s">
        <v>292</v>
      </c>
      <c r="H662" t="s">
        <v>293</v>
      </c>
      <c r="I662" t="s">
        <v>294</v>
      </c>
      <c r="J662" t="s">
        <v>295</v>
      </c>
      <c r="K662">
        <v>88508395</v>
      </c>
      <c r="L662" t="s">
        <v>92</v>
      </c>
      <c r="M662" t="s">
        <v>296</v>
      </c>
      <c r="N662">
        <v>49999519233</v>
      </c>
      <c r="O662">
        <v>0</v>
      </c>
      <c r="P662">
        <v>700</v>
      </c>
      <c r="R662" t="s">
        <v>42</v>
      </c>
      <c r="S662">
        <v>15016087271</v>
      </c>
      <c r="T662" t="str">
        <f ca="1">VLOOKUP(RANDBETWEEN(1,17),'Auxiliar Vendas'!D:G,2,0)</f>
        <v>Produto 17</v>
      </c>
      <c r="U662">
        <v>150</v>
      </c>
      <c r="V662">
        <v>17.3</v>
      </c>
      <c r="W662">
        <v>0</v>
      </c>
      <c r="X662">
        <v>14.4596</v>
      </c>
      <c r="Y662" s="3">
        <v>2595</v>
      </c>
      <c r="Z662">
        <v>110</v>
      </c>
      <c r="AA662" t="s">
        <v>64</v>
      </c>
      <c r="AB662">
        <v>112.48</v>
      </c>
      <c r="AC662">
        <v>0</v>
      </c>
      <c r="AD662" t="s">
        <v>189</v>
      </c>
      <c r="AH662" s="2">
        <v>44539.724305555559</v>
      </c>
      <c r="AI662">
        <v>0</v>
      </c>
      <c r="AJ662">
        <v>0</v>
      </c>
      <c r="AK662" s="30" t="str">
        <f ca="1">VLOOKUP(T662,'Auxiliar Vendas'!E:F,2,FALSE)</f>
        <v>Produto 17</v>
      </c>
      <c r="AL662" s="31">
        <f ca="1">U662*VLOOKUP(T662,'Auxiliar Vendas'!E:G,3,FALSE)</f>
        <v>213</v>
      </c>
    </row>
    <row r="663" spans="1:38">
      <c r="A663">
        <v>15501401513</v>
      </c>
      <c r="B663">
        <v>197</v>
      </c>
      <c r="D663" s="1">
        <v>44538</v>
      </c>
      <c r="E663">
        <v>15501401501</v>
      </c>
      <c r="F663" t="str">
        <f ca="1">VLOOKUP(RANDBETWEEN(1,20),'DBO Compras'!AA:AC,3,0)</f>
        <v>Comprador 09</v>
      </c>
      <c r="G663" t="s">
        <v>292</v>
      </c>
      <c r="H663" t="s">
        <v>293</v>
      </c>
      <c r="I663" t="s">
        <v>294</v>
      </c>
      <c r="J663" t="s">
        <v>295</v>
      </c>
      <c r="K663">
        <v>88508395</v>
      </c>
      <c r="L663" t="s">
        <v>92</v>
      </c>
      <c r="M663" t="s">
        <v>296</v>
      </c>
      <c r="N663">
        <v>49999519233</v>
      </c>
      <c r="O663">
        <v>0</v>
      </c>
      <c r="P663">
        <v>700</v>
      </c>
      <c r="R663" t="s">
        <v>42</v>
      </c>
      <c r="S663">
        <v>15016093155</v>
      </c>
      <c r="T663" t="str">
        <f ca="1">VLOOKUP(RANDBETWEEN(1,17),'Auxiliar Vendas'!D:G,2,0)</f>
        <v>Produto 03</v>
      </c>
      <c r="U663">
        <v>150</v>
      </c>
      <c r="V663">
        <v>17.3</v>
      </c>
      <c r="W663">
        <v>0</v>
      </c>
      <c r="X663">
        <v>14.4596</v>
      </c>
      <c r="Y663" s="3">
        <v>2595</v>
      </c>
      <c r="Z663">
        <v>110</v>
      </c>
      <c r="AA663" t="s">
        <v>65</v>
      </c>
      <c r="AB663">
        <v>112.48</v>
      </c>
      <c r="AC663">
        <v>0</v>
      </c>
      <c r="AD663" t="s">
        <v>189</v>
      </c>
      <c r="AH663" s="2">
        <v>44539.724305555559</v>
      </c>
      <c r="AI663">
        <v>0</v>
      </c>
      <c r="AJ663">
        <v>0</v>
      </c>
      <c r="AK663" s="30" t="str">
        <f ca="1">VLOOKUP(T663,'Auxiliar Vendas'!E:F,2,FALSE)</f>
        <v>Produto 03</v>
      </c>
      <c r="AL663" s="31">
        <f ca="1">U663*VLOOKUP(T663,'Auxiliar Vendas'!E:G,3,FALSE)</f>
        <v>90</v>
      </c>
    </row>
    <row r="664" spans="1:38">
      <c r="A664">
        <v>15501401513</v>
      </c>
      <c r="B664">
        <v>197</v>
      </c>
      <c r="D664" s="1">
        <v>44538</v>
      </c>
      <c r="E664">
        <v>15501401501</v>
      </c>
      <c r="F664" t="str">
        <f ca="1">VLOOKUP(RANDBETWEEN(1,20),'DBO Compras'!AA:AC,3,0)</f>
        <v>Comprador 20</v>
      </c>
      <c r="G664" t="s">
        <v>292</v>
      </c>
      <c r="H664" t="s">
        <v>293</v>
      </c>
      <c r="I664" t="s">
        <v>294</v>
      </c>
      <c r="J664" t="s">
        <v>295</v>
      </c>
      <c r="K664">
        <v>88508395</v>
      </c>
      <c r="L664" t="s">
        <v>92</v>
      </c>
      <c r="M664" t="s">
        <v>296</v>
      </c>
      <c r="N664">
        <v>49999519233</v>
      </c>
      <c r="O664">
        <v>0</v>
      </c>
      <c r="P664">
        <v>700</v>
      </c>
      <c r="R664" t="s">
        <v>42</v>
      </c>
      <c r="S664">
        <v>15016099089</v>
      </c>
      <c r="T664" t="str">
        <f ca="1">VLOOKUP(RANDBETWEEN(1,17),'Auxiliar Vendas'!D:G,2,0)</f>
        <v>Produto 09</v>
      </c>
      <c r="U664">
        <v>200</v>
      </c>
      <c r="V664">
        <v>20.3</v>
      </c>
      <c r="W664">
        <v>0</v>
      </c>
      <c r="X664">
        <v>16.804400000000001</v>
      </c>
      <c r="Y664" s="3">
        <v>4060</v>
      </c>
      <c r="Z664">
        <v>110</v>
      </c>
      <c r="AA664" t="s">
        <v>79</v>
      </c>
      <c r="AB664">
        <v>175.98</v>
      </c>
      <c r="AC664">
        <v>0</v>
      </c>
      <c r="AD664" t="s">
        <v>189</v>
      </c>
      <c r="AH664" s="2">
        <v>44539.724305555559</v>
      </c>
      <c r="AI664">
        <v>0</v>
      </c>
      <c r="AJ664">
        <v>0</v>
      </c>
      <c r="AK664" s="30" t="str">
        <f ca="1">VLOOKUP(T664,'Auxiliar Vendas'!E:F,2,FALSE)</f>
        <v>Produto 09</v>
      </c>
      <c r="AL664" s="31">
        <f ca="1">U664*VLOOKUP(T664,'Auxiliar Vendas'!E:G,3,FALSE)</f>
        <v>220.00000000000003</v>
      </c>
    </row>
    <row r="665" spans="1:38">
      <c r="A665">
        <v>15501401513</v>
      </c>
      <c r="B665">
        <v>197</v>
      </c>
      <c r="D665" s="1">
        <v>44538</v>
      </c>
      <c r="E665">
        <v>15501401501</v>
      </c>
      <c r="F665" t="str">
        <f ca="1">VLOOKUP(RANDBETWEEN(1,20),'DBO Compras'!AA:AC,3,0)</f>
        <v>Comprador 04</v>
      </c>
      <c r="G665" t="s">
        <v>292</v>
      </c>
      <c r="H665" t="s">
        <v>293</v>
      </c>
      <c r="I665" t="s">
        <v>294</v>
      </c>
      <c r="J665" t="s">
        <v>295</v>
      </c>
      <c r="K665">
        <v>88508395</v>
      </c>
      <c r="L665" t="s">
        <v>92</v>
      </c>
      <c r="M665" t="s">
        <v>296</v>
      </c>
      <c r="N665">
        <v>49999519233</v>
      </c>
      <c r="O665">
        <v>0</v>
      </c>
      <c r="P665">
        <v>700</v>
      </c>
      <c r="R665" t="s">
        <v>42</v>
      </c>
      <c r="S665">
        <v>15015511068</v>
      </c>
      <c r="T665" t="str">
        <f ca="1">VLOOKUP(RANDBETWEEN(1,17),'Auxiliar Vendas'!D:G,2,0)</f>
        <v>Produto 17</v>
      </c>
      <c r="U665">
        <v>200</v>
      </c>
      <c r="V665">
        <v>15</v>
      </c>
      <c r="W665">
        <v>9.64</v>
      </c>
      <c r="X665">
        <v>10.23</v>
      </c>
      <c r="Y665" s="3">
        <v>3000</v>
      </c>
      <c r="Z665">
        <v>110</v>
      </c>
      <c r="AA665" t="s">
        <v>53</v>
      </c>
      <c r="AB665">
        <v>130.03</v>
      </c>
      <c r="AC665">
        <v>0</v>
      </c>
      <c r="AD665" t="s">
        <v>189</v>
      </c>
      <c r="AH665" s="2">
        <v>44539.724305555559</v>
      </c>
      <c r="AI665">
        <v>0</v>
      </c>
      <c r="AJ665">
        <v>0</v>
      </c>
      <c r="AK665" s="30" t="str">
        <f ca="1">VLOOKUP(T665,'Auxiliar Vendas'!E:F,2,FALSE)</f>
        <v>Produto 17</v>
      </c>
      <c r="AL665" s="31">
        <f ca="1">U665*VLOOKUP(T665,'Auxiliar Vendas'!E:G,3,FALSE)</f>
        <v>284</v>
      </c>
    </row>
    <row r="666" spans="1:38">
      <c r="A666">
        <v>15503780912</v>
      </c>
      <c r="B666">
        <v>198</v>
      </c>
      <c r="D666" s="1">
        <v>44538</v>
      </c>
      <c r="E666">
        <v>15020006032</v>
      </c>
      <c r="F666" t="str">
        <f ca="1">VLOOKUP(RANDBETWEEN(1,20),'DBO Compras'!AA:AC,3,0)</f>
        <v>Comprador 08</v>
      </c>
      <c r="G666" t="s">
        <v>36</v>
      </c>
      <c r="H666" t="s">
        <v>37</v>
      </c>
      <c r="I666" t="s">
        <v>38</v>
      </c>
      <c r="J666" t="s">
        <v>39</v>
      </c>
      <c r="K666">
        <v>82960015</v>
      </c>
      <c r="L666" t="s">
        <v>40</v>
      </c>
      <c r="M666" t="s">
        <v>41</v>
      </c>
      <c r="N666">
        <v>41996838559</v>
      </c>
      <c r="O666">
        <v>0</v>
      </c>
      <c r="P666">
        <v>0</v>
      </c>
      <c r="R666" t="s">
        <v>42</v>
      </c>
      <c r="S666">
        <v>15016043939</v>
      </c>
      <c r="T666" t="str">
        <f ca="1">VLOOKUP(RANDBETWEEN(1,17),'Auxiliar Vendas'!D:G,2,0)</f>
        <v>Produto 16</v>
      </c>
      <c r="U666" s="3">
        <v>1000</v>
      </c>
      <c r="V666">
        <v>12.5</v>
      </c>
      <c r="W666">
        <v>0</v>
      </c>
      <c r="X666">
        <v>10.747</v>
      </c>
      <c r="Y666" s="3">
        <v>12500</v>
      </c>
      <c r="Z666">
        <v>16</v>
      </c>
      <c r="AA666" t="s">
        <v>50</v>
      </c>
      <c r="AB666">
        <v>0</v>
      </c>
      <c r="AC666">
        <v>0</v>
      </c>
      <c r="AD666" t="s">
        <v>58</v>
      </c>
      <c r="AH666" s="2">
        <v>44543.379166666666</v>
      </c>
      <c r="AI666">
        <v>0</v>
      </c>
      <c r="AJ666">
        <v>0</v>
      </c>
      <c r="AK666" s="30" t="str">
        <f ca="1">VLOOKUP(T666,'Auxiliar Vendas'!E:F,2,FALSE)</f>
        <v>Produto 16</v>
      </c>
      <c r="AL666" s="31">
        <f ca="1">U666*VLOOKUP(T666,'Auxiliar Vendas'!E:G,3,FALSE)</f>
        <v>1270</v>
      </c>
    </row>
    <row r="667" spans="1:38">
      <c r="A667">
        <v>15520519983</v>
      </c>
      <c r="B667">
        <v>199</v>
      </c>
      <c r="D667" s="1">
        <v>44539</v>
      </c>
      <c r="E667">
        <v>15339582855</v>
      </c>
      <c r="F667" t="str">
        <f ca="1">VLOOKUP(RANDBETWEEN(1,20),'DBO Compras'!AA:AC,3,0)</f>
        <v>Comprador 19</v>
      </c>
      <c r="G667" t="s">
        <v>263</v>
      </c>
      <c r="H667" t="s">
        <v>264</v>
      </c>
      <c r="I667" t="s">
        <v>265</v>
      </c>
      <c r="J667" t="s">
        <v>39</v>
      </c>
      <c r="K667">
        <v>82840020</v>
      </c>
      <c r="L667" t="s">
        <v>40</v>
      </c>
      <c r="M667" t="s">
        <v>266</v>
      </c>
      <c r="N667">
        <v>41995546245</v>
      </c>
      <c r="O667">
        <v>0</v>
      </c>
      <c r="P667">
        <v>0</v>
      </c>
      <c r="R667" t="s">
        <v>42</v>
      </c>
      <c r="S667">
        <v>15016093155</v>
      </c>
      <c r="T667" t="str">
        <f ca="1">VLOOKUP(RANDBETWEEN(1,17),'Auxiliar Vendas'!D:G,2,0)</f>
        <v>Produto 01</v>
      </c>
      <c r="U667" s="3">
        <v>1500</v>
      </c>
      <c r="V667">
        <v>16.399999999999999</v>
      </c>
      <c r="W667">
        <v>0</v>
      </c>
      <c r="X667">
        <v>14.4596</v>
      </c>
      <c r="Y667" s="3">
        <v>24600</v>
      </c>
      <c r="Z667">
        <v>83</v>
      </c>
      <c r="AA667" t="s">
        <v>65</v>
      </c>
      <c r="AB667">
        <v>0</v>
      </c>
      <c r="AC667">
        <v>0</v>
      </c>
      <c r="AD667" t="s">
        <v>58</v>
      </c>
      <c r="AH667" s="2">
        <v>44543.378472222219</v>
      </c>
      <c r="AI667">
        <v>0</v>
      </c>
      <c r="AJ667">
        <v>0</v>
      </c>
      <c r="AK667" s="30" t="str">
        <f ca="1">VLOOKUP(T667,'Auxiliar Vendas'!E:F,2,FALSE)</f>
        <v>Produto 01</v>
      </c>
      <c r="AL667" s="31">
        <f ca="1">U667*VLOOKUP(T667,'Auxiliar Vendas'!E:G,3,FALSE)</f>
        <v>600</v>
      </c>
    </row>
    <row r="668" spans="1:38">
      <c r="A668">
        <v>15520519983</v>
      </c>
      <c r="B668">
        <v>199</v>
      </c>
      <c r="D668" s="1">
        <v>44539</v>
      </c>
      <c r="E668">
        <v>15339582855</v>
      </c>
      <c r="F668" t="str">
        <f ca="1">VLOOKUP(RANDBETWEEN(1,20),'DBO Compras'!AA:AC,3,0)</f>
        <v>Comprador 13</v>
      </c>
      <c r="G668" t="s">
        <v>263</v>
      </c>
      <c r="H668" t="s">
        <v>264</v>
      </c>
      <c r="I668" t="s">
        <v>265</v>
      </c>
      <c r="J668" t="s">
        <v>39</v>
      </c>
      <c r="K668">
        <v>82840020</v>
      </c>
      <c r="L668" t="s">
        <v>40</v>
      </c>
      <c r="M668" t="s">
        <v>266</v>
      </c>
      <c r="N668">
        <v>41995546245</v>
      </c>
      <c r="O668">
        <v>0</v>
      </c>
      <c r="P668">
        <v>0</v>
      </c>
      <c r="R668" t="s">
        <v>42</v>
      </c>
      <c r="S668">
        <v>15016099089</v>
      </c>
      <c r="T668" t="str">
        <f ca="1">VLOOKUP(RANDBETWEEN(1,17),'Auxiliar Vendas'!D:G,2,0)</f>
        <v>Produto 05</v>
      </c>
      <c r="U668" s="3">
        <v>1500</v>
      </c>
      <c r="V668">
        <v>19.25</v>
      </c>
      <c r="W668">
        <v>0</v>
      </c>
      <c r="X668">
        <v>16.804400000000001</v>
      </c>
      <c r="Y668" s="3">
        <v>28875</v>
      </c>
      <c r="Z668">
        <v>83</v>
      </c>
      <c r="AA668" t="s">
        <v>79</v>
      </c>
      <c r="AB668">
        <v>0</v>
      </c>
      <c r="AC668">
        <v>0</v>
      </c>
      <c r="AD668" t="s">
        <v>58</v>
      </c>
      <c r="AH668" s="2">
        <v>44543.378472222219</v>
      </c>
      <c r="AI668">
        <v>0</v>
      </c>
      <c r="AJ668">
        <v>0</v>
      </c>
      <c r="AK668" s="30" t="str">
        <f ca="1">VLOOKUP(T668,'Auxiliar Vendas'!E:F,2,FALSE)</f>
        <v>Produto 05</v>
      </c>
      <c r="AL668" s="31">
        <f ca="1">U668*VLOOKUP(T668,'Auxiliar Vendas'!E:G,3,FALSE)</f>
        <v>900</v>
      </c>
    </row>
    <row r="669" spans="1:38">
      <c r="A669">
        <v>15520519983</v>
      </c>
      <c r="B669">
        <v>199</v>
      </c>
      <c r="D669" s="1">
        <v>44539</v>
      </c>
      <c r="E669">
        <v>15339582855</v>
      </c>
      <c r="F669" t="str">
        <f ca="1">VLOOKUP(RANDBETWEEN(1,20),'DBO Compras'!AA:AC,3,0)</f>
        <v>Comprador 02</v>
      </c>
      <c r="G669" t="s">
        <v>263</v>
      </c>
      <c r="H669" t="s">
        <v>264</v>
      </c>
      <c r="I669" t="s">
        <v>265</v>
      </c>
      <c r="J669" t="s">
        <v>39</v>
      </c>
      <c r="K669">
        <v>82840020</v>
      </c>
      <c r="L669" t="s">
        <v>40</v>
      </c>
      <c r="M669" t="s">
        <v>266</v>
      </c>
      <c r="N669">
        <v>41995546245</v>
      </c>
      <c r="O669">
        <v>0</v>
      </c>
      <c r="P669">
        <v>0</v>
      </c>
      <c r="R669" t="s">
        <v>42</v>
      </c>
      <c r="S669">
        <v>15016043939</v>
      </c>
      <c r="T669" t="str">
        <f ca="1">VLOOKUP(RANDBETWEEN(1,17),'Auxiliar Vendas'!D:G,2,0)</f>
        <v>Produto 06</v>
      </c>
      <c r="U669" s="3">
        <v>3000</v>
      </c>
      <c r="V669">
        <v>12.45</v>
      </c>
      <c r="W669">
        <v>0</v>
      </c>
      <c r="X669">
        <v>10.747</v>
      </c>
      <c r="Y669" s="3">
        <v>37350</v>
      </c>
      <c r="Z669">
        <v>83</v>
      </c>
      <c r="AA669" t="s">
        <v>50</v>
      </c>
      <c r="AB669">
        <v>0</v>
      </c>
      <c r="AC669">
        <v>0</v>
      </c>
      <c r="AD669" t="s">
        <v>58</v>
      </c>
      <c r="AH669" s="2">
        <v>44543.378472222219</v>
      </c>
      <c r="AI669">
        <v>0</v>
      </c>
      <c r="AJ669">
        <v>0</v>
      </c>
      <c r="AK669" s="30" t="str">
        <f ca="1">VLOOKUP(T669,'Auxiliar Vendas'!E:F,2,FALSE)</f>
        <v>Produto 06</v>
      </c>
      <c r="AL669" s="31">
        <f ca="1">U669*VLOOKUP(T669,'Auxiliar Vendas'!E:G,3,FALSE)</f>
        <v>1500</v>
      </c>
    </row>
    <row r="670" spans="1:38">
      <c r="A670">
        <v>15520519983</v>
      </c>
      <c r="B670">
        <v>199</v>
      </c>
      <c r="D670" s="1">
        <v>44539</v>
      </c>
      <c r="E670">
        <v>15339582855</v>
      </c>
      <c r="F670" t="str">
        <f ca="1">VLOOKUP(RANDBETWEEN(1,20),'DBO Compras'!AA:AC,3,0)</f>
        <v>Comprador 16</v>
      </c>
      <c r="G670" t="s">
        <v>263</v>
      </c>
      <c r="H670" t="s">
        <v>264</v>
      </c>
      <c r="I670" t="s">
        <v>265</v>
      </c>
      <c r="J670" t="s">
        <v>39</v>
      </c>
      <c r="K670">
        <v>82840020</v>
      </c>
      <c r="L670" t="s">
        <v>40</v>
      </c>
      <c r="M670" t="s">
        <v>266</v>
      </c>
      <c r="N670">
        <v>41995546245</v>
      </c>
      <c r="O670">
        <v>0</v>
      </c>
      <c r="P670">
        <v>0</v>
      </c>
      <c r="R670" t="s">
        <v>42</v>
      </c>
      <c r="S670">
        <v>15016049144</v>
      </c>
      <c r="T670" t="str">
        <f ca="1">VLOOKUP(RANDBETWEEN(1,17),'Auxiliar Vendas'!D:G,2,0)</f>
        <v>Produto 03</v>
      </c>
      <c r="U670" s="3">
        <v>3000</v>
      </c>
      <c r="V670">
        <v>7.14</v>
      </c>
      <c r="W670">
        <v>0</v>
      </c>
      <c r="X670">
        <v>5.8620000000000001</v>
      </c>
      <c r="Y670" s="3">
        <v>21420</v>
      </c>
      <c r="Z670">
        <v>83</v>
      </c>
      <c r="AA670" t="s">
        <v>267</v>
      </c>
      <c r="AB670">
        <v>0</v>
      </c>
      <c r="AC670">
        <v>0</v>
      </c>
      <c r="AD670" t="s">
        <v>58</v>
      </c>
      <c r="AH670" s="2">
        <v>44543.378472222219</v>
      </c>
      <c r="AI670">
        <v>0</v>
      </c>
      <c r="AJ670">
        <v>0</v>
      </c>
      <c r="AK670" s="30" t="str">
        <f ca="1">VLOOKUP(T670,'Auxiliar Vendas'!E:F,2,FALSE)</f>
        <v>Produto 03</v>
      </c>
      <c r="AL670" s="31">
        <f ca="1">U670*VLOOKUP(T670,'Auxiliar Vendas'!E:G,3,FALSE)</f>
        <v>1800</v>
      </c>
    </row>
    <row r="671" spans="1:38">
      <c r="A671">
        <v>15520519983</v>
      </c>
      <c r="B671">
        <v>199</v>
      </c>
      <c r="D671" s="1">
        <v>44539</v>
      </c>
      <c r="E671">
        <v>15339582855</v>
      </c>
      <c r="F671" t="str">
        <f ca="1">VLOOKUP(RANDBETWEEN(1,20),'DBO Compras'!AA:AC,3,0)</f>
        <v>Comprador 18</v>
      </c>
      <c r="G671" t="s">
        <v>263</v>
      </c>
      <c r="H671" t="s">
        <v>264</v>
      </c>
      <c r="I671" t="s">
        <v>265</v>
      </c>
      <c r="J671" t="s">
        <v>39</v>
      </c>
      <c r="K671">
        <v>82840020</v>
      </c>
      <c r="L671" t="s">
        <v>40</v>
      </c>
      <c r="M671" t="s">
        <v>266</v>
      </c>
      <c r="N671">
        <v>41995546245</v>
      </c>
      <c r="O671">
        <v>0</v>
      </c>
      <c r="P671">
        <v>0</v>
      </c>
      <c r="R671" t="s">
        <v>42</v>
      </c>
      <c r="S671">
        <v>15016087271</v>
      </c>
      <c r="T671" t="str">
        <f ca="1">VLOOKUP(RANDBETWEEN(1,17),'Auxiliar Vendas'!D:G,2,0)</f>
        <v>Produto 15</v>
      </c>
      <c r="U671">
        <v>500</v>
      </c>
      <c r="V671">
        <v>16.64</v>
      </c>
      <c r="W671">
        <v>10.3</v>
      </c>
      <c r="X671">
        <v>14.4596</v>
      </c>
      <c r="Y671" s="3">
        <v>8320</v>
      </c>
      <c r="Z671">
        <v>83</v>
      </c>
      <c r="AA671" t="s">
        <v>64</v>
      </c>
      <c r="AB671">
        <v>0</v>
      </c>
      <c r="AC671">
        <v>0</v>
      </c>
      <c r="AD671" t="s">
        <v>58</v>
      </c>
      <c r="AH671" s="2">
        <v>44543.378472222219</v>
      </c>
      <c r="AI671">
        <v>0</v>
      </c>
      <c r="AJ671">
        <v>0</v>
      </c>
      <c r="AK671" s="30" t="str">
        <f ca="1">VLOOKUP(T671,'Auxiliar Vendas'!E:F,2,FALSE)</f>
        <v>Produto 15</v>
      </c>
      <c r="AL671" s="31">
        <f ca="1">U671*VLOOKUP(T671,'Auxiliar Vendas'!E:G,3,FALSE)</f>
        <v>710</v>
      </c>
    </row>
    <row r="672" spans="1:38">
      <c r="A672">
        <v>15520519983</v>
      </c>
      <c r="B672">
        <v>199</v>
      </c>
      <c r="D672" s="1">
        <v>44539</v>
      </c>
      <c r="E672">
        <v>15339582855</v>
      </c>
      <c r="F672" t="str">
        <f ca="1">VLOOKUP(RANDBETWEEN(1,20),'DBO Compras'!AA:AC,3,0)</f>
        <v>Comprador 03</v>
      </c>
      <c r="G672" t="s">
        <v>263</v>
      </c>
      <c r="H672" t="s">
        <v>264</v>
      </c>
      <c r="I672" t="s">
        <v>265</v>
      </c>
      <c r="J672" t="s">
        <v>39</v>
      </c>
      <c r="K672">
        <v>82840020</v>
      </c>
      <c r="L672" t="s">
        <v>40</v>
      </c>
      <c r="M672" t="s">
        <v>266</v>
      </c>
      <c r="N672">
        <v>41995546245</v>
      </c>
      <c r="O672">
        <v>0</v>
      </c>
      <c r="P672">
        <v>0</v>
      </c>
      <c r="R672" t="s">
        <v>42</v>
      </c>
      <c r="S672">
        <v>15015720950</v>
      </c>
      <c r="T672" t="str">
        <f ca="1">VLOOKUP(RANDBETWEEN(1,17),'Auxiliar Vendas'!D:G,2,0)</f>
        <v>Produto 05</v>
      </c>
      <c r="U672">
        <v>240</v>
      </c>
      <c r="V672">
        <v>13.19</v>
      </c>
      <c r="W672">
        <v>13.79</v>
      </c>
      <c r="X672">
        <v>10.23</v>
      </c>
      <c r="Y672" s="3">
        <v>3165.6</v>
      </c>
      <c r="Z672">
        <v>83</v>
      </c>
      <c r="AA672" t="s">
        <v>127</v>
      </c>
      <c r="AB672">
        <v>0</v>
      </c>
      <c r="AC672">
        <v>0</v>
      </c>
      <c r="AD672" t="s">
        <v>58</v>
      </c>
      <c r="AH672" s="2">
        <v>44543.378472222219</v>
      </c>
      <c r="AI672">
        <v>0</v>
      </c>
      <c r="AJ672">
        <v>0</v>
      </c>
      <c r="AK672" s="30" t="str">
        <f ca="1">VLOOKUP(T672,'Auxiliar Vendas'!E:F,2,FALSE)</f>
        <v>Produto 05</v>
      </c>
      <c r="AL672" s="31">
        <f ca="1">U672*VLOOKUP(T672,'Auxiliar Vendas'!E:G,3,FALSE)</f>
        <v>144</v>
      </c>
    </row>
    <row r="673" spans="1:38">
      <c r="A673">
        <v>15520519983</v>
      </c>
      <c r="B673">
        <v>199</v>
      </c>
      <c r="D673" s="1">
        <v>44539</v>
      </c>
      <c r="E673">
        <v>15339582855</v>
      </c>
      <c r="F673" t="str">
        <f ca="1">VLOOKUP(RANDBETWEEN(1,20),'DBO Compras'!AA:AC,3,0)</f>
        <v>Comprador 16</v>
      </c>
      <c r="G673" t="s">
        <v>263</v>
      </c>
      <c r="H673" t="s">
        <v>264</v>
      </c>
      <c r="I673" t="s">
        <v>265</v>
      </c>
      <c r="J673" t="s">
        <v>39</v>
      </c>
      <c r="K673">
        <v>82840020</v>
      </c>
      <c r="L673" t="s">
        <v>40</v>
      </c>
      <c r="M673" t="s">
        <v>266</v>
      </c>
      <c r="N673">
        <v>41995546245</v>
      </c>
      <c r="O673">
        <v>0</v>
      </c>
      <c r="P673">
        <v>0</v>
      </c>
      <c r="R673" t="s">
        <v>42</v>
      </c>
      <c r="S673">
        <v>15016080333</v>
      </c>
      <c r="T673" t="str">
        <f ca="1">VLOOKUP(RANDBETWEEN(1,17),'Auxiliar Vendas'!D:G,2,0)</f>
        <v>Produto 08</v>
      </c>
      <c r="U673">
        <v>260</v>
      </c>
      <c r="V673">
        <v>13.19</v>
      </c>
      <c r="W673">
        <v>13.79</v>
      </c>
      <c r="X673">
        <v>10.747</v>
      </c>
      <c r="Y673" s="3">
        <v>3429.4</v>
      </c>
      <c r="Z673">
        <v>83</v>
      </c>
      <c r="AA673" t="s">
        <v>80</v>
      </c>
      <c r="AB673">
        <v>0</v>
      </c>
      <c r="AC673">
        <v>0</v>
      </c>
      <c r="AD673" t="s">
        <v>58</v>
      </c>
      <c r="AH673" s="2">
        <v>44543.378472222219</v>
      </c>
      <c r="AI673">
        <v>0</v>
      </c>
      <c r="AJ673">
        <v>0</v>
      </c>
      <c r="AK673" s="30" t="str">
        <f ca="1">VLOOKUP(T673,'Auxiliar Vendas'!E:F,2,FALSE)</f>
        <v>Produto 08</v>
      </c>
      <c r="AL673" s="31">
        <f ca="1">U673*VLOOKUP(T673,'Auxiliar Vendas'!E:G,3,FALSE)</f>
        <v>286</v>
      </c>
    </row>
    <row r="674" spans="1:38">
      <c r="A674">
        <v>15520621134</v>
      </c>
      <c r="B674">
        <v>200</v>
      </c>
      <c r="D674" s="1">
        <v>44539</v>
      </c>
      <c r="E674">
        <v>15520621129</v>
      </c>
      <c r="F674" t="str">
        <f ca="1">VLOOKUP(RANDBETWEEN(1,20),'DBO Compras'!AA:AC,3,0)</f>
        <v>Comprador 16</v>
      </c>
      <c r="G674" t="s">
        <v>297</v>
      </c>
      <c r="H674" t="s">
        <v>298</v>
      </c>
      <c r="I674" t="s">
        <v>69</v>
      </c>
      <c r="J674" t="s">
        <v>299</v>
      </c>
      <c r="K674">
        <v>98900000</v>
      </c>
      <c r="L674" t="s">
        <v>204</v>
      </c>
      <c r="M674" t="s">
        <v>300</v>
      </c>
      <c r="N674">
        <v>55984237563</v>
      </c>
      <c r="O674">
        <v>0</v>
      </c>
      <c r="P674">
        <v>0</v>
      </c>
      <c r="Q674" t="s">
        <v>301</v>
      </c>
      <c r="R674" t="s">
        <v>42</v>
      </c>
      <c r="S674">
        <v>15016099089</v>
      </c>
      <c r="T674" t="str">
        <f ca="1">VLOOKUP(RANDBETWEEN(1,17),'Auxiliar Vendas'!D:G,2,0)</f>
        <v>Produto 10</v>
      </c>
      <c r="U674" s="3">
        <v>2800</v>
      </c>
      <c r="V674">
        <v>26.91</v>
      </c>
      <c r="W674">
        <v>0</v>
      </c>
      <c r="X674">
        <v>16.804400000000001</v>
      </c>
      <c r="Y674" s="3">
        <v>75348</v>
      </c>
      <c r="Z674">
        <v>124</v>
      </c>
      <c r="AA674" t="s">
        <v>79</v>
      </c>
      <c r="AB674">
        <v>0</v>
      </c>
      <c r="AC674">
        <v>0</v>
      </c>
      <c r="AD674" t="s">
        <v>58</v>
      </c>
      <c r="AH674" s="2">
        <v>44567.410416666666</v>
      </c>
      <c r="AI674">
        <v>0</v>
      </c>
      <c r="AJ674">
        <v>0</v>
      </c>
      <c r="AK674" s="30" t="str">
        <f ca="1">VLOOKUP(T674,'Auxiliar Vendas'!E:F,2,FALSE)</f>
        <v>Produto 10</v>
      </c>
      <c r="AL674" s="31">
        <f ca="1">U674*VLOOKUP(T674,'Auxiliar Vendas'!E:G,3,FALSE)</f>
        <v>3080.0000000000005</v>
      </c>
    </row>
    <row r="675" spans="1:38">
      <c r="A675">
        <v>15520621134</v>
      </c>
      <c r="B675">
        <v>200</v>
      </c>
      <c r="D675" s="1">
        <v>44539</v>
      </c>
      <c r="E675">
        <v>15520621129</v>
      </c>
      <c r="F675" t="str">
        <f ca="1">VLOOKUP(RANDBETWEEN(1,20),'DBO Compras'!AA:AC,3,0)</f>
        <v>Comprador 11</v>
      </c>
      <c r="G675" t="s">
        <v>297</v>
      </c>
      <c r="H675" t="s">
        <v>298</v>
      </c>
      <c r="I675" t="s">
        <v>69</v>
      </c>
      <c r="J675" t="s">
        <v>299</v>
      </c>
      <c r="K675">
        <v>98900000</v>
      </c>
      <c r="L675" t="s">
        <v>204</v>
      </c>
      <c r="M675" t="s">
        <v>300</v>
      </c>
      <c r="N675">
        <v>55984237563</v>
      </c>
      <c r="O675">
        <v>0</v>
      </c>
      <c r="P675">
        <v>0</v>
      </c>
      <c r="Q675" t="s">
        <v>301</v>
      </c>
      <c r="R675" t="s">
        <v>42</v>
      </c>
      <c r="S675">
        <v>15015979692</v>
      </c>
      <c r="T675" t="str">
        <f ca="1">VLOOKUP(RANDBETWEEN(1,17),'Auxiliar Vendas'!D:G,2,0)</f>
        <v>Produto 03</v>
      </c>
      <c r="U675" s="3">
        <v>1150</v>
      </c>
      <c r="V675">
        <v>18.09</v>
      </c>
      <c r="W675">
        <v>0</v>
      </c>
      <c r="X675">
        <v>13.763999999999999</v>
      </c>
      <c r="Y675" s="3">
        <v>20803.5</v>
      </c>
      <c r="Z675">
        <v>124</v>
      </c>
      <c r="AA675" t="s">
        <v>303</v>
      </c>
      <c r="AB675">
        <v>0</v>
      </c>
      <c r="AC675">
        <v>0</v>
      </c>
      <c r="AD675" t="s">
        <v>58</v>
      </c>
      <c r="AH675" s="2">
        <v>44567.410416666666</v>
      </c>
      <c r="AI675">
        <v>0</v>
      </c>
      <c r="AJ675">
        <v>0</v>
      </c>
      <c r="AK675" s="30" t="str">
        <f ca="1">VLOOKUP(T675,'Auxiliar Vendas'!E:F,2,FALSE)</f>
        <v>Produto 03</v>
      </c>
      <c r="AL675" s="31">
        <f ca="1">U675*VLOOKUP(T675,'Auxiliar Vendas'!E:G,3,FALSE)</f>
        <v>690</v>
      </c>
    </row>
    <row r="676" spans="1:38">
      <c r="A676">
        <v>15520621134</v>
      </c>
      <c r="B676">
        <v>200</v>
      </c>
      <c r="D676" s="1">
        <v>44539</v>
      </c>
      <c r="E676">
        <v>15520621129</v>
      </c>
      <c r="F676" t="str">
        <f ca="1">VLOOKUP(RANDBETWEEN(1,20),'DBO Compras'!AA:AC,3,0)</f>
        <v>Comprador 04</v>
      </c>
      <c r="G676" t="s">
        <v>297</v>
      </c>
      <c r="H676" t="s">
        <v>298</v>
      </c>
      <c r="I676" t="s">
        <v>69</v>
      </c>
      <c r="J676" t="s">
        <v>299</v>
      </c>
      <c r="K676">
        <v>98900000</v>
      </c>
      <c r="L676" t="s">
        <v>204</v>
      </c>
      <c r="M676" t="s">
        <v>300</v>
      </c>
      <c r="N676">
        <v>55984237563</v>
      </c>
      <c r="O676">
        <v>0</v>
      </c>
      <c r="P676">
        <v>0</v>
      </c>
      <c r="Q676" t="s">
        <v>301</v>
      </c>
      <c r="R676" t="s">
        <v>42</v>
      </c>
      <c r="S676">
        <v>15016049144</v>
      </c>
      <c r="T676" t="str">
        <f ca="1">VLOOKUP(RANDBETWEEN(1,17),'Auxiliar Vendas'!D:G,2,0)</f>
        <v>Produto 03</v>
      </c>
      <c r="U676" s="3">
        <v>1050</v>
      </c>
      <c r="V676">
        <v>7.8</v>
      </c>
      <c r="W676">
        <v>0</v>
      </c>
      <c r="X676">
        <v>5.8620000000000001</v>
      </c>
      <c r="Y676" s="3">
        <v>8190</v>
      </c>
      <c r="Z676">
        <v>124</v>
      </c>
      <c r="AA676" t="s">
        <v>267</v>
      </c>
      <c r="AB676">
        <v>0</v>
      </c>
      <c r="AC676">
        <v>0</v>
      </c>
      <c r="AD676" t="s">
        <v>58</v>
      </c>
      <c r="AH676" s="2">
        <v>44567.410416666666</v>
      </c>
      <c r="AI676">
        <v>0</v>
      </c>
      <c r="AJ676">
        <v>0</v>
      </c>
      <c r="AK676" s="30" t="str">
        <f ca="1">VLOOKUP(T676,'Auxiliar Vendas'!E:F,2,FALSE)</f>
        <v>Produto 03</v>
      </c>
      <c r="AL676" s="31">
        <f ca="1">U676*VLOOKUP(T676,'Auxiliar Vendas'!E:G,3,FALSE)</f>
        <v>630</v>
      </c>
    </row>
    <row r="677" spans="1:38">
      <c r="A677">
        <v>15520864360</v>
      </c>
      <c r="B677">
        <v>201</v>
      </c>
      <c r="D677" s="1">
        <v>44539</v>
      </c>
      <c r="E677">
        <v>15179608501</v>
      </c>
      <c r="F677" t="str">
        <f ca="1">VLOOKUP(RANDBETWEEN(1,20),'DBO Compras'!AA:AC,3,0)</f>
        <v>Comprador 01</v>
      </c>
      <c r="G677" t="s">
        <v>60</v>
      </c>
      <c r="H677" t="s">
        <v>61</v>
      </c>
      <c r="I677" t="s">
        <v>62</v>
      </c>
      <c r="J677" t="s">
        <v>39</v>
      </c>
      <c r="K677">
        <v>82720070</v>
      </c>
      <c r="L677" t="s">
        <v>40</v>
      </c>
      <c r="M677" t="s">
        <v>63</v>
      </c>
      <c r="N677">
        <v>41992354686</v>
      </c>
      <c r="O677">
        <v>0</v>
      </c>
      <c r="P677">
        <v>0</v>
      </c>
      <c r="R677" t="s">
        <v>42</v>
      </c>
      <c r="S677">
        <v>15016049144</v>
      </c>
      <c r="T677" t="str">
        <f ca="1">VLOOKUP(RANDBETWEEN(1,17),'Auxiliar Vendas'!D:G,2,0)</f>
        <v>Produto 04</v>
      </c>
      <c r="U677">
        <v>300</v>
      </c>
      <c r="V677">
        <v>7.5</v>
      </c>
      <c r="W677">
        <v>0</v>
      </c>
      <c r="X677">
        <v>5.8620000000000001</v>
      </c>
      <c r="Y677" s="3">
        <v>2250</v>
      </c>
      <c r="Z677">
        <v>42</v>
      </c>
      <c r="AA677" t="s">
        <v>267</v>
      </c>
      <c r="AB677">
        <v>0</v>
      </c>
      <c r="AC677">
        <v>0</v>
      </c>
      <c r="AD677" t="s">
        <v>58</v>
      </c>
      <c r="AH677" s="2">
        <v>44540.632638888892</v>
      </c>
      <c r="AI677">
        <v>0</v>
      </c>
      <c r="AJ677">
        <v>0</v>
      </c>
      <c r="AK677" s="30" t="str">
        <f ca="1">VLOOKUP(T677,'Auxiliar Vendas'!E:F,2,FALSE)</f>
        <v>Produto 04</v>
      </c>
      <c r="AL677" s="31">
        <f ca="1">U677*VLOOKUP(T677,'Auxiliar Vendas'!E:G,3,FALSE)</f>
        <v>180</v>
      </c>
    </row>
    <row r="678" spans="1:38">
      <c r="A678">
        <v>15520864360</v>
      </c>
      <c r="B678">
        <v>201</v>
      </c>
      <c r="D678" s="1">
        <v>44539</v>
      </c>
      <c r="E678">
        <v>15179608501</v>
      </c>
      <c r="F678" t="str">
        <f ca="1">VLOOKUP(RANDBETWEEN(1,20),'DBO Compras'!AA:AC,3,0)</f>
        <v>Comprador 19</v>
      </c>
      <c r="G678" t="s">
        <v>60</v>
      </c>
      <c r="H678" t="s">
        <v>61</v>
      </c>
      <c r="I678" t="s">
        <v>62</v>
      </c>
      <c r="J678" t="s">
        <v>39</v>
      </c>
      <c r="K678">
        <v>82720070</v>
      </c>
      <c r="L678" t="s">
        <v>40</v>
      </c>
      <c r="M678" t="s">
        <v>63</v>
      </c>
      <c r="N678">
        <v>41992354686</v>
      </c>
      <c r="O678">
        <v>0</v>
      </c>
      <c r="P678">
        <v>0</v>
      </c>
      <c r="R678" t="s">
        <v>42</v>
      </c>
      <c r="S678">
        <v>15015511068</v>
      </c>
      <c r="T678" t="str">
        <f ca="1">VLOOKUP(RANDBETWEEN(1,17),'Auxiliar Vendas'!D:G,2,0)</f>
        <v>Produto 04</v>
      </c>
      <c r="U678">
        <v>300</v>
      </c>
      <c r="V678">
        <v>15.5</v>
      </c>
      <c r="W678">
        <v>6.63</v>
      </c>
      <c r="X678">
        <v>10.23</v>
      </c>
      <c r="Y678" s="3">
        <v>4650</v>
      </c>
      <c r="Z678">
        <v>42</v>
      </c>
      <c r="AA678" t="s">
        <v>53</v>
      </c>
      <c r="AB678">
        <v>0</v>
      </c>
      <c r="AC678">
        <v>0</v>
      </c>
      <c r="AD678" t="s">
        <v>58</v>
      </c>
      <c r="AH678" s="2">
        <v>44540.632638888892</v>
      </c>
      <c r="AI678">
        <v>0</v>
      </c>
      <c r="AJ678">
        <v>0</v>
      </c>
      <c r="AK678" s="30" t="str">
        <f ca="1">VLOOKUP(T678,'Auxiliar Vendas'!E:F,2,FALSE)</f>
        <v>Produto 04</v>
      </c>
      <c r="AL678" s="31">
        <f ca="1">U678*VLOOKUP(T678,'Auxiliar Vendas'!E:G,3,FALSE)</f>
        <v>180</v>
      </c>
    </row>
    <row r="679" spans="1:38">
      <c r="A679">
        <v>15526145752</v>
      </c>
      <c r="B679">
        <v>202</v>
      </c>
      <c r="D679" s="1">
        <v>44540</v>
      </c>
      <c r="E679">
        <v>15339582855</v>
      </c>
      <c r="F679" t="str">
        <f ca="1">VLOOKUP(RANDBETWEEN(1,20),'DBO Compras'!AA:AC,3,0)</f>
        <v>Comprador 05</v>
      </c>
      <c r="G679" t="s">
        <v>263</v>
      </c>
      <c r="H679" t="s">
        <v>264</v>
      </c>
      <c r="I679" t="s">
        <v>265</v>
      </c>
      <c r="J679" t="s">
        <v>39</v>
      </c>
      <c r="K679">
        <v>82840020</v>
      </c>
      <c r="L679" t="s">
        <v>40</v>
      </c>
      <c r="M679" t="s">
        <v>266</v>
      </c>
      <c r="N679">
        <v>41995546245</v>
      </c>
      <c r="O679">
        <v>0</v>
      </c>
      <c r="P679">
        <v>0</v>
      </c>
      <c r="R679" t="s">
        <v>42</v>
      </c>
      <c r="S679">
        <v>15016043939</v>
      </c>
      <c r="T679" t="str">
        <f ca="1">VLOOKUP(RANDBETWEEN(1,17),'Auxiliar Vendas'!D:G,2,0)</f>
        <v>Produto 17</v>
      </c>
      <c r="U679" s="3">
        <v>3000</v>
      </c>
      <c r="V679">
        <v>12.45</v>
      </c>
      <c r="W679">
        <v>0</v>
      </c>
      <c r="X679">
        <v>10.747</v>
      </c>
      <c r="Y679" s="3">
        <v>37350</v>
      </c>
      <c r="Z679">
        <v>83</v>
      </c>
      <c r="AA679" t="s">
        <v>50</v>
      </c>
      <c r="AB679">
        <v>0</v>
      </c>
      <c r="AC679">
        <v>0</v>
      </c>
      <c r="AD679" t="s">
        <v>58</v>
      </c>
      <c r="AH679" s="2">
        <v>44540.631944444445</v>
      </c>
      <c r="AI679">
        <v>0</v>
      </c>
      <c r="AJ679">
        <v>0</v>
      </c>
      <c r="AK679" s="30" t="str">
        <f ca="1">VLOOKUP(T679,'Auxiliar Vendas'!E:F,2,FALSE)</f>
        <v>Produto 17</v>
      </c>
      <c r="AL679" s="31">
        <f ca="1">U679*VLOOKUP(T679,'Auxiliar Vendas'!E:G,3,FALSE)</f>
        <v>4260</v>
      </c>
    </row>
    <row r="680" spans="1:38">
      <c r="A680">
        <v>15526145752</v>
      </c>
      <c r="B680">
        <v>202</v>
      </c>
      <c r="D680" s="1">
        <v>44540</v>
      </c>
      <c r="E680">
        <v>15339582855</v>
      </c>
      <c r="F680" t="str">
        <f ca="1">VLOOKUP(RANDBETWEEN(1,20),'DBO Compras'!AA:AC,3,0)</f>
        <v>Comprador 11</v>
      </c>
      <c r="G680" t="s">
        <v>263</v>
      </c>
      <c r="H680" t="s">
        <v>264</v>
      </c>
      <c r="I680" t="s">
        <v>265</v>
      </c>
      <c r="J680" t="s">
        <v>39</v>
      </c>
      <c r="K680">
        <v>82840020</v>
      </c>
      <c r="L680" t="s">
        <v>40</v>
      </c>
      <c r="M680" t="s">
        <v>266</v>
      </c>
      <c r="N680">
        <v>41995546245</v>
      </c>
      <c r="O680">
        <v>0</v>
      </c>
      <c r="P680">
        <v>0</v>
      </c>
      <c r="R680" t="s">
        <v>42</v>
      </c>
      <c r="S680">
        <v>15016080333</v>
      </c>
      <c r="T680" t="str">
        <f ca="1">VLOOKUP(RANDBETWEEN(1,17),'Auxiliar Vendas'!D:G,2,0)</f>
        <v>Produto 11</v>
      </c>
      <c r="U680">
        <v>240</v>
      </c>
      <c r="V680">
        <v>13.19</v>
      </c>
      <c r="W680">
        <v>0</v>
      </c>
      <c r="X680">
        <v>10.747</v>
      </c>
      <c r="Y680" s="3">
        <v>3165.6</v>
      </c>
      <c r="Z680">
        <v>83</v>
      </c>
      <c r="AA680" t="s">
        <v>80</v>
      </c>
      <c r="AB680">
        <v>0</v>
      </c>
      <c r="AC680">
        <v>0</v>
      </c>
      <c r="AD680" t="s">
        <v>58</v>
      </c>
      <c r="AH680" s="2">
        <v>44540.631944444445</v>
      </c>
      <c r="AI680">
        <v>0</v>
      </c>
      <c r="AJ680">
        <v>0</v>
      </c>
      <c r="AK680" s="30" t="str">
        <f ca="1">VLOOKUP(T680,'Auxiliar Vendas'!E:F,2,FALSE)</f>
        <v>Produto 11</v>
      </c>
      <c r="AL680" s="31">
        <f ca="1">U680*VLOOKUP(T680,'Auxiliar Vendas'!E:G,3,FALSE)</f>
        <v>264</v>
      </c>
    </row>
    <row r="681" spans="1:38">
      <c r="A681">
        <v>15528537276</v>
      </c>
      <c r="B681">
        <v>203</v>
      </c>
      <c r="D681" s="1">
        <v>44540</v>
      </c>
      <c r="E681">
        <v>15179581888</v>
      </c>
      <c r="F681" t="str">
        <f ca="1">VLOOKUP(RANDBETWEEN(1,20),'DBO Compras'!AA:AC,3,0)</f>
        <v>Comprador 11</v>
      </c>
      <c r="G681" t="s">
        <v>54</v>
      </c>
      <c r="H681" t="s">
        <v>55</v>
      </c>
      <c r="I681" t="s">
        <v>56</v>
      </c>
      <c r="J681" t="s">
        <v>39</v>
      </c>
      <c r="K681">
        <v>81350610</v>
      </c>
      <c r="L681" t="s">
        <v>40</v>
      </c>
      <c r="M681" t="s">
        <v>57</v>
      </c>
      <c r="N681">
        <v>41996849234</v>
      </c>
      <c r="O681">
        <v>0</v>
      </c>
      <c r="P681">
        <v>0</v>
      </c>
      <c r="R681" t="s">
        <v>42</v>
      </c>
      <c r="S681">
        <v>15016043939</v>
      </c>
      <c r="T681" t="str">
        <f ca="1">VLOOKUP(RANDBETWEEN(1,17),'Auxiliar Vendas'!D:G,2,0)</f>
        <v>Produto 15</v>
      </c>
      <c r="U681">
        <v>100</v>
      </c>
      <c r="V681">
        <v>12.38</v>
      </c>
      <c r="W681">
        <v>0</v>
      </c>
      <c r="X681">
        <v>10.747</v>
      </c>
      <c r="Y681" s="3">
        <v>1238</v>
      </c>
      <c r="Z681">
        <v>41</v>
      </c>
      <c r="AA681" t="s">
        <v>50</v>
      </c>
      <c r="AB681">
        <v>0</v>
      </c>
      <c r="AC681">
        <v>0</v>
      </c>
      <c r="AD681" t="s">
        <v>58</v>
      </c>
      <c r="AH681" s="2">
        <v>44546.584027777775</v>
      </c>
      <c r="AI681">
        <v>0</v>
      </c>
      <c r="AJ681">
        <v>0</v>
      </c>
      <c r="AK681" s="30" t="str">
        <f ca="1">VLOOKUP(T681,'Auxiliar Vendas'!E:F,2,FALSE)</f>
        <v>Produto 15</v>
      </c>
      <c r="AL681" s="31">
        <f ca="1">U681*VLOOKUP(T681,'Auxiliar Vendas'!E:G,3,FALSE)</f>
        <v>142</v>
      </c>
    </row>
    <row r="682" spans="1:38">
      <c r="A682">
        <v>15528537276</v>
      </c>
      <c r="B682">
        <v>203</v>
      </c>
      <c r="D682" s="1">
        <v>44540</v>
      </c>
      <c r="E682">
        <v>15179581888</v>
      </c>
      <c r="F682" t="str">
        <f ca="1">VLOOKUP(RANDBETWEEN(1,20),'DBO Compras'!AA:AC,3,0)</f>
        <v>Comprador 14</v>
      </c>
      <c r="G682" t="s">
        <v>54</v>
      </c>
      <c r="H682" t="s">
        <v>55</v>
      </c>
      <c r="I682" t="s">
        <v>56</v>
      </c>
      <c r="J682" t="s">
        <v>39</v>
      </c>
      <c r="K682">
        <v>81350610</v>
      </c>
      <c r="L682" t="s">
        <v>40</v>
      </c>
      <c r="M682" t="s">
        <v>57</v>
      </c>
      <c r="N682">
        <v>41996849234</v>
      </c>
      <c r="O682">
        <v>0</v>
      </c>
      <c r="P682">
        <v>0</v>
      </c>
      <c r="R682" t="s">
        <v>42</v>
      </c>
      <c r="S682">
        <v>15016049144</v>
      </c>
      <c r="T682" t="str">
        <f ca="1">VLOOKUP(RANDBETWEEN(1,17),'Auxiliar Vendas'!D:G,2,0)</f>
        <v>Produto 04</v>
      </c>
      <c r="U682">
        <v>100</v>
      </c>
      <c r="V682">
        <v>7.04</v>
      </c>
      <c r="W682">
        <v>0</v>
      </c>
      <c r="X682">
        <v>5.8620000000000001</v>
      </c>
      <c r="Y682">
        <v>704</v>
      </c>
      <c r="Z682">
        <v>41</v>
      </c>
      <c r="AA682" t="s">
        <v>267</v>
      </c>
      <c r="AB682">
        <v>0</v>
      </c>
      <c r="AC682">
        <v>0</v>
      </c>
      <c r="AD682" t="s">
        <v>58</v>
      </c>
      <c r="AH682" s="2">
        <v>44546.584027777775</v>
      </c>
      <c r="AI682">
        <v>0</v>
      </c>
      <c r="AJ682">
        <v>0</v>
      </c>
      <c r="AK682" s="30" t="str">
        <f ca="1">VLOOKUP(T682,'Auxiliar Vendas'!E:F,2,FALSE)</f>
        <v>Produto 04</v>
      </c>
      <c r="AL682" s="31">
        <f ca="1">U682*VLOOKUP(T682,'Auxiliar Vendas'!E:G,3,FALSE)</f>
        <v>60</v>
      </c>
    </row>
    <row r="683" spans="1:38">
      <c r="A683">
        <v>15528537276</v>
      </c>
      <c r="B683">
        <v>203</v>
      </c>
      <c r="D683" s="1">
        <v>44540</v>
      </c>
      <c r="E683">
        <v>15179581888</v>
      </c>
      <c r="F683" t="str">
        <f ca="1">VLOOKUP(RANDBETWEEN(1,20),'DBO Compras'!AA:AC,3,0)</f>
        <v>Comprador 16</v>
      </c>
      <c r="G683" t="s">
        <v>54</v>
      </c>
      <c r="H683" t="s">
        <v>55</v>
      </c>
      <c r="I683" t="s">
        <v>56</v>
      </c>
      <c r="J683" t="s">
        <v>39</v>
      </c>
      <c r="K683">
        <v>81350610</v>
      </c>
      <c r="L683" t="s">
        <v>40</v>
      </c>
      <c r="M683" t="s">
        <v>57</v>
      </c>
      <c r="N683">
        <v>41996849234</v>
      </c>
      <c r="O683">
        <v>0</v>
      </c>
      <c r="P683">
        <v>0</v>
      </c>
      <c r="R683" t="s">
        <v>42</v>
      </c>
      <c r="S683">
        <v>15016093155</v>
      </c>
      <c r="T683" t="str">
        <f ca="1">VLOOKUP(RANDBETWEEN(1,17),'Auxiliar Vendas'!D:G,2,0)</f>
        <v>Produto 02</v>
      </c>
      <c r="U683">
        <v>50</v>
      </c>
      <c r="V683">
        <v>16.5</v>
      </c>
      <c r="W683">
        <v>0</v>
      </c>
      <c r="X683">
        <v>14.4596</v>
      </c>
      <c r="Y683">
        <v>825</v>
      </c>
      <c r="Z683">
        <v>41</v>
      </c>
      <c r="AA683" t="s">
        <v>65</v>
      </c>
      <c r="AB683">
        <v>0</v>
      </c>
      <c r="AC683">
        <v>0</v>
      </c>
      <c r="AD683" t="s">
        <v>58</v>
      </c>
      <c r="AH683" s="2">
        <v>44546.584027777775</v>
      </c>
      <c r="AI683">
        <v>0</v>
      </c>
      <c r="AJ683">
        <v>0</v>
      </c>
      <c r="AK683" s="30" t="str">
        <f ca="1">VLOOKUP(T683,'Auxiliar Vendas'!E:F,2,FALSE)</f>
        <v>Produto 02</v>
      </c>
      <c r="AL683" s="31">
        <f ca="1">U683*VLOOKUP(T683,'Auxiliar Vendas'!E:G,3,FALSE)</f>
        <v>13.5</v>
      </c>
    </row>
    <row r="684" spans="1:38">
      <c r="A684">
        <v>15528537276</v>
      </c>
      <c r="B684">
        <v>203</v>
      </c>
      <c r="D684" s="1">
        <v>44540</v>
      </c>
      <c r="E684">
        <v>15179581888</v>
      </c>
      <c r="F684" t="str">
        <f ca="1">VLOOKUP(RANDBETWEEN(1,20),'DBO Compras'!AA:AC,3,0)</f>
        <v>Comprador 03</v>
      </c>
      <c r="G684" t="s">
        <v>54</v>
      </c>
      <c r="H684" t="s">
        <v>55</v>
      </c>
      <c r="I684" t="s">
        <v>56</v>
      </c>
      <c r="J684" t="s">
        <v>39</v>
      </c>
      <c r="K684">
        <v>81350610</v>
      </c>
      <c r="L684" t="s">
        <v>40</v>
      </c>
      <c r="M684" t="s">
        <v>57</v>
      </c>
      <c r="N684">
        <v>41996849234</v>
      </c>
      <c r="O684">
        <v>0</v>
      </c>
      <c r="P684">
        <v>0</v>
      </c>
      <c r="R684" t="s">
        <v>42</v>
      </c>
      <c r="S684">
        <v>15016080333</v>
      </c>
      <c r="T684" t="str">
        <f ca="1">VLOOKUP(RANDBETWEEN(1,17),'Auxiliar Vendas'!D:G,2,0)</f>
        <v>Produto 12</v>
      </c>
      <c r="U684">
        <v>30</v>
      </c>
      <c r="V684">
        <v>13.4</v>
      </c>
      <c r="W684">
        <v>0</v>
      </c>
      <c r="X684">
        <v>10.747</v>
      </c>
      <c r="Y684">
        <v>402</v>
      </c>
      <c r="Z684">
        <v>41</v>
      </c>
      <c r="AA684" t="s">
        <v>80</v>
      </c>
      <c r="AB684">
        <v>0</v>
      </c>
      <c r="AC684">
        <v>0</v>
      </c>
      <c r="AD684" t="s">
        <v>58</v>
      </c>
      <c r="AH684" s="2">
        <v>44546.584027777775</v>
      </c>
      <c r="AI684">
        <v>0</v>
      </c>
      <c r="AJ684">
        <v>0</v>
      </c>
      <c r="AK684" s="30" t="str">
        <f ca="1">VLOOKUP(T684,'Auxiliar Vendas'!E:F,2,FALSE)</f>
        <v>Produto 12</v>
      </c>
      <c r="AL684" s="31">
        <f ca="1">U684*VLOOKUP(T684,'Auxiliar Vendas'!E:G,3,FALSE)</f>
        <v>42</v>
      </c>
    </row>
    <row r="685" spans="1:38">
      <c r="A685">
        <v>15528537276</v>
      </c>
      <c r="B685">
        <v>203</v>
      </c>
      <c r="D685" s="1">
        <v>44540</v>
      </c>
      <c r="E685">
        <v>15179581888</v>
      </c>
      <c r="F685" t="str">
        <f ca="1">VLOOKUP(RANDBETWEEN(1,20),'DBO Compras'!AA:AC,3,0)</f>
        <v>Comprador 15</v>
      </c>
      <c r="G685" t="s">
        <v>54</v>
      </c>
      <c r="H685" t="s">
        <v>55</v>
      </c>
      <c r="I685" t="s">
        <v>56</v>
      </c>
      <c r="J685" t="s">
        <v>39</v>
      </c>
      <c r="K685">
        <v>81350610</v>
      </c>
      <c r="L685" t="s">
        <v>40</v>
      </c>
      <c r="M685" t="s">
        <v>57</v>
      </c>
      <c r="N685">
        <v>41996849234</v>
      </c>
      <c r="O685">
        <v>0</v>
      </c>
      <c r="P685">
        <v>0</v>
      </c>
      <c r="R685" t="s">
        <v>42</v>
      </c>
      <c r="S685">
        <v>15016099089</v>
      </c>
      <c r="T685" t="str">
        <f ca="1">VLOOKUP(RANDBETWEEN(1,17),'Auxiliar Vendas'!D:G,2,0)</f>
        <v>Produto 06</v>
      </c>
      <c r="U685">
        <v>50</v>
      </c>
      <c r="V685">
        <v>19.25</v>
      </c>
      <c r="W685">
        <v>0</v>
      </c>
      <c r="X685">
        <v>16.804400000000001</v>
      </c>
      <c r="Y685">
        <v>962.5</v>
      </c>
      <c r="Z685">
        <v>41</v>
      </c>
      <c r="AA685" t="s">
        <v>79</v>
      </c>
      <c r="AB685">
        <v>0</v>
      </c>
      <c r="AC685">
        <v>0</v>
      </c>
      <c r="AD685" t="s">
        <v>58</v>
      </c>
      <c r="AH685" s="2">
        <v>44546.584027777775</v>
      </c>
      <c r="AI685">
        <v>0</v>
      </c>
      <c r="AJ685">
        <v>0</v>
      </c>
      <c r="AK685" s="30" t="str">
        <f ca="1">VLOOKUP(T685,'Auxiliar Vendas'!E:F,2,FALSE)</f>
        <v>Produto 06</v>
      </c>
      <c r="AL685" s="31">
        <f ca="1">U685*VLOOKUP(T685,'Auxiliar Vendas'!E:G,3,FALSE)</f>
        <v>25</v>
      </c>
    </row>
    <row r="686" spans="1:38">
      <c r="A686">
        <v>15528537276</v>
      </c>
      <c r="B686">
        <v>203</v>
      </c>
      <c r="D686" s="1">
        <v>44540</v>
      </c>
      <c r="E686">
        <v>15179581888</v>
      </c>
      <c r="F686" t="str">
        <f ca="1">VLOOKUP(RANDBETWEEN(1,20),'DBO Compras'!AA:AC,3,0)</f>
        <v>Comprador 09</v>
      </c>
      <c r="G686" t="s">
        <v>54</v>
      </c>
      <c r="H686" t="s">
        <v>55</v>
      </c>
      <c r="I686" t="s">
        <v>56</v>
      </c>
      <c r="J686" t="s">
        <v>39</v>
      </c>
      <c r="K686">
        <v>81350610</v>
      </c>
      <c r="L686" t="s">
        <v>40</v>
      </c>
      <c r="M686" t="s">
        <v>57</v>
      </c>
      <c r="N686">
        <v>41996849234</v>
      </c>
      <c r="O686">
        <v>0</v>
      </c>
      <c r="P686">
        <v>0</v>
      </c>
      <c r="R686" t="s">
        <v>42</v>
      </c>
      <c r="S686">
        <v>15015511068</v>
      </c>
      <c r="T686" t="str">
        <f ca="1">VLOOKUP(RANDBETWEEN(1,17),'Auxiliar Vendas'!D:G,2,0)</f>
        <v>Produto 11</v>
      </c>
      <c r="U686">
        <v>50</v>
      </c>
      <c r="V686">
        <v>14.9</v>
      </c>
      <c r="W686">
        <v>10.24</v>
      </c>
      <c r="X686">
        <v>10.23</v>
      </c>
      <c r="Y686">
        <v>745</v>
      </c>
      <c r="Z686">
        <v>41</v>
      </c>
      <c r="AA686" t="s">
        <v>53</v>
      </c>
      <c r="AB686">
        <v>0</v>
      </c>
      <c r="AC686">
        <v>0</v>
      </c>
      <c r="AD686" t="s">
        <v>58</v>
      </c>
      <c r="AH686" s="2">
        <v>44546.584027777775</v>
      </c>
      <c r="AI686">
        <v>0</v>
      </c>
      <c r="AJ686">
        <v>0</v>
      </c>
      <c r="AK686" s="30" t="str">
        <f ca="1">VLOOKUP(T686,'Auxiliar Vendas'!E:F,2,FALSE)</f>
        <v>Produto 11</v>
      </c>
      <c r="AL686" s="31">
        <f ca="1">U686*VLOOKUP(T686,'Auxiliar Vendas'!E:G,3,FALSE)</f>
        <v>55.000000000000007</v>
      </c>
    </row>
    <row r="687" spans="1:38">
      <c r="A687">
        <v>15528537276</v>
      </c>
      <c r="B687">
        <v>203</v>
      </c>
      <c r="D687" s="1">
        <v>44540</v>
      </c>
      <c r="E687">
        <v>15179581888</v>
      </c>
      <c r="F687" t="str">
        <f ca="1">VLOOKUP(RANDBETWEEN(1,20),'DBO Compras'!AA:AC,3,0)</f>
        <v>Comprador 01</v>
      </c>
      <c r="G687" t="s">
        <v>54</v>
      </c>
      <c r="H687" t="s">
        <v>55</v>
      </c>
      <c r="I687" t="s">
        <v>56</v>
      </c>
      <c r="J687" t="s">
        <v>39</v>
      </c>
      <c r="K687">
        <v>81350610</v>
      </c>
      <c r="L687" t="s">
        <v>40</v>
      </c>
      <c r="M687" t="s">
        <v>57</v>
      </c>
      <c r="N687">
        <v>41996849234</v>
      </c>
      <c r="O687">
        <v>0</v>
      </c>
      <c r="P687">
        <v>0</v>
      </c>
      <c r="R687" t="s">
        <v>42</v>
      </c>
      <c r="S687">
        <v>15016087271</v>
      </c>
      <c r="T687" t="str">
        <f ca="1">VLOOKUP(RANDBETWEEN(1,17),'Auxiliar Vendas'!D:G,2,0)</f>
        <v>Produto 17</v>
      </c>
      <c r="U687">
        <v>30</v>
      </c>
      <c r="V687">
        <v>16.5</v>
      </c>
      <c r="W687">
        <v>11.05</v>
      </c>
      <c r="X687">
        <v>14.4596</v>
      </c>
      <c r="Y687">
        <v>495</v>
      </c>
      <c r="Z687">
        <v>41</v>
      </c>
      <c r="AA687" t="s">
        <v>64</v>
      </c>
      <c r="AB687">
        <v>0</v>
      </c>
      <c r="AC687">
        <v>0</v>
      </c>
      <c r="AD687" t="s">
        <v>58</v>
      </c>
      <c r="AH687" s="2">
        <v>44546.584027777775</v>
      </c>
      <c r="AI687">
        <v>0</v>
      </c>
      <c r="AJ687">
        <v>0</v>
      </c>
      <c r="AK687" s="30" t="str">
        <f ca="1">VLOOKUP(T687,'Auxiliar Vendas'!E:F,2,FALSE)</f>
        <v>Produto 17</v>
      </c>
      <c r="AL687" s="31">
        <f ca="1">U687*VLOOKUP(T687,'Auxiliar Vendas'!E:G,3,FALSE)</f>
        <v>42.599999999999994</v>
      </c>
    </row>
    <row r="688" spans="1:38">
      <c r="A688">
        <v>15528537276</v>
      </c>
      <c r="B688">
        <v>203</v>
      </c>
      <c r="D688" s="1">
        <v>44540</v>
      </c>
      <c r="E688">
        <v>15179581888</v>
      </c>
      <c r="F688" t="str">
        <f ca="1">VLOOKUP(RANDBETWEEN(1,20),'DBO Compras'!AA:AC,3,0)</f>
        <v>Comprador 12</v>
      </c>
      <c r="G688" t="s">
        <v>54</v>
      </c>
      <c r="H688" t="s">
        <v>55</v>
      </c>
      <c r="I688" t="s">
        <v>56</v>
      </c>
      <c r="J688" t="s">
        <v>39</v>
      </c>
      <c r="K688">
        <v>81350610</v>
      </c>
      <c r="L688" t="s">
        <v>40</v>
      </c>
      <c r="M688" t="s">
        <v>57</v>
      </c>
      <c r="N688">
        <v>41996849234</v>
      </c>
      <c r="O688">
        <v>0</v>
      </c>
      <c r="P688">
        <v>0</v>
      </c>
      <c r="R688" t="s">
        <v>42</v>
      </c>
      <c r="S688">
        <v>15016093155</v>
      </c>
      <c r="T688" t="str">
        <f ca="1">VLOOKUP(RANDBETWEEN(1,17),'Auxiliar Vendas'!D:G,2,0)</f>
        <v>Produto 03</v>
      </c>
      <c r="U688">
        <v>70</v>
      </c>
      <c r="V688">
        <v>9</v>
      </c>
      <c r="W688">
        <v>51.74</v>
      </c>
      <c r="X688">
        <v>14.4596</v>
      </c>
      <c r="Y688">
        <v>630</v>
      </c>
      <c r="Z688">
        <v>41</v>
      </c>
      <c r="AA688" t="s">
        <v>65</v>
      </c>
      <c r="AB688">
        <v>0</v>
      </c>
      <c r="AC688">
        <v>0</v>
      </c>
      <c r="AD688" t="s">
        <v>58</v>
      </c>
      <c r="AH688" s="2">
        <v>44546.584027777775</v>
      </c>
      <c r="AI688">
        <v>0</v>
      </c>
      <c r="AJ688">
        <v>0</v>
      </c>
      <c r="AK688" s="30" t="str">
        <f ca="1">VLOOKUP(T688,'Auxiliar Vendas'!E:F,2,FALSE)</f>
        <v>Produto 03</v>
      </c>
      <c r="AL688" s="31">
        <f ca="1">U688*VLOOKUP(T688,'Auxiliar Vendas'!E:G,3,FALSE)</f>
        <v>42</v>
      </c>
    </row>
    <row r="689" spans="1:38">
      <c r="A689">
        <v>15528537276</v>
      </c>
      <c r="B689">
        <v>203</v>
      </c>
      <c r="D689" s="1">
        <v>44540</v>
      </c>
      <c r="E689">
        <v>15179581888</v>
      </c>
      <c r="F689" t="str">
        <f ca="1">VLOOKUP(RANDBETWEEN(1,20),'DBO Compras'!AA:AC,3,0)</f>
        <v>Comprador 04</v>
      </c>
      <c r="G689" t="s">
        <v>54</v>
      </c>
      <c r="H689" t="s">
        <v>55</v>
      </c>
      <c r="I689" t="s">
        <v>56</v>
      </c>
      <c r="J689" t="s">
        <v>39</v>
      </c>
      <c r="K689">
        <v>81350610</v>
      </c>
      <c r="L689" t="s">
        <v>40</v>
      </c>
      <c r="M689" t="s">
        <v>57</v>
      </c>
      <c r="N689">
        <v>41996849234</v>
      </c>
      <c r="O689">
        <v>0</v>
      </c>
      <c r="P689">
        <v>0</v>
      </c>
      <c r="R689" t="s">
        <v>42</v>
      </c>
      <c r="S689">
        <v>15016043939</v>
      </c>
      <c r="T689" t="str">
        <f ca="1">VLOOKUP(RANDBETWEEN(1,17),'Auxiliar Vendas'!D:G,2,0)</f>
        <v>Produto 12</v>
      </c>
      <c r="U689">
        <v>80</v>
      </c>
      <c r="V689">
        <v>7</v>
      </c>
      <c r="W689">
        <v>50.35</v>
      </c>
      <c r="X689">
        <v>10.747</v>
      </c>
      <c r="Y689">
        <v>560</v>
      </c>
      <c r="Z689">
        <v>41</v>
      </c>
      <c r="AA689" t="s">
        <v>50</v>
      </c>
      <c r="AB689">
        <v>0</v>
      </c>
      <c r="AC689">
        <v>0</v>
      </c>
      <c r="AD689" t="s">
        <v>58</v>
      </c>
      <c r="AH689" s="2">
        <v>44546.584027777775</v>
      </c>
      <c r="AI689">
        <v>0</v>
      </c>
      <c r="AJ689">
        <v>0</v>
      </c>
      <c r="AK689" s="30" t="str">
        <f ca="1">VLOOKUP(T689,'Auxiliar Vendas'!E:F,2,FALSE)</f>
        <v>Produto 12</v>
      </c>
      <c r="AL689" s="31">
        <f ca="1">U689*VLOOKUP(T689,'Auxiliar Vendas'!E:G,3,FALSE)</f>
        <v>112</v>
      </c>
    </row>
    <row r="690" spans="1:38">
      <c r="A690">
        <v>15528537276</v>
      </c>
      <c r="B690">
        <v>203</v>
      </c>
      <c r="D690" s="1">
        <v>44540</v>
      </c>
      <c r="E690">
        <v>15179581888</v>
      </c>
      <c r="F690" t="str">
        <f ca="1">VLOOKUP(RANDBETWEEN(1,20),'DBO Compras'!AA:AC,3,0)</f>
        <v>Comprador 12</v>
      </c>
      <c r="G690" t="s">
        <v>54</v>
      </c>
      <c r="H690" t="s">
        <v>55</v>
      </c>
      <c r="I690" t="s">
        <v>56</v>
      </c>
      <c r="J690" t="s">
        <v>39</v>
      </c>
      <c r="K690">
        <v>81350610</v>
      </c>
      <c r="L690" t="s">
        <v>40</v>
      </c>
      <c r="M690" t="s">
        <v>57</v>
      </c>
      <c r="N690">
        <v>41996849234</v>
      </c>
      <c r="O690">
        <v>0</v>
      </c>
      <c r="P690">
        <v>0</v>
      </c>
      <c r="R690" t="s">
        <v>42</v>
      </c>
      <c r="S690">
        <v>15016087271</v>
      </c>
      <c r="T690" t="str">
        <f ca="1">VLOOKUP(RANDBETWEEN(1,17),'Auxiliar Vendas'!D:G,2,0)</f>
        <v>Produto 07</v>
      </c>
      <c r="U690">
        <v>50</v>
      </c>
      <c r="V690">
        <v>9</v>
      </c>
      <c r="W690">
        <v>51.48</v>
      </c>
      <c r="X690">
        <v>14.4596</v>
      </c>
      <c r="Y690">
        <v>450</v>
      </c>
      <c r="Z690">
        <v>41</v>
      </c>
      <c r="AA690" t="s">
        <v>64</v>
      </c>
      <c r="AB690">
        <v>0</v>
      </c>
      <c r="AC690">
        <v>0</v>
      </c>
      <c r="AD690" t="s">
        <v>58</v>
      </c>
      <c r="AH690" s="2">
        <v>44546.584027777775</v>
      </c>
      <c r="AI690">
        <v>0</v>
      </c>
      <c r="AJ690">
        <v>0</v>
      </c>
      <c r="AK690" s="30" t="str">
        <f ca="1">VLOOKUP(T690,'Auxiliar Vendas'!E:F,2,FALSE)</f>
        <v>Produto 07</v>
      </c>
      <c r="AL690" s="31">
        <f ca="1">U690*VLOOKUP(T690,'Auxiliar Vendas'!E:G,3,FALSE)</f>
        <v>55.000000000000007</v>
      </c>
    </row>
    <row r="691" spans="1:38">
      <c r="A691">
        <v>15528537276</v>
      </c>
      <c r="B691">
        <v>203</v>
      </c>
      <c r="D691" s="1">
        <v>44540</v>
      </c>
      <c r="E691">
        <v>15179581888</v>
      </c>
      <c r="F691" t="str">
        <f ca="1">VLOOKUP(RANDBETWEEN(1,20),'DBO Compras'!AA:AC,3,0)</f>
        <v>Comprador 01</v>
      </c>
      <c r="G691" t="s">
        <v>54</v>
      </c>
      <c r="H691" t="s">
        <v>55</v>
      </c>
      <c r="I691" t="s">
        <v>56</v>
      </c>
      <c r="J691" t="s">
        <v>39</v>
      </c>
      <c r="K691">
        <v>81350610</v>
      </c>
      <c r="L691" t="s">
        <v>40</v>
      </c>
      <c r="M691" t="s">
        <v>57</v>
      </c>
      <c r="N691">
        <v>41996849234</v>
      </c>
      <c r="O691">
        <v>0</v>
      </c>
      <c r="P691">
        <v>0</v>
      </c>
      <c r="R691" t="s">
        <v>42</v>
      </c>
      <c r="S691">
        <v>15016080333</v>
      </c>
      <c r="T691" t="str">
        <f ca="1">VLOOKUP(RANDBETWEEN(1,17),'Auxiliar Vendas'!D:G,2,0)</f>
        <v>Produto 15</v>
      </c>
      <c r="U691">
        <v>100</v>
      </c>
      <c r="V691">
        <v>7.5</v>
      </c>
      <c r="W691">
        <v>50.98</v>
      </c>
      <c r="X691">
        <v>10.747</v>
      </c>
      <c r="Y691">
        <v>750</v>
      </c>
      <c r="Z691">
        <v>41</v>
      </c>
      <c r="AA691" t="s">
        <v>80</v>
      </c>
      <c r="AB691">
        <v>0</v>
      </c>
      <c r="AC691">
        <v>0</v>
      </c>
      <c r="AD691" t="s">
        <v>58</v>
      </c>
      <c r="AH691" s="2">
        <v>44546.584027777775</v>
      </c>
      <c r="AI691">
        <v>0</v>
      </c>
      <c r="AJ691">
        <v>0</v>
      </c>
      <c r="AK691" s="30" t="str">
        <f ca="1">VLOOKUP(T691,'Auxiliar Vendas'!E:F,2,FALSE)</f>
        <v>Produto 15</v>
      </c>
      <c r="AL691" s="31">
        <f ca="1">U691*VLOOKUP(T691,'Auxiliar Vendas'!E:G,3,FALSE)</f>
        <v>142</v>
      </c>
    </row>
    <row r="692" spans="1:38">
      <c r="A692">
        <v>15528537276</v>
      </c>
      <c r="B692">
        <v>203</v>
      </c>
      <c r="D692" s="1">
        <v>44540</v>
      </c>
      <c r="E692">
        <v>15179581888</v>
      </c>
      <c r="F692" t="str">
        <f ca="1">VLOOKUP(RANDBETWEEN(1,20),'DBO Compras'!AA:AC,3,0)</f>
        <v>Comprador 01</v>
      </c>
      <c r="G692" t="s">
        <v>54</v>
      </c>
      <c r="H692" t="s">
        <v>55</v>
      </c>
      <c r="I692" t="s">
        <v>56</v>
      </c>
      <c r="J692" t="s">
        <v>39</v>
      </c>
      <c r="K692">
        <v>81350610</v>
      </c>
      <c r="L692" t="s">
        <v>40</v>
      </c>
      <c r="M692" t="s">
        <v>57</v>
      </c>
      <c r="N692">
        <v>41996849234</v>
      </c>
      <c r="O692">
        <v>0</v>
      </c>
      <c r="P692">
        <v>0</v>
      </c>
      <c r="R692" t="s">
        <v>42</v>
      </c>
      <c r="S692">
        <v>15016099089</v>
      </c>
      <c r="T692" t="str">
        <f ca="1">VLOOKUP(RANDBETWEEN(1,17),'Auxiliar Vendas'!D:G,2,0)</f>
        <v>Produto 06</v>
      </c>
      <c r="U692">
        <v>10</v>
      </c>
      <c r="V692">
        <v>11</v>
      </c>
      <c r="W692">
        <v>49.19</v>
      </c>
      <c r="X692">
        <v>16.804400000000001</v>
      </c>
      <c r="Y692">
        <v>110</v>
      </c>
      <c r="Z692">
        <v>41</v>
      </c>
      <c r="AA692" t="s">
        <v>79</v>
      </c>
      <c r="AB692">
        <v>0</v>
      </c>
      <c r="AC692">
        <v>0</v>
      </c>
      <c r="AD692" t="s">
        <v>58</v>
      </c>
      <c r="AH692" s="2">
        <v>44546.584027777775</v>
      </c>
      <c r="AI692">
        <v>0</v>
      </c>
      <c r="AJ692">
        <v>0</v>
      </c>
      <c r="AK692" s="30" t="str">
        <f ca="1">VLOOKUP(T692,'Auxiliar Vendas'!E:F,2,FALSE)</f>
        <v>Produto 06</v>
      </c>
      <c r="AL692" s="31">
        <f ca="1">U692*VLOOKUP(T692,'Auxiliar Vendas'!E:G,3,FALSE)</f>
        <v>5</v>
      </c>
    </row>
    <row r="693" spans="1:38">
      <c r="A693">
        <v>15550772437</v>
      </c>
      <c r="B693">
        <v>205</v>
      </c>
      <c r="D693" s="1">
        <v>44543</v>
      </c>
      <c r="E693">
        <v>15291803674</v>
      </c>
      <c r="F693" t="str">
        <f ca="1">VLOOKUP(RANDBETWEEN(1,20),'DBO Compras'!AA:AC,3,0)</f>
        <v>Comprador 03</v>
      </c>
      <c r="G693" t="s">
        <v>88</v>
      </c>
      <c r="H693" t="s">
        <v>89</v>
      </c>
      <c r="I693" t="s">
        <v>90</v>
      </c>
      <c r="J693" t="s">
        <v>91</v>
      </c>
      <c r="K693">
        <v>88337440</v>
      </c>
      <c r="L693" t="s">
        <v>92</v>
      </c>
      <c r="M693" t="s">
        <v>93</v>
      </c>
      <c r="N693">
        <v>47996529345</v>
      </c>
      <c r="O693">
        <v>0</v>
      </c>
      <c r="P693">
        <v>0</v>
      </c>
      <c r="R693" t="s">
        <v>42</v>
      </c>
      <c r="S693">
        <v>15016043939</v>
      </c>
      <c r="T693" t="str">
        <f ca="1">VLOOKUP(RANDBETWEEN(1,17),'Auxiliar Vendas'!D:G,2,0)</f>
        <v>Produto 14</v>
      </c>
      <c r="U693" s="3">
        <v>5000</v>
      </c>
      <c r="V693">
        <v>12.4</v>
      </c>
      <c r="W693">
        <v>0</v>
      </c>
      <c r="X693">
        <v>10.747</v>
      </c>
      <c r="Y693" s="3">
        <v>62000</v>
      </c>
      <c r="Z693">
        <v>73</v>
      </c>
      <c r="AA693" t="s">
        <v>50</v>
      </c>
      <c r="AB693">
        <v>0</v>
      </c>
      <c r="AC693">
        <v>0</v>
      </c>
      <c r="AD693" t="s">
        <v>58</v>
      </c>
      <c r="AH693" s="2">
        <v>44547.704861111109</v>
      </c>
      <c r="AI693">
        <v>0</v>
      </c>
      <c r="AJ693">
        <v>0</v>
      </c>
      <c r="AK693" s="30" t="str">
        <f ca="1">VLOOKUP(T693,'Auxiliar Vendas'!E:F,2,FALSE)</f>
        <v>Produto 14</v>
      </c>
      <c r="AL693" s="31">
        <f ca="1">U693*VLOOKUP(T693,'Auxiliar Vendas'!E:G,3,FALSE)</f>
        <v>7000</v>
      </c>
    </row>
    <row r="694" spans="1:38">
      <c r="A694">
        <v>15550772437</v>
      </c>
      <c r="B694">
        <v>205</v>
      </c>
      <c r="D694" s="1">
        <v>44543</v>
      </c>
      <c r="E694">
        <v>15291803674</v>
      </c>
      <c r="F694" t="str">
        <f ca="1">VLOOKUP(RANDBETWEEN(1,20),'DBO Compras'!AA:AC,3,0)</f>
        <v>Comprador 05</v>
      </c>
      <c r="G694" t="s">
        <v>88</v>
      </c>
      <c r="H694" t="s">
        <v>89</v>
      </c>
      <c r="I694" t="s">
        <v>90</v>
      </c>
      <c r="J694" t="s">
        <v>91</v>
      </c>
      <c r="K694">
        <v>88337440</v>
      </c>
      <c r="L694" t="s">
        <v>92</v>
      </c>
      <c r="M694" t="s">
        <v>93</v>
      </c>
      <c r="N694">
        <v>47996529345</v>
      </c>
      <c r="O694">
        <v>0</v>
      </c>
      <c r="P694">
        <v>0</v>
      </c>
      <c r="R694" t="s">
        <v>42</v>
      </c>
      <c r="S694">
        <v>15016093155</v>
      </c>
      <c r="T694" t="str">
        <f ca="1">VLOOKUP(RANDBETWEEN(1,17),'Auxiliar Vendas'!D:G,2,0)</f>
        <v>Produto 06</v>
      </c>
      <c r="U694" s="3">
        <v>1500</v>
      </c>
      <c r="V694">
        <v>16.61</v>
      </c>
      <c r="W694">
        <v>0</v>
      </c>
      <c r="X694">
        <v>14.4596</v>
      </c>
      <c r="Y694" s="3">
        <v>24915</v>
      </c>
      <c r="Z694">
        <v>73</v>
      </c>
      <c r="AA694" t="s">
        <v>65</v>
      </c>
      <c r="AB694">
        <v>0</v>
      </c>
      <c r="AC694">
        <v>0</v>
      </c>
      <c r="AD694" t="s">
        <v>58</v>
      </c>
      <c r="AH694" s="2">
        <v>44547.704861111109</v>
      </c>
      <c r="AI694">
        <v>0</v>
      </c>
      <c r="AJ694">
        <v>0</v>
      </c>
      <c r="AK694" s="30" t="str">
        <f ca="1">VLOOKUP(T694,'Auxiliar Vendas'!E:F,2,FALSE)</f>
        <v>Produto 06</v>
      </c>
      <c r="AL694" s="31">
        <f ca="1">U694*VLOOKUP(T694,'Auxiliar Vendas'!E:G,3,FALSE)</f>
        <v>750</v>
      </c>
    </row>
    <row r="695" spans="1:38">
      <c r="A695">
        <v>15550772437</v>
      </c>
      <c r="B695">
        <v>205</v>
      </c>
      <c r="D695" s="1">
        <v>44543</v>
      </c>
      <c r="E695">
        <v>15291803674</v>
      </c>
      <c r="F695" t="str">
        <f ca="1">VLOOKUP(RANDBETWEEN(1,20),'DBO Compras'!AA:AC,3,0)</f>
        <v>Comprador 16</v>
      </c>
      <c r="G695" t="s">
        <v>88</v>
      </c>
      <c r="H695" t="s">
        <v>89</v>
      </c>
      <c r="I695" t="s">
        <v>90</v>
      </c>
      <c r="J695" t="s">
        <v>91</v>
      </c>
      <c r="K695">
        <v>88337440</v>
      </c>
      <c r="L695" t="s">
        <v>92</v>
      </c>
      <c r="M695" t="s">
        <v>93</v>
      </c>
      <c r="N695">
        <v>47996529345</v>
      </c>
      <c r="O695">
        <v>0</v>
      </c>
      <c r="P695">
        <v>0</v>
      </c>
      <c r="R695" t="s">
        <v>42</v>
      </c>
      <c r="S695">
        <v>15016049144</v>
      </c>
      <c r="T695" t="str">
        <f ca="1">VLOOKUP(RANDBETWEEN(1,17),'Auxiliar Vendas'!D:G,2,0)</f>
        <v>Produto 04</v>
      </c>
      <c r="U695" s="3">
        <v>2000</v>
      </c>
      <c r="V695">
        <v>7.14</v>
      </c>
      <c r="W695">
        <v>0</v>
      </c>
      <c r="X695">
        <v>5.8620000000000001</v>
      </c>
      <c r="Y695" s="3">
        <v>14280</v>
      </c>
      <c r="Z695">
        <v>73</v>
      </c>
      <c r="AA695" t="s">
        <v>267</v>
      </c>
      <c r="AB695">
        <v>0</v>
      </c>
      <c r="AC695">
        <v>0</v>
      </c>
      <c r="AD695" t="s">
        <v>58</v>
      </c>
      <c r="AH695" s="2">
        <v>44547.704861111109</v>
      </c>
      <c r="AI695">
        <v>0</v>
      </c>
      <c r="AJ695">
        <v>0</v>
      </c>
      <c r="AK695" s="30" t="str">
        <f ca="1">VLOOKUP(T695,'Auxiliar Vendas'!E:F,2,FALSE)</f>
        <v>Produto 04</v>
      </c>
      <c r="AL695" s="31">
        <f ca="1">U695*VLOOKUP(T695,'Auxiliar Vendas'!E:G,3,FALSE)</f>
        <v>1200</v>
      </c>
    </row>
    <row r="696" spans="1:38">
      <c r="A696">
        <v>15550772437</v>
      </c>
      <c r="B696">
        <v>205</v>
      </c>
      <c r="D696" s="1">
        <v>44543</v>
      </c>
      <c r="E696">
        <v>15291803674</v>
      </c>
      <c r="F696" t="str">
        <f ca="1">VLOOKUP(RANDBETWEEN(1,20),'DBO Compras'!AA:AC,3,0)</f>
        <v>Comprador 09</v>
      </c>
      <c r="G696" t="s">
        <v>88</v>
      </c>
      <c r="H696" t="s">
        <v>89</v>
      </c>
      <c r="I696" t="s">
        <v>90</v>
      </c>
      <c r="J696" t="s">
        <v>91</v>
      </c>
      <c r="K696">
        <v>88337440</v>
      </c>
      <c r="L696" t="s">
        <v>92</v>
      </c>
      <c r="M696" t="s">
        <v>93</v>
      </c>
      <c r="N696">
        <v>47996529345</v>
      </c>
      <c r="O696">
        <v>0</v>
      </c>
      <c r="P696">
        <v>0</v>
      </c>
      <c r="R696" t="s">
        <v>42</v>
      </c>
      <c r="S696">
        <v>15016080333</v>
      </c>
      <c r="T696" t="str">
        <f ca="1">VLOOKUP(RANDBETWEEN(1,17),'Auxiliar Vendas'!D:G,2,0)</f>
        <v>Produto 03</v>
      </c>
      <c r="U696">
        <v>600</v>
      </c>
      <c r="V696">
        <v>13.45</v>
      </c>
      <c r="W696">
        <v>0</v>
      </c>
      <c r="X696">
        <v>10.747</v>
      </c>
      <c r="Y696" s="3">
        <v>8070</v>
      </c>
      <c r="Z696">
        <v>73</v>
      </c>
      <c r="AA696" t="s">
        <v>80</v>
      </c>
      <c r="AB696">
        <v>0</v>
      </c>
      <c r="AC696">
        <v>0</v>
      </c>
      <c r="AD696" t="s">
        <v>58</v>
      </c>
      <c r="AH696" s="2">
        <v>44547.704861111109</v>
      </c>
      <c r="AI696">
        <v>0</v>
      </c>
      <c r="AJ696">
        <v>0</v>
      </c>
      <c r="AK696" s="30" t="str">
        <f ca="1">VLOOKUP(T696,'Auxiliar Vendas'!E:F,2,FALSE)</f>
        <v>Produto 03</v>
      </c>
      <c r="AL696" s="31">
        <f ca="1">U696*VLOOKUP(T696,'Auxiliar Vendas'!E:G,3,FALSE)</f>
        <v>360</v>
      </c>
    </row>
    <row r="697" spans="1:38">
      <c r="A697">
        <v>15550772437</v>
      </c>
      <c r="B697">
        <v>205</v>
      </c>
      <c r="D697" s="1">
        <v>44543</v>
      </c>
      <c r="E697">
        <v>15291803674</v>
      </c>
      <c r="F697" t="str">
        <f ca="1">VLOOKUP(RANDBETWEEN(1,20),'DBO Compras'!AA:AC,3,0)</f>
        <v>Comprador 01</v>
      </c>
      <c r="G697" t="s">
        <v>88</v>
      </c>
      <c r="H697" t="s">
        <v>89</v>
      </c>
      <c r="I697" t="s">
        <v>90</v>
      </c>
      <c r="J697" t="s">
        <v>91</v>
      </c>
      <c r="K697">
        <v>88337440</v>
      </c>
      <c r="L697" t="s">
        <v>92</v>
      </c>
      <c r="M697" t="s">
        <v>93</v>
      </c>
      <c r="N697">
        <v>47996529345</v>
      </c>
      <c r="O697">
        <v>0</v>
      </c>
      <c r="P697">
        <v>0</v>
      </c>
      <c r="R697" t="s">
        <v>42</v>
      </c>
      <c r="S697">
        <v>15016087271</v>
      </c>
      <c r="T697" t="str">
        <f ca="1">VLOOKUP(RANDBETWEEN(1,17),'Auxiliar Vendas'!D:G,2,0)</f>
        <v>Produto 09</v>
      </c>
      <c r="U697">
        <v>600</v>
      </c>
      <c r="V697">
        <v>16.61</v>
      </c>
      <c r="W697">
        <v>0</v>
      </c>
      <c r="X697">
        <v>14.4596</v>
      </c>
      <c r="Y697" s="3">
        <v>9966</v>
      </c>
      <c r="Z697">
        <v>73</v>
      </c>
      <c r="AA697" t="s">
        <v>64</v>
      </c>
      <c r="AB697">
        <v>0</v>
      </c>
      <c r="AC697">
        <v>0</v>
      </c>
      <c r="AD697" t="s">
        <v>58</v>
      </c>
      <c r="AH697" s="2">
        <v>44547.704861111109</v>
      </c>
      <c r="AI697">
        <v>0</v>
      </c>
      <c r="AJ697">
        <v>0</v>
      </c>
      <c r="AK697" s="30" t="str">
        <f ca="1">VLOOKUP(T697,'Auxiliar Vendas'!E:F,2,FALSE)</f>
        <v>Produto 09</v>
      </c>
      <c r="AL697" s="31">
        <f ca="1">U697*VLOOKUP(T697,'Auxiliar Vendas'!E:G,3,FALSE)</f>
        <v>660</v>
      </c>
    </row>
    <row r="698" spans="1:38">
      <c r="A698">
        <v>15550772437</v>
      </c>
      <c r="B698">
        <v>205</v>
      </c>
      <c r="D698" s="1">
        <v>44543</v>
      </c>
      <c r="E698">
        <v>15291803674</v>
      </c>
      <c r="F698" t="str">
        <f ca="1">VLOOKUP(RANDBETWEEN(1,20),'DBO Compras'!AA:AC,3,0)</f>
        <v>Comprador 16</v>
      </c>
      <c r="G698" t="s">
        <v>88</v>
      </c>
      <c r="H698" t="s">
        <v>89</v>
      </c>
      <c r="I698" t="s">
        <v>90</v>
      </c>
      <c r="J698" t="s">
        <v>91</v>
      </c>
      <c r="K698">
        <v>88337440</v>
      </c>
      <c r="L698" t="s">
        <v>92</v>
      </c>
      <c r="M698" t="s">
        <v>93</v>
      </c>
      <c r="N698">
        <v>47996529345</v>
      </c>
      <c r="O698">
        <v>0</v>
      </c>
      <c r="P698">
        <v>0</v>
      </c>
      <c r="R698" t="s">
        <v>42</v>
      </c>
      <c r="S698">
        <v>15015511068</v>
      </c>
      <c r="T698" t="str">
        <f ca="1">VLOOKUP(RANDBETWEEN(1,17),'Auxiliar Vendas'!D:G,2,0)</f>
        <v>Produto 04</v>
      </c>
      <c r="U698" s="3">
        <v>2000</v>
      </c>
      <c r="V698">
        <v>14.65</v>
      </c>
      <c r="W698">
        <v>11.75</v>
      </c>
      <c r="X698">
        <v>10.23</v>
      </c>
      <c r="Y698" s="3">
        <v>29300</v>
      </c>
      <c r="Z698">
        <v>73</v>
      </c>
      <c r="AA698" t="s">
        <v>53</v>
      </c>
      <c r="AB698">
        <v>0</v>
      </c>
      <c r="AC698">
        <v>0</v>
      </c>
      <c r="AD698" t="s">
        <v>58</v>
      </c>
      <c r="AH698" s="2">
        <v>44547.704861111109</v>
      </c>
      <c r="AI698">
        <v>0</v>
      </c>
      <c r="AJ698">
        <v>0</v>
      </c>
      <c r="AK698" s="30" t="str">
        <f ca="1">VLOOKUP(T698,'Auxiliar Vendas'!E:F,2,FALSE)</f>
        <v>Produto 04</v>
      </c>
      <c r="AL698" s="31">
        <f ca="1">U698*VLOOKUP(T698,'Auxiliar Vendas'!E:G,3,FALSE)</f>
        <v>1200</v>
      </c>
    </row>
    <row r="699" spans="1:38">
      <c r="A699">
        <v>15550772437</v>
      </c>
      <c r="B699">
        <v>205</v>
      </c>
      <c r="D699" s="1">
        <v>44543</v>
      </c>
      <c r="E699">
        <v>15291803674</v>
      </c>
      <c r="F699" t="str">
        <f ca="1">VLOOKUP(RANDBETWEEN(1,20),'DBO Compras'!AA:AC,3,0)</f>
        <v>Comprador 10</v>
      </c>
      <c r="G699" t="s">
        <v>88</v>
      </c>
      <c r="H699" t="s">
        <v>89</v>
      </c>
      <c r="I699" t="s">
        <v>90</v>
      </c>
      <c r="J699" t="s">
        <v>91</v>
      </c>
      <c r="K699">
        <v>88337440</v>
      </c>
      <c r="L699" t="s">
        <v>92</v>
      </c>
      <c r="M699" t="s">
        <v>93</v>
      </c>
      <c r="N699">
        <v>47996529345</v>
      </c>
      <c r="O699">
        <v>0</v>
      </c>
      <c r="P699">
        <v>0</v>
      </c>
      <c r="R699" t="s">
        <v>42</v>
      </c>
      <c r="S699">
        <v>15016099089</v>
      </c>
      <c r="T699" t="str">
        <f ca="1">VLOOKUP(RANDBETWEEN(1,17),'Auxiliar Vendas'!D:G,2,0)</f>
        <v>Produto 15</v>
      </c>
      <c r="U699" s="3">
        <v>1500</v>
      </c>
      <c r="V699">
        <v>19.239999999999998</v>
      </c>
      <c r="W699">
        <v>11.13</v>
      </c>
      <c r="X699">
        <v>16.804400000000001</v>
      </c>
      <c r="Y699" s="3">
        <v>28860</v>
      </c>
      <c r="Z699">
        <v>73</v>
      </c>
      <c r="AA699" t="s">
        <v>79</v>
      </c>
      <c r="AB699">
        <v>0</v>
      </c>
      <c r="AC699">
        <v>0</v>
      </c>
      <c r="AD699" t="s">
        <v>58</v>
      </c>
      <c r="AH699" s="2">
        <v>44547.704861111109</v>
      </c>
      <c r="AI699">
        <v>0</v>
      </c>
      <c r="AJ699">
        <v>0</v>
      </c>
      <c r="AK699" s="30" t="str">
        <f ca="1">VLOOKUP(T699,'Auxiliar Vendas'!E:F,2,FALSE)</f>
        <v>Produto 15</v>
      </c>
      <c r="AL699" s="31">
        <f ca="1">U699*VLOOKUP(T699,'Auxiliar Vendas'!E:G,3,FALSE)</f>
        <v>2130</v>
      </c>
    </row>
    <row r="700" spans="1:38">
      <c r="A700">
        <v>15558530697</v>
      </c>
      <c r="B700">
        <v>206</v>
      </c>
      <c r="D700" s="1">
        <v>44543</v>
      </c>
      <c r="E700">
        <v>15272395368</v>
      </c>
      <c r="F700" t="str">
        <f ca="1">VLOOKUP(RANDBETWEEN(1,20),'DBO Compras'!AA:AC,3,0)</f>
        <v>Comprador 19</v>
      </c>
      <c r="G700" t="s">
        <v>210</v>
      </c>
      <c r="H700" t="s">
        <v>211</v>
      </c>
      <c r="I700" t="s">
        <v>212</v>
      </c>
      <c r="J700" t="s">
        <v>213</v>
      </c>
      <c r="K700">
        <v>88130780</v>
      </c>
      <c r="L700" t="s">
        <v>92</v>
      </c>
      <c r="M700" t="s">
        <v>214</v>
      </c>
      <c r="N700">
        <v>4833440100</v>
      </c>
      <c r="O700">
        <v>0</v>
      </c>
      <c r="P700">
        <v>0</v>
      </c>
      <c r="R700" t="s">
        <v>42</v>
      </c>
      <c r="S700">
        <v>15016043939</v>
      </c>
      <c r="T700" t="str">
        <f ca="1">VLOOKUP(RANDBETWEEN(1,17),'Auxiliar Vendas'!D:G,2,0)</f>
        <v>Produto 08</v>
      </c>
      <c r="U700">
        <v>400</v>
      </c>
      <c r="V700">
        <v>13.15</v>
      </c>
      <c r="W700">
        <v>0</v>
      </c>
      <c r="X700">
        <v>10.747</v>
      </c>
      <c r="Y700" s="3">
        <v>5260</v>
      </c>
      <c r="Z700">
        <v>65</v>
      </c>
      <c r="AA700" t="s">
        <v>50</v>
      </c>
      <c r="AB700">
        <v>0</v>
      </c>
      <c r="AC700">
        <v>0</v>
      </c>
      <c r="AD700" t="s">
        <v>189</v>
      </c>
      <c r="AH700" s="2">
        <v>44552.582638888889</v>
      </c>
      <c r="AI700">
        <v>0</v>
      </c>
      <c r="AJ700">
        <v>0</v>
      </c>
      <c r="AK700" s="30" t="str">
        <f ca="1">VLOOKUP(T700,'Auxiliar Vendas'!E:F,2,FALSE)</f>
        <v>Produto 08</v>
      </c>
      <c r="AL700" s="31">
        <f ca="1">U700*VLOOKUP(T700,'Auxiliar Vendas'!E:G,3,FALSE)</f>
        <v>440.00000000000006</v>
      </c>
    </row>
    <row r="701" spans="1:38">
      <c r="A701">
        <v>15558530697</v>
      </c>
      <c r="B701">
        <v>206</v>
      </c>
      <c r="D701" s="1">
        <v>44543</v>
      </c>
      <c r="E701">
        <v>15272395368</v>
      </c>
      <c r="F701" t="str">
        <f ca="1">VLOOKUP(RANDBETWEEN(1,20),'DBO Compras'!AA:AC,3,0)</f>
        <v>Comprador 10</v>
      </c>
      <c r="G701" t="s">
        <v>210</v>
      </c>
      <c r="H701" t="s">
        <v>211</v>
      </c>
      <c r="I701" t="s">
        <v>212</v>
      </c>
      <c r="J701" t="s">
        <v>213</v>
      </c>
      <c r="K701">
        <v>88130780</v>
      </c>
      <c r="L701" t="s">
        <v>92</v>
      </c>
      <c r="M701" t="s">
        <v>214</v>
      </c>
      <c r="N701">
        <v>4833440100</v>
      </c>
      <c r="O701">
        <v>0</v>
      </c>
      <c r="P701">
        <v>0</v>
      </c>
      <c r="R701" t="s">
        <v>42</v>
      </c>
      <c r="S701">
        <v>15016080333</v>
      </c>
      <c r="T701" t="str">
        <f ca="1">VLOOKUP(RANDBETWEEN(1,17),'Auxiliar Vendas'!D:G,2,0)</f>
        <v>Produto 16</v>
      </c>
      <c r="U701">
        <v>400</v>
      </c>
      <c r="V701">
        <v>13.75</v>
      </c>
      <c r="W701">
        <v>0</v>
      </c>
      <c r="X701">
        <v>10.747</v>
      </c>
      <c r="Y701" s="3">
        <v>5500</v>
      </c>
      <c r="Z701">
        <v>65</v>
      </c>
      <c r="AA701" t="s">
        <v>80</v>
      </c>
      <c r="AB701">
        <v>0</v>
      </c>
      <c r="AC701">
        <v>0</v>
      </c>
      <c r="AD701" t="s">
        <v>189</v>
      </c>
      <c r="AH701" s="2">
        <v>44552.582638888889</v>
      </c>
      <c r="AI701">
        <v>0</v>
      </c>
      <c r="AJ701">
        <v>0</v>
      </c>
      <c r="AK701" s="30" t="str">
        <f ca="1">VLOOKUP(T701,'Auxiliar Vendas'!E:F,2,FALSE)</f>
        <v>Produto 16</v>
      </c>
      <c r="AL701" s="31">
        <f ca="1">U701*VLOOKUP(T701,'Auxiliar Vendas'!E:G,3,FALSE)</f>
        <v>508</v>
      </c>
    </row>
    <row r="702" spans="1:38">
      <c r="A702">
        <v>15558530697</v>
      </c>
      <c r="B702">
        <v>206</v>
      </c>
      <c r="D702" s="1">
        <v>44543</v>
      </c>
      <c r="E702">
        <v>15272395368</v>
      </c>
      <c r="F702" t="str">
        <f ca="1">VLOOKUP(RANDBETWEEN(1,20),'DBO Compras'!AA:AC,3,0)</f>
        <v>Comprador 01</v>
      </c>
      <c r="G702" t="s">
        <v>210</v>
      </c>
      <c r="H702" t="s">
        <v>211</v>
      </c>
      <c r="I702" t="s">
        <v>212</v>
      </c>
      <c r="J702" t="s">
        <v>213</v>
      </c>
      <c r="K702">
        <v>88130780</v>
      </c>
      <c r="L702" t="s">
        <v>92</v>
      </c>
      <c r="M702" t="s">
        <v>214</v>
      </c>
      <c r="N702">
        <v>4833440100</v>
      </c>
      <c r="O702">
        <v>0</v>
      </c>
      <c r="P702">
        <v>0</v>
      </c>
      <c r="R702" t="s">
        <v>42</v>
      </c>
      <c r="S702">
        <v>15015511068</v>
      </c>
      <c r="T702" t="str">
        <f ca="1">VLOOKUP(RANDBETWEEN(1,17),'Auxiliar Vendas'!D:G,2,0)</f>
        <v>Produto 03</v>
      </c>
      <c r="U702">
        <v>400</v>
      </c>
      <c r="V702">
        <v>15.55</v>
      </c>
      <c r="W702">
        <v>6.33</v>
      </c>
      <c r="X702">
        <v>10.23</v>
      </c>
      <c r="Y702" s="3">
        <v>6220</v>
      </c>
      <c r="Z702">
        <v>65</v>
      </c>
      <c r="AA702" t="s">
        <v>53</v>
      </c>
      <c r="AB702">
        <v>0</v>
      </c>
      <c r="AC702">
        <v>0</v>
      </c>
      <c r="AD702" t="s">
        <v>189</v>
      </c>
      <c r="AH702" s="2">
        <v>44552.582638888889</v>
      </c>
      <c r="AI702">
        <v>0</v>
      </c>
      <c r="AJ702">
        <v>0</v>
      </c>
      <c r="AK702" s="30" t="str">
        <f ca="1">VLOOKUP(T702,'Auxiliar Vendas'!E:F,2,FALSE)</f>
        <v>Produto 03</v>
      </c>
      <c r="AL702" s="31">
        <f ca="1">U702*VLOOKUP(T702,'Auxiliar Vendas'!E:G,3,FALSE)</f>
        <v>240</v>
      </c>
    </row>
    <row r="703" spans="1:38">
      <c r="A703">
        <v>15558530697</v>
      </c>
      <c r="B703">
        <v>206</v>
      </c>
      <c r="D703" s="1">
        <v>44543</v>
      </c>
      <c r="E703">
        <v>15272395368</v>
      </c>
      <c r="F703" t="str">
        <f ca="1">VLOOKUP(RANDBETWEEN(1,20),'DBO Compras'!AA:AC,3,0)</f>
        <v>Comprador 01</v>
      </c>
      <c r="G703" t="s">
        <v>210</v>
      </c>
      <c r="H703" t="s">
        <v>211</v>
      </c>
      <c r="I703" t="s">
        <v>212</v>
      </c>
      <c r="J703" t="s">
        <v>213</v>
      </c>
      <c r="K703">
        <v>88130780</v>
      </c>
      <c r="L703" t="s">
        <v>92</v>
      </c>
      <c r="M703" t="s">
        <v>214</v>
      </c>
      <c r="N703">
        <v>4833440100</v>
      </c>
      <c r="O703">
        <v>0</v>
      </c>
      <c r="P703">
        <v>0</v>
      </c>
      <c r="R703" t="s">
        <v>42</v>
      </c>
      <c r="S703">
        <v>15016099089</v>
      </c>
      <c r="T703" t="str">
        <f ca="1">VLOOKUP(RANDBETWEEN(1,17),'Auxiliar Vendas'!D:G,2,0)</f>
        <v>Produto 04</v>
      </c>
      <c r="U703">
        <v>400</v>
      </c>
      <c r="V703">
        <v>20.64</v>
      </c>
      <c r="W703">
        <v>4.67</v>
      </c>
      <c r="X703">
        <v>16.804400000000001</v>
      </c>
      <c r="Y703" s="3">
        <v>8256</v>
      </c>
      <c r="Z703">
        <v>65</v>
      </c>
      <c r="AA703" t="s">
        <v>79</v>
      </c>
      <c r="AB703">
        <v>0</v>
      </c>
      <c r="AC703">
        <v>0</v>
      </c>
      <c r="AD703" t="s">
        <v>189</v>
      </c>
      <c r="AH703" s="2">
        <v>44552.582638888889</v>
      </c>
      <c r="AI703">
        <v>0</v>
      </c>
      <c r="AJ703">
        <v>0</v>
      </c>
      <c r="AK703" s="30" t="str">
        <f ca="1">VLOOKUP(T703,'Auxiliar Vendas'!E:F,2,FALSE)</f>
        <v>Produto 04</v>
      </c>
      <c r="AL703" s="31">
        <f ca="1">U703*VLOOKUP(T703,'Auxiliar Vendas'!E:G,3,FALSE)</f>
        <v>240</v>
      </c>
    </row>
    <row r="704" spans="1:38">
      <c r="A704">
        <v>15558530697</v>
      </c>
      <c r="B704">
        <v>206</v>
      </c>
      <c r="D704" s="1">
        <v>44543</v>
      </c>
      <c r="E704">
        <v>15272395368</v>
      </c>
      <c r="F704" t="str">
        <f ca="1">VLOOKUP(RANDBETWEEN(1,20),'DBO Compras'!AA:AC,3,0)</f>
        <v>Comprador 05</v>
      </c>
      <c r="G704" t="s">
        <v>210</v>
      </c>
      <c r="H704" t="s">
        <v>211</v>
      </c>
      <c r="I704" t="s">
        <v>212</v>
      </c>
      <c r="J704" t="s">
        <v>213</v>
      </c>
      <c r="K704">
        <v>88130780</v>
      </c>
      <c r="L704" t="s">
        <v>92</v>
      </c>
      <c r="M704" t="s">
        <v>214</v>
      </c>
      <c r="N704">
        <v>4833440100</v>
      </c>
      <c r="O704">
        <v>0</v>
      </c>
      <c r="P704">
        <v>0</v>
      </c>
      <c r="R704" t="s">
        <v>42</v>
      </c>
      <c r="S704">
        <v>15016087271</v>
      </c>
      <c r="T704" t="str">
        <f ca="1">VLOOKUP(RANDBETWEEN(1,17),'Auxiliar Vendas'!D:G,2,0)</f>
        <v>Produto 04</v>
      </c>
      <c r="U704">
        <v>400</v>
      </c>
      <c r="V704">
        <v>17.5</v>
      </c>
      <c r="W704">
        <v>5.66</v>
      </c>
      <c r="X704">
        <v>14.4596</v>
      </c>
      <c r="Y704" s="3">
        <v>7000</v>
      </c>
      <c r="Z704">
        <v>65</v>
      </c>
      <c r="AA704" t="s">
        <v>64</v>
      </c>
      <c r="AB704">
        <v>0</v>
      </c>
      <c r="AC704">
        <v>0</v>
      </c>
      <c r="AD704" t="s">
        <v>189</v>
      </c>
      <c r="AH704" s="2">
        <v>44552.582638888889</v>
      </c>
      <c r="AI704">
        <v>0</v>
      </c>
      <c r="AJ704">
        <v>0</v>
      </c>
      <c r="AK704" s="30" t="str">
        <f ca="1">VLOOKUP(T704,'Auxiliar Vendas'!E:F,2,FALSE)</f>
        <v>Produto 04</v>
      </c>
      <c r="AL704" s="31">
        <f ca="1">U704*VLOOKUP(T704,'Auxiliar Vendas'!E:G,3,FALSE)</f>
        <v>240</v>
      </c>
    </row>
    <row r="705" spans="1:38">
      <c r="A705">
        <v>15559106988</v>
      </c>
      <c r="B705">
        <v>207</v>
      </c>
      <c r="D705" s="1">
        <v>44543</v>
      </c>
      <c r="E705">
        <v>15559106979</v>
      </c>
      <c r="F705" t="str">
        <f ca="1">VLOOKUP(RANDBETWEEN(1,20),'DBO Compras'!AA:AC,3,0)</f>
        <v>Comprador 17</v>
      </c>
      <c r="G705" t="s">
        <v>304</v>
      </c>
      <c r="H705" t="s">
        <v>305</v>
      </c>
      <c r="I705" t="s">
        <v>306</v>
      </c>
      <c r="J705" t="s">
        <v>213</v>
      </c>
      <c r="K705">
        <v>88135420</v>
      </c>
      <c r="L705" t="s">
        <v>92</v>
      </c>
      <c r="M705" t="s">
        <v>307</v>
      </c>
      <c r="N705">
        <v>48991935757</v>
      </c>
      <c r="O705">
        <v>0</v>
      </c>
      <c r="P705">
        <v>0</v>
      </c>
      <c r="R705" t="s">
        <v>42</v>
      </c>
      <c r="S705">
        <v>15016099089</v>
      </c>
      <c r="T705" t="str">
        <f ca="1">VLOOKUP(RANDBETWEEN(1,17),'Auxiliar Vendas'!D:G,2,0)</f>
        <v>Produto 04</v>
      </c>
      <c r="U705">
        <v>300</v>
      </c>
      <c r="V705">
        <v>20.2</v>
      </c>
      <c r="W705">
        <v>0</v>
      </c>
      <c r="X705">
        <v>16.804400000000001</v>
      </c>
      <c r="Y705" s="3">
        <v>6060</v>
      </c>
      <c r="Z705">
        <v>128</v>
      </c>
      <c r="AA705" t="s">
        <v>79</v>
      </c>
      <c r="AB705">
        <v>0</v>
      </c>
      <c r="AC705">
        <v>0</v>
      </c>
      <c r="AD705" t="s">
        <v>58</v>
      </c>
      <c r="AH705" s="2">
        <v>44545.748611111114</v>
      </c>
      <c r="AI705">
        <v>0</v>
      </c>
      <c r="AJ705">
        <v>0</v>
      </c>
      <c r="AK705" s="30" t="str">
        <f ca="1">VLOOKUP(T705,'Auxiliar Vendas'!E:F,2,FALSE)</f>
        <v>Produto 04</v>
      </c>
      <c r="AL705" s="31">
        <f ca="1">U705*VLOOKUP(T705,'Auxiliar Vendas'!E:G,3,FALSE)</f>
        <v>180</v>
      </c>
    </row>
    <row r="706" spans="1:38">
      <c r="A706">
        <v>15559106988</v>
      </c>
      <c r="B706">
        <v>207</v>
      </c>
      <c r="D706" s="1">
        <v>44543</v>
      </c>
      <c r="E706">
        <v>15559106979</v>
      </c>
      <c r="F706" t="str">
        <f ca="1">VLOOKUP(RANDBETWEEN(1,20),'DBO Compras'!AA:AC,3,0)</f>
        <v>Comprador 02</v>
      </c>
      <c r="G706" t="s">
        <v>304</v>
      </c>
      <c r="H706" t="s">
        <v>305</v>
      </c>
      <c r="I706" t="s">
        <v>306</v>
      </c>
      <c r="J706" t="s">
        <v>213</v>
      </c>
      <c r="K706">
        <v>88135420</v>
      </c>
      <c r="L706" t="s">
        <v>92</v>
      </c>
      <c r="M706" t="s">
        <v>307</v>
      </c>
      <c r="N706">
        <v>48991935757</v>
      </c>
      <c r="O706">
        <v>0</v>
      </c>
      <c r="P706">
        <v>0</v>
      </c>
      <c r="R706" t="s">
        <v>42</v>
      </c>
      <c r="S706">
        <v>15016087271</v>
      </c>
      <c r="T706" t="str">
        <f ca="1">VLOOKUP(RANDBETWEEN(1,17),'Auxiliar Vendas'!D:G,2,0)</f>
        <v>Produto 07</v>
      </c>
      <c r="U706">
        <v>150</v>
      </c>
      <c r="V706">
        <v>17.8</v>
      </c>
      <c r="W706">
        <v>0</v>
      </c>
      <c r="X706">
        <v>14.4596</v>
      </c>
      <c r="Y706" s="3">
        <v>2670</v>
      </c>
      <c r="Z706">
        <v>128</v>
      </c>
      <c r="AA706" t="s">
        <v>64</v>
      </c>
      <c r="AB706">
        <v>0</v>
      </c>
      <c r="AC706">
        <v>0</v>
      </c>
      <c r="AD706" t="s">
        <v>58</v>
      </c>
      <c r="AH706" s="2">
        <v>44545.748611111114</v>
      </c>
      <c r="AI706">
        <v>0</v>
      </c>
      <c r="AJ706">
        <v>0</v>
      </c>
      <c r="AK706" s="30" t="str">
        <f ca="1">VLOOKUP(T706,'Auxiliar Vendas'!E:F,2,FALSE)</f>
        <v>Produto 07</v>
      </c>
      <c r="AL706" s="31">
        <f ca="1">U706*VLOOKUP(T706,'Auxiliar Vendas'!E:G,3,FALSE)</f>
        <v>165</v>
      </c>
    </row>
    <row r="707" spans="1:38">
      <c r="A707">
        <v>15569954943</v>
      </c>
      <c r="B707">
        <v>209</v>
      </c>
      <c r="D707" s="1">
        <v>44544</v>
      </c>
      <c r="E707">
        <v>15020006032</v>
      </c>
      <c r="F707" t="str">
        <f ca="1">VLOOKUP(RANDBETWEEN(1,20),'DBO Compras'!AA:AC,3,0)</f>
        <v>Comprador 06</v>
      </c>
      <c r="G707" t="s">
        <v>36</v>
      </c>
      <c r="H707" t="s">
        <v>37</v>
      </c>
      <c r="I707" t="s">
        <v>38</v>
      </c>
      <c r="J707" t="s">
        <v>39</v>
      </c>
      <c r="K707">
        <v>82960015</v>
      </c>
      <c r="L707" t="s">
        <v>40</v>
      </c>
      <c r="M707" t="s">
        <v>41</v>
      </c>
      <c r="N707">
        <v>41996838559</v>
      </c>
      <c r="O707">
        <v>0</v>
      </c>
      <c r="P707">
        <v>0</v>
      </c>
      <c r="R707" t="s">
        <v>42</v>
      </c>
      <c r="S707">
        <v>15016093155</v>
      </c>
      <c r="T707" t="str">
        <f ca="1">VLOOKUP(RANDBETWEEN(1,17),'Auxiliar Vendas'!D:G,2,0)</f>
        <v>Produto 03</v>
      </c>
      <c r="U707">
        <v>500</v>
      </c>
      <c r="V707">
        <v>17.899999999999999</v>
      </c>
      <c r="W707">
        <v>0</v>
      </c>
      <c r="X707">
        <v>14.4596</v>
      </c>
      <c r="Y707" s="3">
        <v>8950</v>
      </c>
      <c r="Z707">
        <v>16</v>
      </c>
      <c r="AA707" t="s">
        <v>65</v>
      </c>
      <c r="AB707">
        <v>0</v>
      </c>
      <c r="AC707">
        <v>0</v>
      </c>
      <c r="AD707" t="s">
        <v>58</v>
      </c>
      <c r="AH707" s="2">
        <v>44543.574999999997</v>
      </c>
      <c r="AI707">
        <v>0</v>
      </c>
      <c r="AJ707">
        <v>0</v>
      </c>
      <c r="AK707" s="30" t="str">
        <f ca="1">VLOOKUP(T707,'Auxiliar Vendas'!E:F,2,FALSE)</f>
        <v>Produto 03</v>
      </c>
      <c r="AL707" s="31">
        <f ca="1">U707*VLOOKUP(T707,'Auxiliar Vendas'!E:G,3,FALSE)</f>
        <v>300</v>
      </c>
    </row>
    <row r="708" spans="1:38">
      <c r="A708">
        <v>15570971376</v>
      </c>
      <c r="B708">
        <v>210</v>
      </c>
      <c r="D708" s="1">
        <v>44544</v>
      </c>
      <c r="E708">
        <v>15520621129</v>
      </c>
      <c r="F708" t="str">
        <f ca="1">VLOOKUP(RANDBETWEEN(1,20),'DBO Compras'!AA:AC,3,0)</f>
        <v>Comprador 16</v>
      </c>
      <c r="G708" t="s">
        <v>297</v>
      </c>
      <c r="H708" t="s">
        <v>298</v>
      </c>
      <c r="I708" t="s">
        <v>69</v>
      </c>
      <c r="J708" t="s">
        <v>299</v>
      </c>
      <c r="K708">
        <v>98900000</v>
      </c>
      <c r="L708" t="s">
        <v>204</v>
      </c>
      <c r="M708" t="s">
        <v>300</v>
      </c>
      <c r="N708">
        <v>55984237563</v>
      </c>
      <c r="O708">
        <v>0</v>
      </c>
      <c r="P708">
        <v>0</v>
      </c>
      <c r="Q708" t="s">
        <v>308</v>
      </c>
      <c r="R708" t="s">
        <v>42</v>
      </c>
      <c r="S708">
        <v>15016099089</v>
      </c>
      <c r="T708" t="str">
        <f ca="1">VLOOKUP(RANDBETWEEN(1,17),'Auxiliar Vendas'!D:G,2,0)</f>
        <v>Produto 06</v>
      </c>
      <c r="U708">
        <v>400</v>
      </c>
      <c r="V708">
        <v>24.48</v>
      </c>
      <c r="W708">
        <v>0</v>
      </c>
      <c r="X708">
        <v>16.804400000000001</v>
      </c>
      <c r="Y708" s="3">
        <v>9792</v>
      </c>
      <c r="Z708">
        <v>124</v>
      </c>
      <c r="AA708" t="s">
        <v>79</v>
      </c>
      <c r="AB708">
        <v>0</v>
      </c>
      <c r="AC708">
        <v>0</v>
      </c>
      <c r="AD708" t="s">
        <v>58</v>
      </c>
      <c r="AH708" s="2">
        <v>44567.410416666666</v>
      </c>
      <c r="AI708">
        <v>0</v>
      </c>
      <c r="AJ708">
        <v>0</v>
      </c>
      <c r="AK708" s="30" t="str">
        <f ca="1">VLOOKUP(T708,'Auxiliar Vendas'!E:F,2,FALSE)</f>
        <v>Produto 06</v>
      </c>
      <c r="AL708" s="31">
        <f ca="1">U708*VLOOKUP(T708,'Auxiliar Vendas'!E:G,3,FALSE)</f>
        <v>200</v>
      </c>
    </row>
    <row r="709" spans="1:38">
      <c r="A709">
        <v>15570971376</v>
      </c>
      <c r="B709">
        <v>210</v>
      </c>
      <c r="D709" s="1">
        <v>44544</v>
      </c>
      <c r="E709">
        <v>15520621129</v>
      </c>
      <c r="F709" t="str">
        <f ca="1">VLOOKUP(RANDBETWEEN(1,20),'DBO Compras'!AA:AC,3,0)</f>
        <v>Comprador 11</v>
      </c>
      <c r="G709" t="s">
        <v>297</v>
      </c>
      <c r="H709" t="s">
        <v>298</v>
      </c>
      <c r="I709" t="s">
        <v>69</v>
      </c>
      <c r="J709" t="s">
        <v>299</v>
      </c>
      <c r="K709">
        <v>98900000</v>
      </c>
      <c r="L709" t="s">
        <v>204</v>
      </c>
      <c r="M709" t="s">
        <v>300</v>
      </c>
      <c r="N709">
        <v>55984237563</v>
      </c>
      <c r="O709">
        <v>0</v>
      </c>
      <c r="P709">
        <v>0</v>
      </c>
      <c r="Q709" t="s">
        <v>308</v>
      </c>
      <c r="R709" t="s">
        <v>42</v>
      </c>
      <c r="S709">
        <v>15016099089</v>
      </c>
      <c r="T709" t="str">
        <f ca="1">VLOOKUP(RANDBETWEEN(1,17),'Auxiliar Vendas'!D:G,2,0)</f>
        <v>Produto 15</v>
      </c>
      <c r="U709">
        <v>300</v>
      </c>
      <c r="V709">
        <v>27.98</v>
      </c>
      <c r="W709">
        <v>0</v>
      </c>
      <c r="X709">
        <v>16.804400000000001</v>
      </c>
      <c r="Y709" s="3">
        <v>8394</v>
      </c>
      <c r="Z709">
        <v>124</v>
      </c>
      <c r="AA709" t="s">
        <v>79</v>
      </c>
      <c r="AB709">
        <v>0</v>
      </c>
      <c r="AC709">
        <v>0</v>
      </c>
      <c r="AD709" t="s">
        <v>58</v>
      </c>
      <c r="AH709" s="2">
        <v>44567.410416666666</v>
      </c>
      <c r="AI709">
        <v>0</v>
      </c>
      <c r="AJ709">
        <v>0</v>
      </c>
      <c r="AK709" s="30" t="str">
        <f ca="1">VLOOKUP(T709,'Auxiliar Vendas'!E:F,2,FALSE)</f>
        <v>Produto 15</v>
      </c>
      <c r="AL709" s="31">
        <f ca="1">U709*VLOOKUP(T709,'Auxiliar Vendas'!E:G,3,FALSE)</f>
        <v>426</v>
      </c>
    </row>
    <row r="710" spans="1:38">
      <c r="A710">
        <v>15570971376</v>
      </c>
      <c r="B710">
        <v>210</v>
      </c>
      <c r="D710" s="1">
        <v>44544</v>
      </c>
      <c r="E710">
        <v>15520621129</v>
      </c>
      <c r="F710" t="str">
        <f ca="1">VLOOKUP(RANDBETWEEN(1,20),'DBO Compras'!AA:AC,3,0)</f>
        <v>Comprador 12</v>
      </c>
      <c r="G710" t="s">
        <v>297</v>
      </c>
      <c r="H710" t="s">
        <v>298</v>
      </c>
      <c r="I710" t="s">
        <v>69</v>
      </c>
      <c r="J710" t="s">
        <v>299</v>
      </c>
      <c r="K710">
        <v>98900000</v>
      </c>
      <c r="L710" t="s">
        <v>204</v>
      </c>
      <c r="M710" t="s">
        <v>300</v>
      </c>
      <c r="N710">
        <v>55984237563</v>
      </c>
      <c r="O710">
        <v>0</v>
      </c>
      <c r="P710">
        <v>0</v>
      </c>
      <c r="Q710" t="s">
        <v>308</v>
      </c>
      <c r="R710" t="s">
        <v>42</v>
      </c>
      <c r="S710">
        <v>15016093155</v>
      </c>
      <c r="T710" t="str">
        <f ca="1">VLOOKUP(RANDBETWEEN(1,17),'Auxiliar Vendas'!D:G,2,0)</f>
        <v>Produto 03</v>
      </c>
      <c r="U710">
        <v>55</v>
      </c>
      <c r="V710">
        <v>24.12</v>
      </c>
      <c r="W710">
        <v>0</v>
      </c>
      <c r="X710">
        <v>14.4596</v>
      </c>
      <c r="Y710" s="3">
        <v>1326.6</v>
      </c>
      <c r="Z710">
        <v>124</v>
      </c>
      <c r="AA710" t="s">
        <v>65</v>
      </c>
      <c r="AB710">
        <v>0</v>
      </c>
      <c r="AC710">
        <v>0</v>
      </c>
      <c r="AD710" t="s">
        <v>58</v>
      </c>
      <c r="AH710" s="2">
        <v>44567.410416666666</v>
      </c>
      <c r="AI710">
        <v>0</v>
      </c>
      <c r="AJ710">
        <v>0</v>
      </c>
      <c r="AK710" s="30" t="str">
        <f ca="1">VLOOKUP(T710,'Auxiliar Vendas'!E:F,2,FALSE)</f>
        <v>Produto 03</v>
      </c>
      <c r="AL710" s="31">
        <f ca="1">U710*VLOOKUP(T710,'Auxiliar Vendas'!E:G,3,FALSE)</f>
        <v>33</v>
      </c>
    </row>
    <row r="711" spans="1:38">
      <c r="A711">
        <v>15571324511</v>
      </c>
      <c r="B711">
        <v>211</v>
      </c>
      <c r="D711" s="1">
        <v>44544</v>
      </c>
      <c r="E711">
        <v>15059089666</v>
      </c>
      <c r="F711" t="str">
        <f ca="1">VLOOKUP(RANDBETWEEN(1,20),'DBO Compras'!AA:AC,3,0)</f>
        <v>Comprador 17</v>
      </c>
      <c r="G711" t="s">
        <v>190</v>
      </c>
      <c r="H711" t="s">
        <v>191</v>
      </c>
      <c r="I711" t="s">
        <v>192</v>
      </c>
      <c r="J711" t="s">
        <v>193</v>
      </c>
      <c r="K711">
        <v>89216222</v>
      </c>
      <c r="L711" t="s">
        <v>92</v>
      </c>
      <c r="M711" t="s">
        <v>194</v>
      </c>
      <c r="N711">
        <v>4730290337</v>
      </c>
      <c r="O711">
        <v>0</v>
      </c>
      <c r="P711">
        <v>0</v>
      </c>
      <c r="R711" t="s">
        <v>42</v>
      </c>
      <c r="S711">
        <v>15016043939</v>
      </c>
      <c r="T711" t="str">
        <f ca="1">VLOOKUP(RANDBETWEEN(1,17),'Auxiliar Vendas'!D:G,2,0)</f>
        <v>Produto 08</v>
      </c>
      <c r="U711">
        <v>200</v>
      </c>
      <c r="V711">
        <v>13.65</v>
      </c>
      <c r="W711">
        <v>0</v>
      </c>
      <c r="X711">
        <v>10.747</v>
      </c>
      <c r="Y711" s="3">
        <v>2730</v>
      </c>
      <c r="Z711">
        <v>31</v>
      </c>
      <c r="AA711" t="s">
        <v>50</v>
      </c>
      <c r="AB711">
        <v>0</v>
      </c>
      <c r="AC711">
        <v>0</v>
      </c>
      <c r="AD711" t="s">
        <v>189</v>
      </c>
      <c r="AH711" s="2">
        <v>44550.369444444441</v>
      </c>
      <c r="AI711">
        <v>0</v>
      </c>
      <c r="AJ711">
        <v>0</v>
      </c>
      <c r="AK711" s="30" t="str">
        <f ca="1">VLOOKUP(T711,'Auxiliar Vendas'!E:F,2,FALSE)</f>
        <v>Produto 08</v>
      </c>
      <c r="AL711" s="31">
        <f ca="1">U711*VLOOKUP(T711,'Auxiliar Vendas'!E:G,3,FALSE)</f>
        <v>220.00000000000003</v>
      </c>
    </row>
    <row r="712" spans="1:38">
      <c r="A712">
        <v>15571324511</v>
      </c>
      <c r="B712">
        <v>211</v>
      </c>
      <c r="D712" s="1">
        <v>44544</v>
      </c>
      <c r="E712">
        <v>15059089666</v>
      </c>
      <c r="F712" t="str">
        <f ca="1">VLOOKUP(RANDBETWEEN(1,20),'DBO Compras'!AA:AC,3,0)</f>
        <v>Comprador 08</v>
      </c>
      <c r="G712" t="s">
        <v>190</v>
      </c>
      <c r="H712" t="s">
        <v>191</v>
      </c>
      <c r="I712" t="s">
        <v>192</v>
      </c>
      <c r="J712" t="s">
        <v>193</v>
      </c>
      <c r="K712">
        <v>89216222</v>
      </c>
      <c r="L712" t="s">
        <v>92</v>
      </c>
      <c r="M712" t="s">
        <v>194</v>
      </c>
      <c r="N712">
        <v>4730290337</v>
      </c>
      <c r="O712">
        <v>0</v>
      </c>
      <c r="P712">
        <v>0</v>
      </c>
      <c r="R712" t="s">
        <v>42</v>
      </c>
      <c r="S712">
        <v>15016093155</v>
      </c>
      <c r="T712" t="str">
        <f ca="1">VLOOKUP(RANDBETWEEN(1,17),'Auxiliar Vendas'!D:G,2,0)</f>
        <v>Produto 07</v>
      </c>
      <c r="U712">
        <v>140</v>
      </c>
      <c r="V712">
        <v>18.14</v>
      </c>
      <c r="W712">
        <v>0</v>
      </c>
      <c r="X712">
        <v>14.4596</v>
      </c>
      <c r="Y712" s="3">
        <v>2539.6</v>
      </c>
      <c r="Z712">
        <v>31</v>
      </c>
      <c r="AA712" t="s">
        <v>65</v>
      </c>
      <c r="AB712">
        <v>0</v>
      </c>
      <c r="AC712">
        <v>0</v>
      </c>
      <c r="AD712" t="s">
        <v>189</v>
      </c>
      <c r="AH712" s="2">
        <v>44550.369444444441</v>
      </c>
      <c r="AI712">
        <v>0</v>
      </c>
      <c r="AJ712">
        <v>0</v>
      </c>
      <c r="AK712" s="30" t="str">
        <f ca="1">VLOOKUP(T712,'Auxiliar Vendas'!E:F,2,FALSE)</f>
        <v>Produto 07</v>
      </c>
      <c r="AL712" s="31">
        <f ca="1">U712*VLOOKUP(T712,'Auxiliar Vendas'!E:G,3,FALSE)</f>
        <v>154</v>
      </c>
    </row>
    <row r="713" spans="1:38">
      <c r="A713">
        <v>15571324511</v>
      </c>
      <c r="B713">
        <v>211</v>
      </c>
      <c r="D713" s="1">
        <v>44544</v>
      </c>
      <c r="E713">
        <v>15059089666</v>
      </c>
      <c r="F713" t="str">
        <f ca="1">VLOOKUP(RANDBETWEEN(1,20),'DBO Compras'!AA:AC,3,0)</f>
        <v>Comprador 12</v>
      </c>
      <c r="G713" t="s">
        <v>190</v>
      </c>
      <c r="H713" t="s">
        <v>191</v>
      </c>
      <c r="I713" t="s">
        <v>192</v>
      </c>
      <c r="J713" t="s">
        <v>193</v>
      </c>
      <c r="K713">
        <v>89216222</v>
      </c>
      <c r="L713" t="s">
        <v>92</v>
      </c>
      <c r="M713" t="s">
        <v>194</v>
      </c>
      <c r="N713">
        <v>4730290337</v>
      </c>
      <c r="O713">
        <v>0</v>
      </c>
      <c r="P713">
        <v>0</v>
      </c>
      <c r="R713" t="s">
        <v>42</v>
      </c>
      <c r="S713">
        <v>15016099089</v>
      </c>
      <c r="T713" t="str">
        <f ca="1">VLOOKUP(RANDBETWEEN(1,17),'Auxiliar Vendas'!D:G,2,0)</f>
        <v>Produto 01</v>
      </c>
      <c r="U713">
        <v>60</v>
      </c>
      <c r="V713">
        <v>21.1</v>
      </c>
      <c r="W713">
        <v>0</v>
      </c>
      <c r="X713">
        <v>16.804400000000001</v>
      </c>
      <c r="Y713" s="3">
        <v>1266</v>
      </c>
      <c r="Z713">
        <v>31</v>
      </c>
      <c r="AA713" t="s">
        <v>79</v>
      </c>
      <c r="AB713">
        <v>0</v>
      </c>
      <c r="AC713">
        <v>0</v>
      </c>
      <c r="AD713" t="s">
        <v>189</v>
      </c>
      <c r="AH713" s="2">
        <v>44550.369444444441</v>
      </c>
      <c r="AI713">
        <v>0</v>
      </c>
      <c r="AJ713">
        <v>0</v>
      </c>
      <c r="AK713" s="30" t="str">
        <f ca="1">VLOOKUP(T713,'Auxiliar Vendas'!E:F,2,FALSE)</f>
        <v>Produto 01</v>
      </c>
      <c r="AL713" s="31">
        <f ca="1">U713*VLOOKUP(T713,'Auxiliar Vendas'!E:G,3,FALSE)</f>
        <v>24</v>
      </c>
    </row>
    <row r="714" spans="1:38">
      <c r="A714">
        <v>15571324511</v>
      </c>
      <c r="B714">
        <v>211</v>
      </c>
      <c r="D714" s="1">
        <v>44544</v>
      </c>
      <c r="E714">
        <v>15059089666</v>
      </c>
      <c r="F714" t="str">
        <f ca="1">VLOOKUP(RANDBETWEEN(1,20),'DBO Compras'!AA:AC,3,0)</f>
        <v>Comprador 12</v>
      </c>
      <c r="G714" t="s">
        <v>190</v>
      </c>
      <c r="H714" t="s">
        <v>191</v>
      </c>
      <c r="I714" t="s">
        <v>192</v>
      </c>
      <c r="J714" t="s">
        <v>193</v>
      </c>
      <c r="K714">
        <v>89216222</v>
      </c>
      <c r="L714" t="s">
        <v>92</v>
      </c>
      <c r="M714" t="s">
        <v>194</v>
      </c>
      <c r="N714">
        <v>4730290337</v>
      </c>
      <c r="O714">
        <v>0</v>
      </c>
      <c r="P714">
        <v>0</v>
      </c>
      <c r="R714" t="s">
        <v>42</v>
      </c>
      <c r="S714">
        <v>15016080333</v>
      </c>
      <c r="T714" t="str">
        <f ca="1">VLOOKUP(RANDBETWEEN(1,17),'Auxiliar Vendas'!D:G,2,0)</f>
        <v>Produto 08</v>
      </c>
      <c r="U714">
        <v>100</v>
      </c>
      <c r="V714">
        <v>14.7</v>
      </c>
      <c r="W714">
        <v>0</v>
      </c>
      <c r="X714">
        <v>10.747</v>
      </c>
      <c r="Y714" s="3">
        <v>1470</v>
      </c>
      <c r="Z714">
        <v>31</v>
      </c>
      <c r="AA714" t="s">
        <v>80</v>
      </c>
      <c r="AB714">
        <v>0</v>
      </c>
      <c r="AC714">
        <v>0</v>
      </c>
      <c r="AD714" t="s">
        <v>189</v>
      </c>
      <c r="AH714" s="2">
        <v>44550.369444444441</v>
      </c>
      <c r="AI714">
        <v>0</v>
      </c>
      <c r="AJ714">
        <v>0</v>
      </c>
      <c r="AK714" s="30" t="str">
        <f ca="1">VLOOKUP(T714,'Auxiliar Vendas'!E:F,2,FALSE)</f>
        <v>Produto 08</v>
      </c>
      <c r="AL714" s="31">
        <f ca="1">U714*VLOOKUP(T714,'Auxiliar Vendas'!E:G,3,FALSE)</f>
        <v>110.00000000000001</v>
      </c>
    </row>
    <row r="715" spans="1:38">
      <c r="A715">
        <v>15575055355</v>
      </c>
      <c r="B715">
        <v>212</v>
      </c>
      <c r="D715" s="1">
        <v>44544</v>
      </c>
      <c r="E715">
        <v>15339582855</v>
      </c>
      <c r="F715" t="str">
        <f ca="1">VLOOKUP(RANDBETWEEN(1,20),'DBO Compras'!AA:AC,3,0)</f>
        <v>Comprador 20</v>
      </c>
      <c r="G715" t="s">
        <v>263</v>
      </c>
      <c r="H715" t="s">
        <v>264</v>
      </c>
      <c r="I715" t="s">
        <v>265</v>
      </c>
      <c r="J715" t="s">
        <v>39</v>
      </c>
      <c r="K715">
        <v>82840020</v>
      </c>
      <c r="L715" t="s">
        <v>40</v>
      </c>
      <c r="M715" t="s">
        <v>266</v>
      </c>
      <c r="N715">
        <v>41995546245</v>
      </c>
      <c r="O715">
        <v>0</v>
      </c>
      <c r="P715">
        <v>0</v>
      </c>
      <c r="Q715" t="s">
        <v>309</v>
      </c>
      <c r="R715" t="s">
        <v>42</v>
      </c>
      <c r="S715">
        <v>15016099089</v>
      </c>
      <c r="T715" t="str">
        <f ca="1">VLOOKUP(RANDBETWEEN(1,17),'Auxiliar Vendas'!D:G,2,0)</f>
        <v>Produto 12</v>
      </c>
      <c r="U715">
        <v>549</v>
      </c>
      <c r="V715">
        <v>19.25</v>
      </c>
      <c r="W715">
        <v>0</v>
      </c>
      <c r="X715">
        <v>16.804400000000001</v>
      </c>
      <c r="Y715" s="3">
        <v>10568.25</v>
      </c>
      <c r="Z715">
        <v>83</v>
      </c>
      <c r="AA715" t="s">
        <v>79</v>
      </c>
      <c r="AB715">
        <v>0</v>
      </c>
      <c r="AC715">
        <v>0</v>
      </c>
      <c r="AD715" t="s">
        <v>58</v>
      </c>
      <c r="AH715" s="2">
        <v>44546.811111111114</v>
      </c>
      <c r="AI715">
        <v>0</v>
      </c>
      <c r="AJ715">
        <v>0</v>
      </c>
      <c r="AK715" s="30" t="str">
        <f ca="1">VLOOKUP(T715,'Auxiliar Vendas'!E:F,2,FALSE)</f>
        <v>Produto 12</v>
      </c>
      <c r="AL715" s="31">
        <f ca="1">U715*VLOOKUP(T715,'Auxiliar Vendas'!E:G,3,FALSE)</f>
        <v>768.59999999999991</v>
      </c>
    </row>
    <row r="716" spans="1:38">
      <c r="A716">
        <v>15575055355</v>
      </c>
      <c r="B716">
        <v>212</v>
      </c>
      <c r="D716" s="1">
        <v>44544</v>
      </c>
      <c r="E716">
        <v>15339582855</v>
      </c>
      <c r="F716" t="str">
        <f ca="1">VLOOKUP(RANDBETWEEN(1,20),'DBO Compras'!AA:AC,3,0)</f>
        <v>Comprador 08</v>
      </c>
      <c r="G716" t="s">
        <v>263</v>
      </c>
      <c r="H716" t="s">
        <v>264</v>
      </c>
      <c r="I716" t="s">
        <v>265</v>
      </c>
      <c r="J716" t="s">
        <v>39</v>
      </c>
      <c r="K716">
        <v>82840020</v>
      </c>
      <c r="L716" t="s">
        <v>40</v>
      </c>
      <c r="M716" t="s">
        <v>266</v>
      </c>
      <c r="N716">
        <v>41995546245</v>
      </c>
      <c r="O716">
        <v>0</v>
      </c>
      <c r="P716">
        <v>0</v>
      </c>
      <c r="Q716" t="s">
        <v>309</v>
      </c>
      <c r="R716" t="s">
        <v>42</v>
      </c>
      <c r="S716">
        <v>15016043939</v>
      </c>
      <c r="T716" t="str">
        <f ca="1">VLOOKUP(RANDBETWEEN(1,17),'Auxiliar Vendas'!D:G,2,0)</f>
        <v>Produto 04</v>
      </c>
      <c r="U716">
        <v>378</v>
      </c>
      <c r="V716">
        <v>12.45</v>
      </c>
      <c r="W716">
        <v>0</v>
      </c>
      <c r="X716">
        <v>10.747</v>
      </c>
      <c r="Y716" s="3">
        <v>4706.1000000000004</v>
      </c>
      <c r="Z716">
        <v>83</v>
      </c>
      <c r="AA716" t="s">
        <v>50</v>
      </c>
      <c r="AB716">
        <v>0</v>
      </c>
      <c r="AC716">
        <v>0</v>
      </c>
      <c r="AD716" t="s">
        <v>58</v>
      </c>
      <c r="AH716" s="2">
        <v>44546.811111111114</v>
      </c>
      <c r="AI716">
        <v>0</v>
      </c>
      <c r="AJ716">
        <v>0</v>
      </c>
      <c r="AK716" s="30" t="str">
        <f ca="1">VLOOKUP(T716,'Auxiliar Vendas'!E:F,2,FALSE)</f>
        <v>Produto 04</v>
      </c>
      <c r="AL716" s="31">
        <f ca="1">U716*VLOOKUP(T716,'Auxiliar Vendas'!E:G,3,FALSE)</f>
        <v>226.79999999999998</v>
      </c>
    </row>
    <row r="717" spans="1:38">
      <c r="A717">
        <v>15575055355</v>
      </c>
      <c r="B717">
        <v>212</v>
      </c>
      <c r="D717" s="1">
        <v>44544</v>
      </c>
      <c r="E717">
        <v>15339582855</v>
      </c>
      <c r="F717" t="str">
        <f ca="1">VLOOKUP(RANDBETWEEN(1,20),'DBO Compras'!AA:AC,3,0)</f>
        <v>Comprador 15</v>
      </c>
      <c r="G717" t="s">
        <v>263</v>
      </c>
      <c r="H717" t="s">
        <v>264</v>
      </c>
      <c r="I717" t="s">
        <v>265</v>
      </c>
      <c r="J717" t="s">
        <v>39</v>
      </c>
      <c r="K717">
        <v>82840020</v>
      </c>
      <c r="L717" t="s">
        <v>40</v>
      </c>
      <c r="M717" t="s">
        <v>266</v>
      </c>
      <c r="N717">
        <v>41995546245</v>
      </c>
      <c r="O717">
        <v>0</v>
      </c>
      <c r="P717">
        <v>0</v>
      </c>
      <c r="Q717" t="s">
        <v>309</v>
      </c>
      <c r="R717" t="s">
        <v>42</v>
      </c>
      <c r="S717">
        <v>15016087271</v>
      </c>
      <c r="T717" t="str">
        <f ca="1">VLOOKUP(RANDBETWEEN(1,17),'Auxiliar Vendas'!D:G,2,0)</f>
        <v>Produto 04</v>
      </c>
      <c r="U717">
        <v>243</v>
      </c>
      <c r="V717">
        <v>16.64</v>
      </c>
      <c r="W717">
        <v>10.3</v>
      </c>
      <c r="X717">
        <v>14.4596</v>
      </c>
      <c r="Y717" s="3">
        <v>4043.52</v>
      </c>
      <c r="Z717">
        <v>83</v>
      </c>
      <c r="AA717" t="s">
        <v>64</v>
      </c>
      <c r="AB717">
        <v>0</v>
      </c>
      <c r="AC717">
        <v>0</v>
      </c>
      <c r="AD717" t="s">
        <v>58</v>
      </c>
      <c r="AH717" s="2">
        <v>44546.811111111114</v>
      </c>
      <c r="AI717">
        <v>0</v>
      </c>
      <c r="AJ717">
        <v>0</v>
      </c>
      <c r="AK717" s="30" t="str">
        <f ca="1">VLOOKUP(T717,'Auxiliar Vendas'!E:F,2,FALSE)</f>
        <v>Produto 04</v>
      </c>
      <c r="AL717" s="31">
        <f ca="1">U717*VLOOKUP(T717,'Auxiliar Vendas'!E:G,3,FALSE)</f>
        <v>145.79999999999998</v>
      </c>
    </row>
    <row r="718" spans="1:38">
      <c r="A718">
        <v>15575064407</v>
      </c>
      <c r="B718">
        <v>213</v>
      </c>
      <c r="D718" s="1">
        <v>44544</v>
      </c>
      <c r="E718">
        <v>15179803016</v>
      </c>
      <c r="F718" t="str">
        <f ca="1">VLOOKUP(RANDBETWEEN(1,20),'DBO Compras'!AA:AC,3,0)</f>
        <v>Comprador 16</v>
      </c>
      <c r="G718" t="s">
        <v>155</v>
      </c>
      <c r="H718" t="s">
        <v>156</v>
      </c>
      <c r="I718" t="s">
        <v>157</v>
      </c>
      <c r="J718" t="s">
        <v>158</v>
      </c>
      <c r="K718">
        <v>84500000</v>
      </c>
      <c r="L718" t="s">
        <v>40</v>
      </c>
      <c r="M718" t="s">
        <v>159</v>
      </c>
      <c r="N718">
        <v>42999250064</v>
      </c>
      <c r="O718">
        <v>0</v>
      </c>
      <c r="P718">
        <v>0</v>
      </c>
      <c r="R718" t="s">
        <v>42</v>
      </c>
      <c r="S718">
        <v>15016043939</v>
      </c>
      <c r="T718" t="str">
        <f ca="1">VLOOKUP(RANDBETWEEN(1,17),'Auxiliar Vendas'!D:G,2,0)</f>
        <v>Produto 05</v>
      </c>
      <c r="U718">
        <v>150</v>
      </c>
      <c r="V718">
        <v>13.55</v>
      </c>
      <c r="W718">
        <v>0</v>
      </c>
      <c r="X718">
        <v>10.747</v>
      </c>
      <c r="Y718" s="3">
        <v>2032.5</v>
      </c>
      <c r="Z718">
        <v>50</v>
      </c>
      <c r="AA718" t="s">
        <v>50</v>
      </c>
      <c r="AB718">
        <v>0</v>
      </c>
      <c r="AC718">
        <v>0</v>
      </c>
      <c r="AD718" t="s">
        <v>51</v>
      </c>
      <c r="AH718" s="2">
        <v>44545.701388888891</v>
      </c>
      <c r="AI718">
        <v>0</v>
      </c>
      <c r="AJ718">
        <v>0</v>
      </c>
      <c r="AK718" s="30" t="str">
        <f ca="1">VLOOKUP(T718,'Auxiliar Vendas'!E:F,2,FALSE)</f>
        <v>Produto 05</v>
      </c>
      <c r="AL718" s="31">
        <f ca="1">U718*VLOOKUP(T718,'Auxiliar Vendas'!E:G,3,FALSE)</f>
        <v>90</v>
      </c>
    </row>
    <row r="719" spans="1:38">
      <c r="A719">
        <v>15575064407</v>
      </c>
      <c r="B719">
        <v>213</v>
      </c>
      <c r="D719" s="1">
        <v>44544</v>
      </c>
      <c r="E719">
        <v>15179803016</v>
      </c>
      <c r="F719" t="str">
        <f ca="1">VLOOKUP(RANDBETWEEN(1,20),'DBO Compras'!AA:AC,3,0)</f>
        <v>Comprador 09</v>
      </c>
      <c r="G719" t="s">
        <v>155</v>
      </c>
      <c r="H719" t="s">
        <v>156</v>
      </c>
      <c r="I719" t="s">
        <v>157</v>
      </c>
      <c r="J719" t="s">
        <v>158</v>
      </c>
      <c r="K719">
        <v>84500000</v>
      </c>
      <c r="L719" t="s">
        <v>40</v>
      </c>
      <c r="M719" t="s">
        <v>159</v>
      </c>
      <c r="N719">
        <v>42999250064</v>
      </c>
      <c r="O719">
        <v>0</v>
      </c>
      <c r="P719">
        <v>0</v>
      </c>
      <c r="R719" t="s">
        <v>42</v>
      </c>
      <c r="S719">
        <v>15395751673</v>
      </c>
      <c r="T719" t="str">
        <f ca="1">VLOOKUP(RANDBETWEEN(1,17),'Auxiliar Vendas'!D:G,2,0)</f>
        <v>Produto 16</v>
      </c>
      <c r="U719">
        <v>60</v>
      </c>
      <c r="V719">
        <v>7.8</v>
      </c>
      <c r="W719">
        <v>0</v>
      </c>
      <c r="X719">
        <v>5.8620000000000001</v>
      </c>
      <c r="Y719">
        <v>468</v>
      </c>
      <c r="Z719">
        <v>50</v>
      </c>
      <c r="AA719" t="s">
        <v>268</v>
      </c>
      <c r="AB719">
        <v>0</v>
      </c>
      <c r="AC719">
        <v>0</v>
      </c>
      <c r="AD719" t="s">
        <v>51</v>
      </c>
      <c r="AH719" s="2">
        <v>44545.701388888891</v>
      </c>
      <c r="AI719">
        <v>0</v>
      </c>
      <c r="AJ719">
        <v>0</v>
      </c>
      <c r="AK719" s="30" t="str">
        <f ca="1">VLOOKUP(T719,'Auxiliar Vendas'!E:F,2,FALSE)</f>
        <v>Produto 16</v>
      </c>
      <c r="AL719" s="31">
        <f ca="1">U719*VLOOKUP(T719,'Auxiliar Vendas'!E:G,3,FALSE)</f>
        <v>76.2</v>
      </c>
    </row>
    <row r="720" spans="1:38">
      <c r="A720">
        <v>15575064407</v>
      </c>
      <c r="B720">
        <v>213</v>
      </c>
      <c r="D720" s="1">
        <v>44544</v>
      </c>
      <c r="E720">
        <v>15179803016</v>
      </c>
      <c r="F720" t="str">
        <f ca="1">VLOOKUP(RANDBETWEEN(1,20),'DBO Compras'!AA:AC,3,0)</f>
        <v>Comprador 15</v>
      </c>
      <c r="G720" t="s">
        <v>155</v>
      </c>
      <c r="H720" t="s">
        <v>156</v>
      </c>
      <c r="I720" t="s">
        <v>157</v>
      </c>
      <c r="J720" t="s">
        <v>158</v>
      </c>
      <c r="K720">
        <v>84500000</v>
      </c>
      <c r="L720" t="s">
        <v>40</v>
      </c>
      <c r="M720" t="s">
        <v>159</v>
      </c>
      <c r="N720">
        <v>42999250064</v>
      </c>
      <c r="O720">
        <v>0</v>
      </c>
      <c r="P720">
        <v>0</v>
      </c>
      <c r="R720" t="s">
        <v>42</v>
      </c>
      <c r="S720">
        <v>15015511068</v>
      </c>
      <c r="T720" t="str">
        <f ca="1">VLOOKUP(RANDBETWEEN(1,17),'Auxiliar Vendas'!D:G,2,0)</f>
        <v>Produto 14</v>
      </c>
      <c r="U720">
        <v>100</v>
      </c>
      <c r="V720">
        <v>16</v>
      </c>
      <c r="W720">
        <v>3.61</v>
      </c>
      <c r="X720">
        <v>10.23</v>
      </c>
      <c r="Y720" s="3">
        <v>1600</v>
      </c>
      <c r="Z720">
        <v>50</v>
      </c>
      <c r="AA720" t="s">
        <v>53</v>
      </c>
      <c r="AB720">
        <v>0</v>
      </c>
      <c r="AC720">
        <v>0</v>
      </c>
      <c r="AD720" t="s">
        <v>51</v>
      </c>
      <c r="AH720" s="2">
        <v>44545.701388888891</v>
      </c>
      <c r="AI720">
        <v>0</v>
      </c>
      <c r="AJ720">
        <v>0</v>
      </c>
      <c r="AK720" s="30" t="str">
        <f ca="1">VLOOKUP(T720,'Auxiliar Vendas'!E:F,2,FALSE)</f>
        <v>Produto 14</v>
      </c>
      <c r="AL720" s="31">
        <f ca="1">U720*VLOOKUP(T720,'Auxiliar Vendas'!E:G,3,FALSE)</f>
        <v>140</v>
      </c>
    </row>
    <row r="721" spans="1:38">
      <c r="A721">
        <v>15575064407</v>
      </c>
      <c r="B721">
        <v>213</v>
      </c>
      <c r="D721" s="1">
        <v>44544</v>
      </c>
      <c r="E721">
        <v>15179803016</v>
      </c>
      <c r="F721" t="str">
        <f ca="1">VLOOKUP(RANDBETWEEN(1,20),'DBO Compras'!AA:AC,3,0)</f>
        <v>Comprador 06</v>
      </c>
      <c r="G721" t="s">
        <v>155</v>
      </c>
      <c r="H721" t="s">
        <v>156</v>
      </c>
      <c r="I721" t="s">
        <v>157</v>
      </c>
      <c r="J721" t="s">
        <v>158</v>
      </c>
      <c r="K721">
        <v>84500000</v>
      </c>
      <c r="L721" t="s">
        <v>40</v>
      </c>
      <c r="M721" t="s">
        <v>159</v>
      </c>
      <c r="N721">
        <v>42999250064</v>
      </c>
      <c r="O721">
        <v>0</v>
      </c>
      <c r="P721">
        <v>0</v>
      </c>
      <c r="R721" t="s">
        <v>42</v>
      </c>
      <c r="S721">
        <v>15015918644</v>
      </c>
      <c r="T721" t="str">
        <f ca="1">VLOOKUP(RANDBETWEEN(1,17),'Auxiliar Vendas'!D:G,2,0)</f>
        <v>Produto 07</v>
      </c>
      <c r="U721">
        <v>60</v>
      </c>
      <c r="V721">
        <v>7.8</v>
      </c>
      <c r="W721">
        <v>5.8</v>
      </c>
      <c r="X721">
        <v>5.61</v>
      </c>
      <c r="Y721">
        <v>468</v>
      </c>
      <c r="Z721">
        <v>50</v>
      </c>
      <c r="AA721" t="s">
        <v>59</v>
      </c>
      <c r="AB721">
        <v>0</v>
      </c>
      <c r="AC721">
        <v>0</v>
      </c>
      <c r="AD721" t="s">
        <v>51</v>
      </c>
      <c r="AH721" s="2">
        <v>44545.701388888891</v>
      </c>
      <c r="AI721">
        <v>0</v>
      </c>
      <c r="AJ721">
        <v>0</v>
      </c>
      <c r="AK721" s="30" t="str">
        <f ca="1">VLOOKUP(T721,'Auxiliar Vendas'!E:F,2,FALSE)</f>
        <v>Produto 07</v>
      </c>
      <c r="AL721" s="31">
        <f ca="1">U721*VLOOKUP(T721,'Auxiliar Vendas'!E:G,3,FALSE)</f>
        <v>66</v>
      </c>
    </row>
    <row r="722" spans="1:38">
      <c r="A722">
        <v>15575564964</v>
      </c>
      <c r="B722">
        <v>214</v>
      </c>
      <c r="D722" s="1">
        <v>44544</v>
      </c>
      <c r="E722">
        <v>15575564960</v>
      </c>
      <c r="F722" t="str">
        <f ca="1">VLOOKUP(RANDBETWEEN(1,20),'DBO Compras'!AA:AC,3,0)</f>
        <v>Comprador 11</v>
      </c>
      <c r="G722" t="s">
        <v>310</v>
      </c>
      <c r="H722" t="s">
        <v>311</v>
      </c>
      <c r="I722" t="s">
        <v>312</v>
      </c>
      <c r="J722" t="s">
        <v>91</v>
      </c>
      <c r="K722">
        <v>88337440</v>
      </c>
      <c r="L722" t="s">
        <v>92</v>
      </c>
      <c r="M722" t="s">
        <v>313</v>
      </c>
      <c r="N722">
        <v>4721223580</v>
      </c>
      <c r="O722">
        <v>0</v>
      </c>
      <c r="P722">
        <v>0</v>
      </c>
      <c r="R722" t="s">
        <v>42</v>
      </c>
      <c r="S722">
        <v>15016099089</v>
      </c>
      <c r="T722" t="str">
        <f ca="1">VLOOKUP(RANDBETWEEN(1,17),'Auxiliar Vendas'!D:G,2,0)</f>
        <v>Produto 08</v>
      </c>
      <c r="U722">
        <v>500</v>
      </c>
      <c r="V722">
        <v>20</v>
      </c>
      <c r="W722">
        <v>0</v>
      </c>
      <c r="X722">
        <v>16.804400000000001</v>
      </c>
      <c r="Y722" s="3">
        <v>10000</v>
      </c>
      <c r="Z722">
        <v>129</v>
      </c>
      <c r="AA722" t="s">
        <v>79</v>
      </c>
      <c r="AB722">
        <v>0</v>
      </c>
      <c r="AC722">
        <v>0</v>
      </c>
      <c r="AD722" t="s">
        <v>189</v>
      </c>
      <c r="AH722" s="2">
        <v>44550.707638888889</v>
      </c>
      <c r="AI722">
        <v>0</v>
      </c>
      <c r="AJ722">
        <v>0</v>
      </c>
      <c r="AK722" s="30" t="str">
        <f ca="1">VLOOKUP(T722,'Auxiliar Vendas'!E:F,2,FALSE)</f>
        <v>Produto 08</v>
      </c>
      <c r="AL722" s="31">
        <f ca="1">U722*VLOOKUP(T722,'Auxiliar Vendas'!E:G,3,FALSE)</f>
        <v>550</v>
      </c>
    </row>
    <row r="723" spans="1:38">
      <c r="A723">
        <v>15581417251</v>
      </c>
      <c r="B723">
        <v>215</v>
      </c>
      <c r="D723" s="1">
        <v>44545</v>
      </c>
      <c r="E723">
        <v>15483144585</v>
      </c>
      <c r="F723" t="str">
        <f ca="1">VLOOKUP(RANDBETWEEN(1,20),'DBO Compras'!AA:AC,3,0)</f>
        <v>Comprador 01</v>
      </c>
      <c r="G723" t="s">
        <v>279</v>
      </c>
      <c r="H723" t="s">
        <v>476</v>
      </c>
      <c r="I723" t="s">
        <v>477</v>
      </c>
      <c r="J723" t="s">
        <v>280</v>
      </c>
      <c r="K723">
        <v>88370777</v>
      </c>
      <c r="L723" t="s">
        <v>92</v>
      </c>
      <c r="M723" t="s">
        <v>281</v>
      </c>
      <c r="N723">
        <v>4733426422</v>
      </c>
      <c r="O723">
        <v>0</v>
      </c>
      <c r="P723">
        <v>0</v>
      </c>
      <c r="R723" t="s">
        <v>42</v>
      </c>
      <c r="S723">
        <v>15016087271</v>
      </c>
      <c r="T723" t="str">
        <f ca="1">VLOOKUP(RANDBETWEEN(1,17),'Auxiliar Vendas'!D:G,2,0)</f>
        <v>Produto 13</v>
      </c>
      <c r="U723">
        <v>183</v>
      </c>
      <c r="V723">
        <v>17.3</v>
      </c>
      <c r="W723">
        <v>0</v>
      </c>
      <c r="X723">
        <v>14.4596</v>
      </c>
      <c r="Y723" s="3">
        <v>3165.9</v>
      </c>
      <c r="Z723">
        <v>107</v>
      </c>
      <c r="AA723" t="s">
        <v>64</v>
      </c>
      <c r="AB723">
        <v>0</v>
      </c>
      <c r="AC723">
        <v>0</v>
      </c>
      <c r="AD723" t="s">
        <v>189</v>
      </c>
      <c r="AH723" s="2">
        <v>44550.706944444442</v>
      </c>
      <c r="AI723">
        <v>0</v>
      </c>
      <c r="AJ723">
        <v>0</v>
      </c>
      <c r="AK723" s="30" t="str">
        <f ca="1">VLOOKUP(T723,'Auxiliar Vendas'!E:F,2,FALSE)</f>
        <v>Produto 13</v>
      </c>
      <c r="AL723" s="31">
        <f ca="1">U723*VLOOKUP(T723,'Auxiliar Vendas'!E:G,3,FALSE)</f>
        <v>256.2</v>
      </c>
    </row>
    <row r="724" spans="1:38">
      <c r="A724">
        <v>15581417251</v>
      </c>
      <c r="B724">
        <v>215</v>
      </c>
      <c r="D724" s="1">
        <v>44545</v>
      </c>
      <c r="E724">
        <v>15483144585</v>
      </c>
      <c r="F724" t="str">
        <f ca="1">VLOOKUP(RANDBETWEEN(1,20),'DBO Compras'!AA:AC,3,0)</f>
        <v>Comprador 02</v>
      </c>
      <c r="G724" t="s">
        <v>279</v>
      </c>
      <c r="H724" t="s">
        <v>476</v>
      </c>
      <c r="I724" t="s">
        <v>477</v>
      </c>
      <c r="J724" t="s">
        <v>280</v>
      </c>
      <c r="K724">
        <v>88370777</v>
      </c>
      <c r="L724" t="s">
        <v>92</v>
      </c>
      <c r="M724" t="s">
        <v>281</v>
      </c>
      <c r="N724">
        <v>4733426422</v>
      </c>
      <c r="O724">
        <v>0</v>
      </c>
      <c r="P724">
        <v>0</v>
      </c>
      <c r="R724" t="s">
        <v>42</v>
      </c>
      <c r="S724">
        <v>15016099089</v>
      </c>
      <c r="T724" t="str">
        <f ca="1">VLOOKUP(RANDBETWEEN(1,17),'Auxiliar Vendas'!D:G,2,0)</f>
        <v>Produto 03</v>
      </c>
      <c r="U724">
        <v>310</v>
      </c>
      <c r="V724">
        <v>27.07</v>
      </c>
      <c r="W724">
        <v>0</v>
      </c>
      <c r="X724">
        <v>16.804400000000001</v>
      </c>
      <c r="Y724" s="3">
        <v>8391.7000000000007</v>
      </c>
      <c r="Z724">
        <v>107</v>
      </c>
      <c r="AA724" t="s">
        <v>79</v>
      </c>
      <c r="AB724">
        <v>0</v>
      </c>
      <c r="AC724">
        <v>0</v>
      </c>
      <c r="AD724" t="s">
        <v>189</v>
      </c>
      <c r="AH724" s="2">
        <v>44550.706944444442</v>
      </c>
      <c r="AI724">
        <v>0</v>
      </c>
      <c r="AJ724">
        <v>0</v>
      </c>
      <c r="AK724" s="30" t="str">
        <f ca="1">VLOOKUP(T724,'Auxiliar Vendas'!E:F,2,FALSE)</f>
        <v>Produto 03</v>
      </c>
      <c r="AL724" s="31">
        <f ca="1">U724*VLOOKUP(T724,'Auxiliar Vendas'!E:G,3,FALSE)</f>
        <v>186</v>
      </c>
    </row>
    <row r="725" spans="1:38">
      <c r="A725">
        <v>15581417251</v>
      </c>
      <c r="B725">
        <v>215</v>
      </c>
      <c r="D725" s="1">
        <v>44545</v>
      </c>
      <c r="E725">
        <v>15483144585</v>
      </c>
      <c r="F725" t="str">
        <f ca="1">VLOOKUP(RANDBETWEEN(1,20),'DBO Compras'!AA:AC,3,0)</f>
        <v>Comprador 12</v>
      </c>
      <c r="G725" t="s">
        <v>279</v>
      </c>
      <c r="H725" t="s">
        <v>476</v>
      </c>
      <c r="I725" t="s">
        <v>477</v>
      </c>
      <c r="J725" t="s">
        <v>280</v>
      </c>
      <c r="K725">
        <v>88370777</v>
      </c>
      <c r="L725" t="s">
        <v>92</v>
      </c>
      <c r="M725" t="s">
        <v>281</v>
      </c>
      <c r="N725">
        <v>4733426422</v>
      </c>
      <c r="O725">
        <v>0</v>
      </c>
      <c r="P725">
        <v>0</v>
      </c>
      <c r="R725" t="s">
        <v>42</v>
      </c>
      <c r="S725">
        <v>15016099089</v>
      </c>
      <c r="T725" t="str">
        <f ca="1">VLOOKUP(RANDBETWEEN(1,17),'Auxiliar Vendas'!D:G,2,0)</f>
        <v>Produto 15</v>
      </c>
      <c r="U725">
        <v>214</v>
      </c>
      <c r="V725">
        <v>23.7</v>
      </c>
      <c r="W725">
        <v>0</v>
      </c>
      <c r="X725">
        <v>16.804400000000001</v>
      </c>
      <c r="Y725" s="3">
        <v>5071.8</v>
      </c>
      <c r="Z725">
        <v>107</v>
      </c>
      <c r="AA725" t="s">
        <v>79</v>
      </c>
      <c r="AB725">
        <v>0</v>
      </c>
      <c r="AC725">
        <v>0</v>
      </c>
      <c r="AD725" t="s">
        <v>189</v>
      </c>
      <c r="AH725" s="2">
        <v>44550.706944444442</v>
      </c>
      <c r="AI725">
        <v>0</v>
      </c>
      <c r="AJ725">
        <v>0</v>
      </c>
      <c r="AK725" s="30" t="str">
        <f ca="1">VLOOKUP(T725,'Auxiliar Vendas'!E:F,2,FALSE)</f>
        <v>Produto 15</v>
      </c>
      <c r="AL725" s="31">
        <f ca="1">U725*VLOOKUP(T725,'Auxiliar Vendas'!E:G,3,FALSE)</f>
        <v>303.88</v>
      </c>
    </row>
    <row r="726" spans="1:38">
      <c r="A726">
        <v>15581439204</v>
      </c>
      <c r="B726">
        <v>216</v>
      </c>
      <c r="D726" s="1">
        <v>44545</v>
      </c>
      <c r="E726">
        <v>15483144585</v>
      </c>
      <c r="F726" t="str">
        <f ca="1">VLOOKUP(RANDBETWEEN(1,20),'DBO Compras'!AA:AC,3,0)</f>
        <v>Comprador 02</v>
      </c>
      <c r="G726" t="s">
        <v>279</v>
      </c>
      <c r="H726" t="s">
        <v>476</v>
      </c>
      <c r="I726" t="s">
        <v>477</v>
      </c>
      <c r="J726" t="s">
        <v>280</v>
      </c>
      <c r="K726">
        <v>88370777</v>
      </c>
      <c r="L726" t="s">
        <v>92</v>
      </c>
      <c r="M726" t="s">
        <v>281</v>
      </c>
      <c r="N726">
        <v>4733426422</v>
      </c>
      <c r="O726">
        <v>0</v>
      </c>
      <c r="P726">
        <v>0</v>
      </c>
      <c r="Q726" t="s">
        <v>314</v>
      </c>
      <c r="R726" t="s">
        <v>42</v>
      </c>
      <c r="S726">
        <v>15016080333</v>
      </c>
      <c r="T726" t="str">
        <f ca="1">VLOOKUP(RANDBETWEEN(1,17),'Auxiliar Vendas'!D:G,2,0)</f>
        <v>Produto 01</v>
      </c>
      <c r="U726">
        <v>40</v>
      </c>
      <c r="V726">
        <v>13.4</v>
      </c>
      <c r="W726">
        <v>0</v>
      </c>
      <c r="X726">
        <v>10.747</v>
      </c>
      <c r="Y726">
        <v>536</v>
      </c>
      <c r="Z726">
        <v>107</v>
      </c>
      <c r="AA726" t="s">
        <v>80</v>
      </c>
      <c r="AB726">
        <v>0</v>
      </c>
      <c r="AC726">
        <v>0</v>
      </c>
      <c r="AD726" t="s">
        <v>189</v>
      </c>
      <c r="AH726" s="2">
        <v>44550.706944444442</v>
      </c>
      <c r="AI726">
        <v>0</v>
      </c>
      <c r="AJ726">
        <v>0</v>
      </c>
      <c r="AK726" s="30" t="str">
        <f ca="1">VLOOKUP(T726,'Auxiliar Vendas'!E:F,2,FALSE)</f>
        <v>Produto 01</v>
      </c>
      <c r="AL726" s="31">
        <f ca="1">U726*VLOOKUP(T726,'Auxiliar Vendas'!E:G,3,FALSE)</f>
        <v>16</v>
      </c>
    </row>
    <row r="727" spans="1:38">
      <c r="A727">
        <v>15581439204</v>
      </c>
      <c r="B727">
        <v>216</v>
      </c>
      <c r="D727" s="1">
        <v>44545</v>
      </c>
      <c r="E727">
        <v>15483144585</v>
      </c>
      <c r="F727" t="str">
        <f ca="1">VLOOKUP(RANDBETWEEN(1,20),'DBO Compras'!AA:AC,3,0)</f>
        <v>Comprador 19</v>
      </c>
      <c r="G727" t="s">
        <v>279</v>
      </c>
      <c r="H727" t="s">
        <v>476</v>
      </c>
      <c r="I727" t="s">
        <v>477</v>
      </c>
      <c r="J727" t="s">
        <v>280</v>
      </c>
      <c r="K727">
        <v>88370777</v>
      </c>
      <c r="L727" t="s">
        <v>92</v>
      </c>
      <c r="M727" t="s">
        <v>281</v>
      </c>
      <c r="N727">
        <v>4733426422</v>
      </c>
      <c r="O727">
        <v>0</v>
      </c>
      <c r="P727">
        <v>0</v>
      </c>
      <c r="Q727" t="s">
        <v>314</v>
      </c>
      <c r="R727" t="s">
        <v>42</v>
      </c>
      <c r="S727">
        <v>15016093155</v>
      </c>
      <c r="T727" t="str">
        <f ca="1">VLOOKUP(RANDBETWEEN(1,17),'Auxiliar Vendas'!D:G,2,0)</f>
        <v>Produto 11</v>
      </c>
      <c r="U727">
        <v>160</v>
      </c>
      <c r="V727">
        <v>19.03</v>
      </c>
      <c r="W727">
        <v>0</v>
      </c>
      <c r="X727">
        <v>14.4596</v>
      </c>
      <c r="Y727" s="3">
        <v>3044.8</v>
      </c>
      <c r="Z727">
        <v>107</v>
      </c>
      <c r="AA727" t="s">
        <v>65</v>
      </c>
      <c r="AB727">
        <v>0</v>
      </c>
      <c r="AC727">
        <v>0</v>
      </c>
      <c r="AD727" t="s">
        <v>189</v>
      </c>
      <c r="AH727" s="2">
        <v>44550.706944444442</v>
      </c>
      <c r="AI727">
        <v>0</v>
      </c>
      <c r="AJ727">
        <v>0</v>
      </c>
      <c r="AK727" s="30" t="str">
        <f ca="1">VLOOKUP(T727,'Auxiliar Vendas'!E:F,2,FALSE)</f>
        <v>Produto 11</v>
      </c>
      <c r="AL727" s="31">
        <f ca="1">U727*VLOOKUP(T727,'Auxiliar Vendas'!E:G,3,FALSE)</f>
        <v>176</v>
      </c>
    </row>
    <row r="728" spans="1:38">
      <c r="A728">
        <v>15581439204</v>
      </c>
      <c r="B728">
        <v>216</v>
      </c>
      <c r="D728" s="1">
        <v>44545</v>
      </c>
      <c r="E728">
        <v>15483144585</v>
      </c>
      <c r="F728" t="str">
        <f ca="1">VLOOKUP(RANDBETWEEN(1,20),'DBO Compras'!AA:AC,3,0)</f>
        <v>Comprador 05</v>
      </c>
      <c r="G728" t="s">
        <v>279</v>
      </c>
      <c r="H728" t="s">
        <v>476</v>
      </c>
      <c r="I728" t="s">
        <v>477</v>
      </c>
      <c r="J728" t="s">
        <v>280</v>
      </c>
      <c r="K728">
        <v>88370777</v>
      </c>
      <c r="L728" t="s">
        <v>92</v>
      </c>
      <c r="M728" t="s">
        <v>281</v>
      </c>
      <c r="N728">
        <v>4733426422</v>
      </c>
      <c r="O728">
        <v>0</v>
      </c>
      <c r="P728">
        <v>0</v>
      </c>
      <c r="Q728" t="s">
        <v>314</v>
      </c>
      <c r="R728" t="s">
        <v>42</v>
      </c>
      <c r="S728">
        <v>15016087271</v>
      </c>
      <c r="T728" t="str">
        <f ca="1">VLOOKUP(RANDBETWEEN(1,17),'Auxiliar Vendas'!D:G,2,0)</f>
        <v>Produto 09</v>
      </c>
      <c r="U728">
        <v>10</v>
      </c>
      <c r="V728">
        <v>17.3</v>
      </c>
      <c r="W728">
        <v>0</v>
      </c>
      <c r="X728">
        <v>14.4596</v>
      </c>
      <c r="Y728">
        <v>173</v>
      </c>
      <c r="Z728">
        <v>107</v>
      </c>
      <c r="AA728" t="s">
        <v>64</v>
      </c>
      <c r="AB728">
        <v>0</v>
      </c>
      <c r="AC728">
        <v>0</v>
      </c>
      <c r="AD728" t="s">
        <v>189</v>
      </c>
      <c r="AH728" s="2">
        <v>44550.706944444442</v>
      </c>
      <c r="AI728">
        <v>0</v>
      </c>
      <c r="AJ728">
        <v>0</v>
      </c>
      <c r="AK728" s="30" t="str">
        <f ca="1">VLOOKUP(T728,'Auxiliar Vendas'!E:F,2,FALSE)</f>
        <v>Produto 09</v>
      </c>
      <c r="AL728" s="31">
        <f ca="1">U728*VLOOKUP(T728,'Auxiliar Vendas'!E:G,3,FALSE)</f>
        <v>11</v>
      </c>
    </row>
    <row r="729" spans="1:38">
      <c r="A729">
        <v>15581439204</v>
      </c>
      <c r="B729">
        <v>216</v>
      </c>
      <c r="D729" s="1">
        <v>44545</v>
      </c>
      <c r="E729">
        <v>15483144585</v>
      </c>
      <c r="F729" t="str">
        <f ca="1">VLOOKUP(RANDBETWEEN(1,20),'DBO Compras'!AA:AC,3,0)</f>
        <v>Comprador 03</v>
      </c>
      <c r="G729" t="s">
        <v>279</v>
      </c>
      <c r="H729" t="s">
        <v>476</v>
      </c>
      <c r="I729" t="s">
        <v>477</v>
      </c>
      <c r="J729" t="s">
        <v>280</v>
      </c>
      <c r="K729">
        <v>88370777</v>
      </c>
      <c r="L729" t="s">
        <v>92</v>
      </c>
      <c r="M729" t="s">
        <v>281</v>
      </c>
      <c r="N729">
        <v>4733426422</v>
      </c>
      <c r="O729">
        <v>0</v>
      </c>
      <c r="P729">
        <v>0</v>
      </c>
      <c r="Q729" t="s">
        <v>314</v>
      </c>
      <c r="R729" t="s">
        <v>42</v>
      </c>
      <c r="S729">
        <v>15016099089</v>
      </c>
      <c r="T729" t="str">
        <f ca="1">VLOOKUP(RANDBETWEEN(1,17),'Auxiliar Vendas'!D:G,2,0)</f>
        <v>Produto 09</v>
      </c>
      <c r="U729">
        <v>30</v>
      </c>
      <c r="V729">
        <v>22.35</v>
      </c>
      <c r="W729">
        <v>0</v>
      </c>
      <c r="X729">
        <v>16.804400000000001</v>
      </c>
      <c r="Y729">
        <v>670.5</v>
      </c>
      <c r="Z729">
        <v>107</v>
      </c>
      <c r="AA729" t="s">
        <v>79</v>
      </c>
      <c r="AB729">
        <v>0</v>
      </c>
      <c r="AC729">
        <v>0</v>
      </c>
      <c r="AD729" t="s">
        <v>189</v>
      </c>
      <c r="AH729" s="2">
        <v>44550.706944444442</v>
      </c>
      <c r="AI729">
        <v>0</v>
      </c>
      <c r="AJ729">
        <v>0</v>
      </c>
      <c r="AK729" s="30" t="str">
        <f ca="1">VLOOKUP(T729,'Auxiliar Vendas'!E:F,2,FALSE)</f>
        <v>Produto 09</v>
      </c>
      <c r="AL729" s="31">
        <f ca="1">U729*VLOOKUP(T729,'Auxiliar Vendas'!E:G,3,FALSE)</f>
        <v>33</v>
      </c>
    </row>
    <row r="730" spans="1:38">
      <c r="A730">
        <v>15581439204</v>
      </c>
      <c r="B730">
        <v>216</v>
      </c>
      <c r="D730" s="1">
        <v>44545</v>
      </c>
      <c r="E730">
        <v>15483144585</v>
      </c>
      <c r="F730" t="str">
        <f ca="1">VLOOKUP(RANDBETWEEN(1,20),'DBO Compras'!AA:AC,3,0)</f>
        <v>Comprador 01</v>
      </c>
      <c r="G730" t="s">
        <v>279</v>
      </c>
      <c r="H730" t="s">
        <v>476</v>
      </c>
      <c r="I730" t="s">
        <v>477</v>
      </c>
      <c r="J730" t="s">
        <v>280</v>
      </c>
      <c r="K730">
        <v>88370777</v>
      </c>
      <c r="L730" t="s">
        <v>92</v>
      </c>
      <c r="M730" t="s">
        <v>281</v>
      </c>
      <c r="N730">
        <v>4733426422</v>
      </c>
      <c r="O730">
        <v>0</v>
      </c>
      <c r="P730">
        <v>0</v>
      </c>
      <c r="Q730" t="s">
        <v>314</v>
      </c>
      <c r="R730" t="s">
        <v>42</v>
      </c>
      <c r="S730">
        <v>15016043939</v>
      </c>
      <c r="T730" t="str">
        <f ca="1">VLOOKUP(RANDBETWEEN(1,17),'Auxiliar Vendas'!D:G,2,0)</f>
        <v>Produto 16</v>
      </c>
      <c r="U730">
        <v>230</v>
      </c>
      <c r="V730">
        <v>12.8</v>
      </c>
      <c r="W730">
        <v>0</v>
      </c>
      <c r="X730">
        <v>10.747</v>
      </c>
      <c r="Y730" s="3">
        <v>2944</v>
      </c>
      <c r="Z730">
        <v>107</v>
      </c>
      <c r="AA730" t="s">
        <v>50</v>
      </c>
      <c r="AB730">
        <v>0</v>
      </c>
      <c r="AC730">
        <v>0</v>
      </c>
      <c r="AD730" t="s">
        <v>189</v>
      </c>
      <c r="AH730" s="2">
        <v>44550.706944444442</v>
      </c>
      <c r="AI730">
        <v>0</v>
      </c>
      <c r="AJ730">
        <v>0</v>
      </c>
      <c r="AK730" s="30" t="str">
        <f ca="1">VLOOKUP(T730,'Auxiliar Vendas'!E:F,2,FALSE)</f>
        <v>Produto 16</v>
      </c>
      <c r="AL730" s="31">
        <f ca="1">U730*VLOOKUP(T730,'Auxiliar Vendas'!E:G,3,FALSE)</f>
        <v>292.10000000000002</v>
      </c>
    </row>
    <row r="731" spans="1:38">
      <c r="A731">
        <v>15581439204</v>
      </c>
      <c r="B731">
        <v>216</v>
      </c>
      <c r="D731" s="1">
        <v>44545</v>
      </c>
      <c r="E731">
        <v>15483144585</v>
      </c>
      <c r="F731" t="str">
        <f ca="1">VLOOKUP(RANDBETWEEN(1,20),'DBO Compras'!AA:AC,3,0)</f>
        <v>Comprador 06</v>
      </c>
      <c r="G731" t="s">
        <v>279</v>
      </c>
      <c r="H731" t="s">
        <v>476</v>
      </c>
      <c r="I731" t="s">
        <v>477</v>
      </c>
      <c r="J731" t="s">
        <v>280</v>
      </c>
      <c r="K731">
        <v>88370777</v>
      </c>
      <c r="L731" t="s">
        <v>92</v>
      </c>
      <c r="M731" t="s">
        <v>281</v>
      </c>
      <c r="N731">
        <v>4733426422</v>
      </c>
      <c r="O731">
        <v>0</v>
      </c>
      <c r="P731">
        <v>0</v>
      </c>
      <c r="Q731" t="s">
        <v>314</v>
      </c>
      <c r="R731" t="s">
        <v>42</v>
      </c>
      <c r="S731">
        <v>15015511068</v>
      </c>
      <c r="T731" t="str">
        <f ca="1">VLOOKUP(RANDBETWEEN(1,17),'Auxiliar Vendas'!D:G,2,0)</f>
        <v>Produto 04</v>
      </c>
      <c r="U731">
        <v>80</v>
      </c>
      <c r="V731">
        <v>15</v>
      </c>
      <c r="W731">
        <v>9.64</v>
      </c>
      <c r="X731">
        <v>10.23</v>
      </c>
      <c r="Y731" s="3">
        <v>1200</v>
      </c>
      <c r="Z731">
        <v>107</v>
      </c>
      <c r="AA731" t="s">
        <v>53</v>
      </c>
      <c r="AB731">
        <v>0</v>
      </c>
      <c r="AC731">
        <v>0</v>
      </c>
      <c r="AD731" t="s">
        <v>189</v>
      </c>
      <c r="AH731" s="2">
        <v>44550.706944444442</v>
      </c>
      <c r="AI731">
        <v>0</v>
      </c>
      <c r="AJ731">
        <v>0</v>
      </c>
      <c r="AK731" s="30" t="str">
        <f ca="1">VLOOKUP(T731,'Auxiliar Vendas'!E:F,2,FALSE)</f>
        <v>Produto 04</v>
      </c>
      <c r="AL731" s="31">
        <f ca="1">U731*VLOOKUP(T731,'Auxiliar Vendas'!E:G,3,FALSE)</f>
        <v>48</v>
      </c>
    </row>
    <row r="732" spans="1:38">
      <c r="A732">
        <v>15581992596</v>
      </c>
      <c r="B732">
        <v>217</v>
      </c>
      <c r="D732" s="1">
        <v>44545</v>
      </c>
      <c r="E732">
        <v>15295556615</v>
      </c>
      <c r="F732" t="str">
        <f ca="1">VLOOKUP(RANDBETWEEN(1,20),'DBO Compras'!AA:AC,3,0)</f>
        <v>Comprador 13</v>
      </c>
      <c r="G732" t="s">
        <v>261</v>
      </c>
      <c r="H732" t="s">
        <v>262</v>
      </c>
      <c r="I732" t="s">
        <v>69</v>
      </c>
      <c r="J732" t="s">
        <v>244</v>
      </c>
      <c r="K732">
        <v>84261350</v>
      </c>
      <c r="L732" t="s">
        <v>40</v>
      </c>
      <c r="N732">
        <v>4284158927</v>
      </c>
      <c r="O732">
        <v>0</v>
      </c>
      <c r="P732">
        <v>0</v>
      </c>
      <c r="R732" t="s">
        <v>42</v>
      </c>
      <c r="S732">
        <v>15016093155</v>
      </c>
      <c r="T732" t="str">
        <f ca="1">VLOOKUP(RANDBETWEEN(1,17),'Auxiliar Vendas'!D:G,2,0)</f>
        <v>Produto 03</v>
      </c>
      <c r="U732">
        <v>50</v>
      </c>
      <c r="V732">
        <v>18.649999999999999</v>
      </c>
      <c r="W732">
        <v>0</v>
      </c>
      <c r="X732">
        <v>14.4596</v>
      </c>
      <c r="Y732">
        <v>932.5</v>
      </c>
      <c r="Z732">
        <v>79</v>
      </c>
      <c r="AA732" t="s">
        <v>65</v>
      </c>
      <c r="AB732">
        <v>0</v>
      </c>
      <c r="AC732">
        <v>0</v>
      </c>
      <c r="AD732" t="s">
        <v>58</v>
      </c>
      <c r="AH732" s="2">
        <v>44545.571527777778</v>
      </c>
      <c r="AI732">
        <v>0</v>
      </c>
      <c r="AJ732">
        <v>0</v>
      </c>
      <c r="AK732" s="30" t="str">
        <f ca="1">VLOOKUP(T732,'Auxiliar Vendas'!E:F,2,FALSE)</f>
        <v>Produto 03</v>
      </c>
      <c r="AL732" s="31">
        <f ca="1">U732*VLOOKUP(T732,'Auxiliar Vendas'!E:G,3,FALSE)</f>
        <v>30</v>
      </c>
    </row>
    <row r="733" spans="1:38">
      <c r="A733">
        <v>15581992596</v>
      </c>
      <c r="B733">
        <v>217</v>
      </c>
      <c r="D733" s="1">
        <v>44545</v>
      </c>
      <c r="E733">
        <v>15295556615</v>
      </c>
      <c r="F733" t="str">
        <f ca="1">VLOOKUP(RANDBETWEEN(1,20),'DBO Compras'!AA:AC,3,0)</f>
        <v>Comprador 18</v>
      </c>
      <c r="G733" t="s">
        <v>261</v>
      </c>
      <c r="H733" t="s">
        <v>262</v>
      </c>
      <c r="I733" t="s">
        <v>69</v>
      </c>
      <c r="J733" t="s">
        <v>244</v>
      </c>
      <c r="K733">
        <v>84261350</v>
      </c>
      <c r="L733" t="s">
        <v>40</v>
      </c>
      <c r="N733">
        <v>4284158927</v>
      </c>
      <c r="O733">
        <v>0</v>
      </c>
      <c r="P733">
        <v>0</v>
      </c>
      <c r="R733" t="s">
        <v>42</v>
      </c>
      <c r="S733">
        <v>15016049144</v>
      </c>
      <c r="T733" t="str">
        <f ca="1">VLOOKUP(RANDBETWEEN(1,17),'Auxiliar Vendas'!D:G,2,0)</f>
        <v>Produto 15</v>
      </c>
      <c r="U733">
        <v>150</v>
      </c>
      <c r="V733">
        <v>8.18</v>
      </c>
      <c r="W733">
        <v>0</v>
      </c>
      <c r="X733">
        <v>5.8620000000000001</v>
      </c>
      <c r="Y733" s="3">
        <v>1227</v>
      </c>
      <c r="Z733">
        <v>79</v>
      </c>
      <c r="AA733" t="s">
        <v>267</v>
      </c>
      <c r="AB733">
        <v>0</v>
      </c>
      <c r="AC733">
        <v>0</v>
      </c>
      <c r="AD733" t="s">
        <v>58</v>
      </c>
      <c r="AH733" s="2">
        <v>44545.571527777778</v>
      </c>
      <c r="AI733">
        <v>0</v>
      </c>
      <c r="AJ733">
        <v>0</v>
      </c>
      <c r="AK733" s="30" t="str">
        <f ca="1">VLOOKUP(T733,'Auxiliar Vendas'!E:F,2,FALSE)</f>
        <v>Produto 15</v>
      </c>
      <c r="AL733" s="31">
        <f ca="1">U733*VLOOKUP(T733,'Auxiliar Vendas'!E:G,3,FALSE)</f>
        <v>213</v>
      </c>
    </row>
    <row r="734" spans="1:38">
      <c r="A734">
        <v>15581992596</v>
      </c>
      <c r="B734">
        <v>217</v>
      </c>
      <c r="D734" s="1">
        <v>44545</v>
      </c>
      <c r="E734">
        <v>15295556615</v>
      </c>
      <c r="F734" t="str">
        <f ca="1">VLOOKUP(RANDBETWEEN(1,20),'DBO Compras'!AA:AC,3,0)</f>
        <v>Comprador 15</v>
      </c>
      <c r="G734" t="s">
        <v>261</v>
      </c>
      <c r="H734" t="s">
        <v>262</v>
      </c>
      <c r="I734" t="s">
        <v>69</v>
      </c>
      <c r="J734" t="s">
        <v>244</v>
      </c>
      <c r="K734">
        <v>84261350</v>
      </c>
      <c r="L734" t="s">
        <v>40</v>
      </c>
      <c r="N734">
        <v>4284158927</v>
      </c>
      <c r="O734">
        <v>0</v>
      </c>
      <c r="P734">
        <v>0</v>
      </c>
      <c r="R734" t="s">
        <v>42</v>
      </c>
      <c r="S734">
        <v>15016043939</v>
      </c>
      <c r="T734" t="str">
        <f ca="1">VLOOKUP(RANDBETWEEN(1,17),'Auxiliar Vendas'!D:G,2,0)</f>
        <v>Produto 16</v>
      </c>
      <c r="U734">
        <v>150</v>
      </c>
      <c r="V734">
        <v>14.1</v>
      </c>
      <c r="W734">
        <v>0</v>
      </c>
      <c r="X734">
        <v>10.747</v>
      </c>
      <c r="Y734" s="3">
        <v>2115</v>
      </c>
      <c r="Z734">
        <v>79</v>
      </c>
      <c r="AA734" t="s">
        <v>50</v>
      </c>
      <c r="AB734">
        <v>0</v>
      </c>
      <c r="AC734">
        <v>0</v>
      </c>
      <c r="AD734" t="s">
        <v>58</v>
      </c>
      <c r="AH734" s="2">
        <v>44545.571527777778</v>
      </c>
      <c r="AI734">
        <v>0</v>
      </c>
      <c r="AJ734">
        <v>0</v>
      </c>
      <c r="AK734" s="30" t="str">
        <f ca="1">VLOOKUP(T734,'Auxiliar Vendas'!E:F,2,FALSE)</f>
        <v>Produto 16</v>
      </c>
      <c r="AL734" s="31">
        <f ca="1">U734*VLOOKUP(T734,'Auxiliar Vendas'!E:G,3,FALSE)</f>
        <v>190.5</v>
      </c>
    </row>
    <row r="735" spans="1:38">
      <c r="A735">
        <v>15581992596</v>
      </c>
      <c r="B735">
        <v>217</v>
      </c>
      <c r="D735" s="1">
        <v>44545</v>
      </c>
      <c r="E735">
        <v>15295556615</v>
      </c>
      <c r="F735" t="str">
        <f ca="1">VLOOKUP(RANDBETWEEN(1,20),'DBO Compras'!AA:AC,3,0)</f>
        <v>Comprador 16</v>
      </c>
      <c r="G735" t="s">
        <v>261</v>
      </c>
      <c r="H735" t="s">
        <v>262</v>
      </c>
      <c r="I735" t="s">
        <v>69</v>
      </c>
      <c r="J735" t="s">
        <v>244</v>
      </c>
      <c r="K735">
        <v>84261350</v>
      </c>
      <c r="L735" t="s">
        <v>40</v>
      </c>
      <c r="N735">
        <v>4284158927</v>
      </c>
      <c r="O735">
        <v>0</v>
      </c>
      <c r="P735">
        <v>0</v>
      </c>
      <c r="R735" t="s">
        <v>42</v>
      </c>
      <c r="S735">
        <v>15016099089</v>
      </c>
      <c r="T735" t="str">
        <f ca="1">VLOOKUP(RANDBETWEEN(1,17),'Auxiliar Vendas'!D:G,2,0)</f>
        <v>Produto 11</v>
      </c>
      <c r="U735">
        <v>50</v>
      </c>
      <c r="V735">
        <v>21.65</v>
      </c>
      <c r="W735">
        <v>0</v>
      </c>
      <c r="X735">
        <v>16.804400000000001</v>
      </c>
      <c r="Y735" s="3">
        <v>1082.5</v>
      </c>
      <c r="Z735">
        <v>79</v>
      </c>
      <c r="AA735" t="s">
        <v>79</v>
      </c>
      <c r="AB735">
        <v>0</v>
      </c>
      <c r="AC735">
        <v>0</v>
      </c>
      <c r="AD735" t="s">
        <v>58</v>
      </c>
      <c r="AH735" s="2">
        <v>44545.571527777778</v>
      </c>
      <c r="AI735">
        <v>0</v>
      </c>
      <c r="AJ735">
        <v>0</v>
      </c>
      <c r="AK735" s="30" t="str">
        <f ca="1">VLOOKUP(T735,'Auxiliar Vendas'!E:F,2,FALSE)</f>
        <v>Produto 11</v>
      </c>
      <c r="AL735" s="31">
        <f ca="1">U735*VLOOKUP(T735,'Auxiliar Vendas'!E:G,3,FALSE)</f>
        <v>55.000000000000007</v>
      </c>
    </row>
    <row r="736" spans="1:38">
      <c r="A736">
        <v>15581992596</v>
      </c>
      <c r="B736">
        <v>217</v>
      </c>
      <c r="D736" s="1">
        <v>44545</v>
      </c>
      <c r="E736">
        <v>15295556615</v>
      </c>
      <c r="F736" t="str">
        <f ca="1">VLOOKUP(RANDBETWEEN(1,20),'DBO Compras'!AA:AC,3,0)</f>
        <v>Comprador 20</v>
      </c>
      <c r="G736" t="s">
        <v>261</v>
      </c>
      <c r="H736" t="s">
        <v>262</v>
      </c>
      <c r="I736" t="s">
        <v>69</v>
      </c>
      <c r="J736" t="s">
        <v>244</v>
      </c>
      <c r="K736">
        <v>84261350</v>
      </c>
      <c r="L736" t="s">
        <v>40</v>
      </c>
      <c r="N736">
        <v>4284158927</v>
      </c>
      <c r="O736">
        <v>0</v>
      </c>
      <c r="P736">
        <v>0</v>
      </c>
      <c r="R736" t="s">
        <v>42</v>
      </c>
      <c r="S736">
        <v>15016080333</v>
      </c>
      <c r="T736" t="str">
        <f ca="1">VLOOKUP(RANDBETWEEN(1,17),'Auxiliar Vendas'!D:G,2,0)</f>
        <v>Produto 10</v>
      </c>
      <c r="U736">
        <v>20</v>
      </c>
      <c r="V736">
        <v>15.3</v>
      </c>
      <c r="W736">
        <v>0</v>
      </c>
      <c r="X736">
        <v>10.747</v>
      </c>
      <c r="Y736">
        <v>306</v>
      </c>
      <c r="Z736">
        <v>79</v>
      </c>
      <c r="AA736" t="s">
        <v>80</v>
      </c>
      <c r="AB736">
        <v>0</v>
      </c>
      <c r="AC736">
        <v>0</v>
      </c>
      <c r="AD736" t="s">
        <v>58</v>
      </c>
      <c r="AH736" s="2">
        <v>44545.571527777778</v>
      </c>
      <c r="AI736">
        <v>0</v>
      </c>
      <c r="AJ736">
        <v>0</v>
      </c>
      <c r="AK736" s="30" t="str">
        <f ca="1">VLOOKUP(T736,'Auxiliar Vendas'!E:F,2,FALSE)</f>
        <v>Produto 10</v>
      </c>
      <c r="AL736" s="31">
        <f ca="1">U736*VLOOKUP(T736,'Auxiliar Vendas'!E:G,3,FALSE)</f>
        <v>22</v>
      </c>
    </row>
    <row r="737" spans="1:38">
      <c r="A737">
        <v>15581992596</v>
      </c>
      <c r="B737">
        <v>217</v>
      </c>
      <c r="D737" s="1">
        <v>44545</v>
      </c>
      <c r="E737">
        <v>15295556615</v>
      </c>
      <c r="F737" t="str">
        <f ca="1">VLOOKUP(RANDBETWEEN(1,20),'DBO Compras'!AA:AC,3,0)</f>
        <v>Comprador 15</v>
      </c>
      <c r="G737" t="s">
        <v>261</v>
      </c>
      <c r="H737" t="s">
        <v>262</v>
      </c>
      <c r="I737" t="s">
        <v>69</v>
      </c>
      <c r="J737" t="s">
        <v>244</v>
      </c>
      <c r="K737">
        <v>84261350</v>
      </c>
      <c r="L737" t="s">
        <v>40</v>
      </c>
      <c r="N737">
        <v>4284158927</v>
      </c>
      <c r="O737">
        <v>0</v>
      </c>
      <c r="P737">
        <v>0</v>
      </c>
      <c r="R737" t="s">
        <v>42</v>
      </c>
      <c r="S737">
        <v>15016087271</v>
      </c>
      <c r="T737" t="str">
        <f ca="1">VLOOKUP(RANDBETWEEN(1,17),'Auxiliar Vendas'!D:G,2,0)</f>
        <v>Produto 07</v>
      </c>
      <c r="U737">
        <v>20</v>
      </c>
      <c r="V737">
        <v>18.55</v>
      </c>
      <c r="W737">
        <v>0</v>
      </c>
      <c r="X737">
        <v>14.4596</v>
      </c>
      <c r="Y737">
        <v>371</v>
      </c>
      <c r="Z737">
        <v>79</v>
      </c>
      <c r="AA737" t="s">
        <v>64</v>
      </c>
      <c r="AB737">
        <v>0</v>
      </c>
      <c r="AC737">
        <v>0</v>
      </c>
      <c r="AD737" t="s">
        <v>58</v>
      </c>
      <c r="AH737" s="2">
        <v>44545.571527777778</v>
      </c>
      <c r="AI737">
        <v>0</v>
      </c>
      <c r="AJ737">
        <v>0</v>
      </c>
      <c r="AK737" s="30" t="str">
        <f ca="1">VLOOKUP(T737,'Auxiliar Vendas'!E:F,2,FALSE)</f>
        <v>Produto 07</v>
      </c>
      <c r="AL737" s="31">
        <f ca="1">U737*VLOOKUP(T737,'Auxiliar Vendas'!E:G,3,FALSE)</f>
        <v>22</v>
      </c>
    </row>
    <row r="738" spans="1:38">
      <c r="A738">
        <v>15582116408</v>
      </c>
      <c r="B738">
        <v>218</v>
      </c>
      <c r="D738" s="1">
        <v>44545</v>
      </c>
      <c r="E738">
        <v>15179581888</v>
      </c>
      <c r="F738" t="str">
        <f ca="1">VLOOKUP(RANDBETWEEN(1,20),'DBO Compras'!AA:AC,3,0)</f>
        <v>Comprador 06</v>
      </c>
      <c r="G738" t="s">
        <v>54</v>
      </c>
      <c r="H738" t="s">
        <v>55</v>
      </c>
      <c r="I738" t="s">
        <v>56</v>
      </c>
      <c r="J738" t="s">
        <v>39</v>
      </c>
      <c r="K738">
        <v>81350610</v>
      </c>
      <c r="L738" t="s">
        <v>40</v>
      </c>
      <c r="M738" t="s">
        <v>57</v>
      </c>
      <c r="N738">
        <v>41996849234</v>
      </c>
      <c r="O738">
        <v>0</v>
      </c>
      <c r="P738">
        <v>0</v>
      </c>
      <c r="R738" t="s">
        <v>42</v>
      </c>
      <c r="S738">
        <v>15016043939</v>
      </c>
      <c r="T738" t="str">
        <f ca="1">VLOOKUP(RANDBETWEEN(1,17),'Auxiliar Vendas'!D:G,2,0)</f>
        <v>Produto 08</v>
      </c>
      <c r="U738">
        <v>150</v>
      </c>
      <c r="V738">
        <v>12.38</v>
      </c>
      <c r="W738">
        <v>0</v>
      </c>
      <c r="X738">
        <v>10.747</v>
      </c>
      <c r="Y738" s="3">
        <v>1857</v>
      </c>
      <c r="Z738">
        <v>41</v>
      </c>
      <c r="AA738" t="s">
        <v>50</v>
      </c>
      <c r="AB738">
        <v>0</v>
      </c>
      <c r="AC738">
        <v>0</v>
      </c>
      <c r="AD738" t="s">
        <v>58</v>
      </c>
      <c r="AH738" s="2">
        <v>44546.59652777778</v>
      </c>
      <c r="AI738">
        <v>0</v>
      </c>
      <c r="AJ738">
        <v>0</v>
      </c>
      <c r="AK738" s="30" t="str">
        <f ca="1">VLOOKUP(T738,'Auxiliar Vendas'!E:F,2,FALSE)</f>
        <v>Produto 08</v>
      </c>
      <c r="AL738" s="31">
        <f ca="1">U738*VLOOKUP(T738,'Auxiliar Vendas'!E:G,3,FALSE)</f>
        <v>165</v>
      </c>
    </row>
    <row r="739" spans="1:38">
      <c r="A739">
        <v>15582141443</v>
      </c>
      <c r="B739">
        <v>219</v>
      </c>
      <c r="D739" s="1">
        <v>44545</v>
      </c>
      <c r="E739">
        <v>15582141432</v>
      </c>
      <c r="F739" t="str">
        <f ca="1">VLOOKUP(RANDBETWEEN(1,20),'DBO Compras'!AA:AC,3,0)</f>
        <v>Comprador 16</v>
      </c>
      <c r="G739" t="s">
        <v>315</v>
      </c>
      <c r="K739">
        <v>0</v>
      </c>
      <c r="M739" t="s">
        <v>316</v>
      </c>
      <c r="N739">
        <v>4184727286</v>
      </c>
      <c r="O739">
        <v>0</v>
      </c>
      <c r="P739">
        <v>0</v>
      </c>
      <c r="R739" t="s">
        <v>42</v>
      </c>
      <c r="S739">
        <v>15016043939</v>
      </c>
      <c r="T739" t="str">
        <f ca="1">VLOOKUP(RANDBETWEEN(1,17),'Auxiliar Vendas'!D:G,2,0)</f>
        <v>Produto 08</v>
      </c>
      <c r="U739">
        <v>150</v>
      </c>
      <c r="V739">
        <v>14.1</v>
      </c>
      <c r="W739">
        <v>0</v>
      </c>
      <c r="X739">
        <v>10.747</v>
      </c>
      <c r="Y739" s="3">
        <v>2115</v>
      </c>
      <c r="Z739">
        <v>130</v>
      </c>
      <c r="AA739" t="s">
        <v>50</v>
      </c>
      <c r="AB739">
        <v>0</v>
      </c>
      <c r="AC739">
        <v>0</v>
      </c>
      <c r="AD739" t="s">
        <v>58</v>
      </c>
      <c r="AH739" s="2">
        <v>44544.570833333331</v>
      </c>
      <c r="AI739">
        <v>0</v>
      </c>
      <c r="AJ739">
        <v>0</v>
      </c>
      <c r="AK739" s="30" t="str">
        <f ca="1">VLOOKUP(T739,'Auxiliar Vendas'!E:F,2,FALSE)</f>
        <v>Produto 08</v>
      </c>
      <c r="AL739" s="31">
        <f ca="1">U739*VLOOKUP(T739,'Auxiliar Vendas'!E:G,3,FALSE)</f>
        <v>165</v>
      </c>
    </row>
    <row r="740" spans="1:38">
      <c r="A740">
        <v>15582141443</v>
      </c>
      <c r="B740">
        <v>219</v>
      </c>
      <c r="D740" s="1">
        <v>44545</v>
      </c>
      <c r="E740">
        <v>15582141432</v>
      </c>
      <c r="F740" t="str">
        <f ca="1">VLOOKUP(RANDBETWEEN(1,20),'DBO Compras'!AA:AC,3,0)</f>
        <v>Comprador 10</v>
      </c>
      <c r="G740" t="s">
        <v>315</v>
      </c>
      <c r="K740">
        <v>0</v>
      </c>
      <c r="M740" t="s">
        <v>316</v>
      </c>
      <c r="N740">
        <v>4184727286</v>
      </c>
      <c r="O740">
        <v>0</v>
      </c>
      <c r="P740">
        <v>0</v>
      </c>
      <c r="R740" t="s">
        <v>42</v>
      </c>
      <c r="S740">
        <v>15016049144</v>
      </c>
      <c r="T740" t="str">
        <f ca="1">VLOOKUP(RANDBETWEEN(1,17),'Auxiliar Vendas'!D:G,2,0)</f>
        <v>Produto 05</v>
      </c>
      <c r="U740">
        <v>140</v>
      </c>
      <c r="V740">
        <v>8.2799999999999994</v>
      </c>
      <c r="W740">
        <v>0</v>
      </c>
      <c r="X740">
        <v>5.8620000000000001</v>
      </c>
      <c r="Y740" s="3">
        <v>1159.2</v>
      </c>
      <c r="Z740">
        <v>130</v>
      </c>
      <c r="AA740" t="s">
        <v>267</v>
      </c>
      <c r="AB740">
        <v>0</v>
      </c>
      <c r="AC740">
        <v>0</v>
      </c>
      <c r="AD740" t="s">
        <v>58</v>
      </c>
      <c r="AH740" s="2">
        <v>44544.570833333331</v>
      </c>
      <c r="AI740">
        <v>0</v>
      </c>
      <c r="AJ740">
        <v>0</v>
      </c>
      <c r="AK740" s="30" t="str">
        <f ca="1">VLOOKUP(T740,'Auxiliar Vendas'!E:F,2,FALSE)</f>
        <v>Produto 05</v>
      </c>
      <c r="AL740" s="31">
        <f ca="1">U740*VLOOKUP(T740,'Auxiliar Vendas'!E:G,3,FALSE)</f>
        <v>84</v>
      </c>
    </row>
    <row r="741" spans="1:38">
      <c r="A741">
        <v>15582141443</v>
      </c>
      <c r="B741">
        <v>219</v>
      </c>
      <c r="D741" s="1">
        <v>44545</v>
      </c>
      <c r="E741">
        <v>15582141432</v>
      </c>
      <c r="F741" t="str">
        <f ca="1">VLOOKUP(RANDBETWEEN(1,20),'DBO Compras'!AA:AC,3,0)</f>
        <v>Comprador 07</v>
      </c>
      <c r="G741" t="s">
        <v>315</v>
      </c>
      <c r="K741">
        <v>0</v>
      </c>
      <c r="M741" t="s">
        <v>316</v>
      </c>
      <c r="N741">
        <v>4184727286</v>
      </c>
      <c r="O741">
        <v>0</v>
      </c>
      <c r="P741">
        <v>0</v>
      </c>
      <c r="R741" t="s">
        <v>42</v>
      </c>
      <c r="S741">
        <v>15016087271</v>
      </c>
      <c r="T741" t="str">
        <f ca="1">VLOOKUP(RANDBETWEEN(1,17),'Auxiliar Vendas'!D:G,2,0)</f>
        <v>Produto 05</v>
      </c>
      <c r="U741">
        <v>2</v>
      </c>
      <c r="V741">
        <v>18.55</v>
      </c>
      <c r="W741">
        <v>0</v>
      </c>
      <c r="X741">
        <v>14.4596</v>
      </c>
      <c r="Y741">
        <v>37.1</v>
      </c>
      <c r="Z741">
        <v>130</v>
      </c>
      <c r="AA741" t="s">
        <v>64</v>
      </c>
      <c r="AB741">
        <v>0</v>
      </c>
      <c r="AC741">
        <v>0</v>
      </c>
      <c r="AD741" t="s">
        <v>58</v>
      </c>
      <c r="AH741" s="2">
        <v>44544.570833333331</v>
      </c>
      <c r="AI741">
        <v>0</v>
      </c>
      <c r="AJ741">
        <v>0</v>
      </c>
      <c r="AK741" s="30" t="str">
        <f ca="1">VLOOKUP(T741,'Auxiliar Vendas'!E:F,2,FALSE)</f>
        <v>Produto 05</v>
      </c>
      <c r="AL741" s="31">
        <f ca="1">U741*VLOOKUP(T741,'Auxiliar Vendas'!E:G,3,FALSE)</f>
        <v>1.2</v>
      </c>
    </row>
    <row r="742" spans="1:38">
      <c r="A742">
        <v>15583902295</v>
      </c>
      <c r="B742">
        <v>220</v>
      </c>
      <c r="D742" s="1">
        <v>44545</v>
      </c>
      <c r="E742">
        <v>15533104634</v>
      </c>
      <c r="F742" t="str">
        <f ca="1">VLOOKUP(RANDBETWEEN(1,20),'DBO Compras'!AA:AC,3,0)</f>
        <v>Comprador 17</v>
      </c>
      <c r="G742" t="s">
        <v>317</v>
      </c>
      <c r="H742" t="s">
        <v>318</v>
      </c>
      <c r="I742" t="s">
        <v>319</v>
      </c>
      <c r="J742" t="s">
        <v>320</v>
      </c>
      <c r="K742">
        <v>88115485</v>
      </c>
      <c r="L742" t="s">
        <v>92</v>
      </c>
      <c r="M742" t="s">
        <v>321</v>
      </c>
      <c r="N742">
        <v>48999385702</v>
      </c>
      <c r="O742">
        <v>0</v>
      </c>
      <c r="P742">
        <v>0</v>
      </c>
      <c r="Q742" t="s">
        <v>322</v>
      </c>
      <c r="R742" t="s">
        <v>302</v>
      </c>
      <c r="S742">
        <v>15016087271</v>
      </c>
      <c r="T742" t="str">
        <f ca="1">VLOOKUP(RANDBETWEEN(1,17),'Auxiliar Vendas'!D:G,2,0)</f>
        <v>Produto 12</v>
      </c>
      <c r="U742">
        <v>500</v>
      </c>
      <c r="V742">
        <v>17.3</v>
      </c>
      <c r="W742">
        <v>0</v>
      </c>
      <c r="X742">
        <v>14.4596</v>
      </c>
      <c r="Y742" s="3">
        <v>8650</v>
      </c>
      <c r="Z742">
        <v>126</v>
      </c>
      <c r="AA742" t="s">
        <v>64</v>
      </c>
      <c r="AB742">
        <v>0</v>
      </c>
      <c r="AC742">
        <v>0</v>
      </c>
      <c r="AD742" t="s">
        <v>189</v>
      </c>
      <c r="AH742" s="2">
        <v>44552.6</v>
      </c>
      <c r="AI742">
        <v>0</v>
      </c>
      <c r="AJ742">
        <v>0</v>
      </c>
      <c r="AK742" s="30" t="str">
        <f ca="1">VLOOKUP(T742,'Auxiliar Vendas'!E:F,2,FALSE)</f>
        <v>Produto 12</v>
      </c>
      <c r="AL742" s="31">
        <f ca="1">U742*VLOOKUP(T742,'Auxiliar Vendas'!E:G,3,FALSE)</f>
        <v>700</v>
      </c>
    </row>
    <row r="743" spans="1:38">
      <c r="A743">
        <v>15583902295</v>
      </c>
      <c r="B743">
        <v>220</v>
      </c>
      <c r="D743" s="1">
        <v>44545</v>
      </c>
      <c r="E743">
        <v>15533104634</v>
      </c>
      <c r="F743" t="str">
        <f ca="1">VLOOKUP(RANDBETWEEN(1,20),'DBO Compras'!AA:AC,3,0)</f>
        <v>Comprador 18</v>
      </c>
      <c r="G743" t="s">
        <v>317</v>
      </c>
      <c r="H743" t="s">
        <v>318</v>
      </c>
      <c r="I743" t="s">
        <v>319</v>
      </c>
      <c r="J743" t="s">
        <v>320</v>
      </c>
      <c r="K743">
        <v>88115485</v>
      </c>
      <c r="L743" t="s">
        <v>92</v>
      </c>
      <c r="M743" t="s">
        <v>321</v>
      </c>
      <c r="N743">
        <v>48999385702</v>
      </c>
      <c r="O743">
        <v>0</v>
      </c>
      <c r="P743">
        <v>0</v>
      </c>
      <c r="Q743" t="s">
        <v>322</v>
      </c>
      <c r="R743" t="s">
        <v>302</v>
      </c>
      <c r="S743">
        <v>15139667431</v>
      </c>
      <c r="T743" t="str">
        <f ca="1">VLOOKUP(RANDBETWEEN(1,17),'Auxiliar Vendas'!D:G,2,0)</f>
        <v>Produto 17</v>
      </c>
      <c r="U743">
        <v>100</v>
      </c>
      <c r="V743">
        <v>20.2</v>
      </c>
      <c r="W743">
        <v>0</v>
      </c>
      <c r="X743">
        <v>0</v>
      </c>
      <c r="Y743" s="3">
        <v>2020</v>
      </c>
      <c r="Z743">
        <v>126</v>
      </c>
      <c r="AA743" t="s">
        <v>145</v>
      </c>
      <c r="AB743">
        <v>0</v>
      </c>
      <c r="AC743">
        <v>0</v>
      </c>
      <c r="AD743" t="s">
        <v>189</v>
      </c>
      <c r="AH743" s="2">
        <v>44552.6</v>
      </c>
      <c r="AI743">
        <v>0</v>
      </c>
      <c r="AJ743">
        <v>0</v>
      </c>
      <c r="AK743" s="30" t="str">
        <f ca="1">VLOOKUP(T743,'Auxiliar Vendas'!E:F,2,FALSE)</f>
        <v>Produto 17</v>
      </c>
      <c r="AL743" s="31">
        <f ca="1">U743*VLOOKUP(T743,'Auxiliar Vendas'!E:G,3,FALSE)</f>
        <v>142</v>
      </c>
    </row>
    <row r="744" spans="1:38">
      <c r="A744">
        <v>15583902295</v>
      </c>
      <c r="B744">
        <v>220</v>
      </c>
      <c r="D744" s="1">
        <v>44545</v>
      </c>
      <c r="E744">
        <v>15533104634</v>
      </c>
      <c r="F744" t="str">
        <f ca="1">VLOOKUP(RANDBETWEEN(1,20),'DBO Compras'!AA:AC,3,0)</f>
        <v>Comprador 11</v>
      </c>
      <c r="G744" t="s">
        <v>317</v>
      </c>
      <c r="H744" t="s">
        <v>318</v>
      </c>
      <c r="I744" t="s">
        <v>319</v>
      </c>
      <c r="J744" t="s">
        <v>320</v>
      </c>
      <c r="K744">
        <v>88115485</v>
      </c>
      <c r="L744" t="s">
        <v>92</v>
      </c>
      <c r="M744" t="s">
        <v>321</v>
      </c>
      <c r="N744">
        <v>48999385702</v>
      </c>
      <c r="O744">
        <v>0</v>
      </c>
      <c r="P744">
        <v>0</v>
      </c>
      <c r="Q744" t="s">
        <v>322</v>
      </c>
      <c r="R744" t="s">
        <v>302</v>
      </c>
      <c r="S744">
        <v>15395601004</v>
      </c>
      <c r="T744" t="str">
        <f ca="1">VLOOKUP(RANDBETWEEN(1,17),'Auxiliar Vendas'!D:G,2,0)</f>
        <v>Produto 02</v>
      </c>
      <c r="U744">
        <v>600</v>
      </c>
      <c r="V744">
        <v>15.57</v>
      </c>
      <c r="W744">
        <v>0</v>
      </c>
      <c r="X744">
        <v>12.369</v>
      </c>
      <c r="Y744" s="3">
        <v>9342</v>
      </c>
      <c r="Z744">
        <v>126</v>
      </c>
      <c r="AA744" t="s">
        <v>323</v>
      </c>
      <c r="AB744">
        <v>0</v>
      </c>
      <c r="AC744">
        <v>0</v>
      </c>
      <c r="AD744" t="s">
        <v>189</v>
      </c>
      <c r="AH744" s="2">
        <v>44552.6</v>
      </c>
      <c r="AI744">
        <v>0</v>
      </c>
      <c r="AJ744">
        <v>0</v>
      </c>
      <c r="AK744" s="30" t="str">
        <f ca="1">VLOOKUP(T744,'Auxiliar Vendas'!E:F,2,FALSE)</f>
        <v>Produto 02</v>
      </c>
      <c r="AL744" s="31">
        <f ca="1">U744*VLOOKUP(T744,'Auxiliar Vendas'!E:G,3,FALSE)</f>
        <v>162</v>
      </c>
    </row>
    <row r="745" spans="1:38">
      <c r="A745">
        <v>15583902295</v>
      </c>
      <c r="B745">
        <v>220</v>
      </c>
      <c r="D745" s="1">
        <v>44545</v>
      </c>
      <c r="E745">
        <v>15533104634</v>
      </c>
      <c r="F745" t="str">
        <f ca="1">VLOOKUP(RANDBETWEEN(1,20),'DBO Compras'!AA:AC,3,0)</f>
        <v>Comprador 14</v>
      </c>
      <c r="G745" t="s">
        <v>317</v>
      </c>
      <c r="H745" t="s">
        <v>318</v>
      </c>
      <c r="I745" t="s">
        <v>319</v>
      </c>
      <c r="J745" t="s">
        <v>320</v>
      </c>
      <c r="K745">
        <v>88115485</v>
      </c>
      <c r="L745" t="s">
        <v>92</v>
      </c>
      <c r="M745" t="s">
        <v>321</v>
      </c>
      <c r="N745">
        <v>48999385702</v>
      </c>
      <c r="O745">
        <v>0</v>
      </c>
      <c r="P745">
        <v>0</v>
      </c>
      <c r="Q745" t="s">
        <v>322</v>
      </c>
      <c r="R745" t="s">
        <v>302</v>
      </c>
      <c r="S745">
        <v>15016093155</v>
      </c>
      <c r="T745" t="str">
        <f ca="1">VLOOKUP(RANDBETWEEN(1,17),'Auxiliar Vendas'!D:G,2,0)</f>
        <v>Produto 01</v>
      </c>
      <c r="U745">
        <v>600</v>
      </c>
      <c r="V745">
        <v>17.3</v>
      </c>
      <c r="W745">
        <v>0</v>
      </c>
      <c r="X745">
        <v>14.4596</v>
      </c>
      <c r="Y745" s="3">
        <v>10380</v>
      </c>
      <c r="Z745">
        <v>126</v>
      </c>
      <c r="AA745" t="s">
        <v>65</v>
      </c>
      <c r="AB745">
        <v>0</v>
      </c>
      <c r="AC745">
        <v>0</v>
      </c>
      <c r="AD745" t="s">
        <v>189</v>
      </c>
      <c r="AH745" s="2">
        <v>44552.6</v>
      </c>
      <c r="AI745">
        <v>0</v>
      </c>
      <c r="AJ745">
        <v>0</v>
      </c>
      <c r="AK745" s="30" t="str">
        <f ca="1">VLOOKUP(T745,'Auxiliar Vendas'!E:F,2,FALSE)</f>
        <v>Produto 01</v>
      </c>
      <c r="AL745" s="31">
        <f ca="1">U745*VLOOKUP(T745,'Auxiliar Vendas'!E:G,3,FALSE)</f>
        <v>240</v>
      </c>
    </row>
    <row r="746" spans="1:38">
      <c r="A746">
        <v>15583902295</v>
      </c>
      <c r="B746">
        <v>220</v>
      </c>
      <c r="D746" s="1">
        <v>44545</v>
      </c>
      <c r="E746">
        <v>15533104634</v>
      </c>
      <c r="F746" t="str">
        <f ca="1">VLOOKUP(RANDBETWEEN(1,20),'DBO Compras'!AA:AC,3,0)</f>
        <v>Comprador 20</v>
      </c>
      <c r="G746" t="s">
        <v>317</v>
      </c>
      <c r="H746" t="s">
        <v>318</v>
      </c>
      <c r="I746" t="s">
        <v>319</v>
      </c>
      <c r="J746" t="s">
        <v>320</v>
      </c>
      <c r="K746">
        <v>88115485</v>
      </c>
      <c r="L746" t="s">
        <v>92</v>
      </c>
      <c r="M746" t="s">
        <v>321</v>
      </c>
      <c r="N746">
        <v>48999385702</v>
      </c>
      <c r="O746">
        <v>0</v>
      </c>
      <c r="P746">
        <v>0</v>
      </c>
      <c r="Q746" t="s">
        <v>322</v>
      </c>
      <c r="R746" t="s">
        <v>302</v>
      </c>
      <c r="S746">
        <v>15016099089</v>
      </c>
      <c r="T746" t="str">
        <f ca="1">VLOOKUP(RANDBETWEEN(1,17),'Auxiliar Vendas'!D:G,2,0)</f>
        <v>Produto 08</v>
      </c>
      <c r="U746" s="3">
        <v>1000</v>
      </c>
      <c r="V746">
        <v>18.27</v>
      </c>
      <c r="W746">
        <v>0</v>
      </c>
      <c r="X746">
        <v>16.804400000000001</v>
      </c>
      <c r="Y746" s="3">
        <v>18270</v>
      </c>
      <c r="Z746">
        <v>126</v>
      </c>
      <c r="AA746" t="s">
        <v>79</v>
      </c>
      <c r="AB746">
        <v>0</v>
      </c>
      <c r="AC746">
        <v>0</v>
      </c>
      <c r="AD746" t="s">
        <v>189</v>
      </c>
      <c r="AH746" s="2">
        <v>44552.6</v>
      </c>
      <c r="AI746">
        <v>0</v>
      </c>
      <c r="AJ746">
        <v>0</v>
      </c>
      <c r="AK746" s="30" t="str">
        <f ca="1">VLOOKUP(T746,'Auxiliar Vendas'!E:F,2,FALSE)</f>
        <v>Produto 08</v>
      </c>
      <c r="AL746" s="31">
        <f ca="1">U746*VLOOKUP(T746,'Auxiliar Vendas'!E:G,3,FALSE)</f>
        <v>1100</v>
      </c>
    </row>
    <row r="747" spans="1:38">
      <c r="A747">
        <v>15583902295</v>
      </c>
      <c r="B747">
        <v>220</v>
      </c>
      <c r="D747" s="1">
        <v>44545</v>
      </c>
      <c r="E747">
        <v>15533104634</v>
      </c>
      <c r="F747" t="str">
        <f ca="1">VLOOKUP(RANDBETWEEN(1,20),'DBO Compras'!AA:AC,3,0)</f>
        <v>Comprador 07</v>
      </c>
      <c r="G747" t="s">
        <v>317</v>
      </c>
      <c r="H747" t="s">
        <v>318</v>
      </c>
      <c r="I747" t="s">
        <v>319</v>
      </c>
      <c r="J747" t="s">
        <v>320</v>
      </c>
      <c r="K747">
        <v>88115485</v>
      </c>
      <c r="L747" t="s">
        <v>92</v>
      </c>
      <c r="M747" t="s">
        <v>321</v>
      </c>
      <c r="N747">
        <v>48999385702</v>
      </c>
      <c r="O747">
        <v>0</v>
      </c>
      <c r="P747">
        <v>0</v>
      </c>
      <c r="Q747" t="s">
        <v>322</v>
      </c>
      <c r="R747" t="s">
        <v>302</v>
      </c>
      <c r="S747">
        <v>15016099089</v>
      </c>
      <c r="T747" t="str">
        <f ca="1">VLOOKUP(RANDBETWEEN(1,17),'Auxiliar Vendas'!D:G,2,0)</f>
        <v>Produto 07</v>
      </c>
      <c r="U747" s="3">
        <v>1000</v>
      </c>
      <c r="V747">
        <v>20.3</v>
      </c>
      <c r="W747">
        <v>0</v>
      </c>
      <c r="X747">
        <v>16.804400000000001</v>
      </c>
      <c r="Y747" s="3">
        <v>20300</v>
      </c>
      <c r="Z747">
        <v>126</v>
      </c>
      <c r="AA747" t="s">
        <v>79</v>
      </c>
      <c r="AB747">
        <v>0</v>
      </c>
      <c r="AC747">
        <v>0</v>
      </c>
      <c r="AD747" t="s">
        <v>189</v>
      </c>
      <c r="AH747" s="2">
        <v>44552.6</v>
      </c>
      <c r="AI747">
        <v>0</v>
      </c>
      <c r="AJ747">
        <v>0</v>
      </c>
      <c r="AK747" s="30" t="str">
        <f ca="1">VLOOKUP(T747,'Auxiliar Vendas'!E:F,2,FALSE)</f>
        <v>Produto 07</v>
      </c>
      <c r="AL747" s="31">
        <f ca="1">U747*VLOOKUP(T747,'Auxiliar Vendas'!E:G,3,FALSE)</f>
        <v>1100</v>
      </c>
    </row>
    <row r="748" spans="1:38">
      <c r="A748">
        <v>15583902295</v>
      </c>
      <c r="B748">
        <v>220</v>
      </c>
      <c r="D748" s="1">
        <v>44545</v>
      </c>
      <c r="E748">
        <v>15533104634</v>
      </c>
      <c r="F748" t="str">
        <f ca="1">VLOOKUP(RANDBETWEEN(1,20),'DBO Compras'!AA:AC,3,0)</f>
        <v>Comprador 01</v>
      </c>
      <c r="G748" t="s">
        <v>317</v>
      </c>
      <c r="H748" t="s">
        <v>318</v>
      </c>
      <c r="I748" t="s">
        <v>319</v>
      </c>
      <c r="J748" t="s">
        <v>320</v>
      </c>
      <c r="K748">
        <v>88115485</v>
      </c>
      <c r="L748" t="s">
        <v>92</v>
      </c>
      <c r="M748" t="s">
        <v>321</v>
      </c>
      <c r="N748">
        <v>48999385702</v>
      </c>
      <c r="O748">
        <v>0</v>
      </c>
      <c r="P748">
        <v>0</v>
      </c>
      <c r="Q748" t="s">
        <v>322</v>
      </c>
      <c r="R748" t="s">
        <v>302</v>
      </c>
      <c r="S748">
        <v>15139727614</v>
      </c>
      <c r="T748" t="str">
        <f ca="1">VLOOKUP(RANDBETWEEN(1,17),'Auxiliar Vendas'!D:G,2,0)</f>
        <v>Produto 12</v>
      </c>
      <c r="U748">
        <v>500</v>
      </c>
      <c r="V748">
        <v>22.6</v>
      </c>
      <c r="W748">
        <v>0</v>
      </c>
      <c r="X748">
        <v>0</v>
      </c>
      <c r="Y748" s="3">
        <v>11300</v>
      </c>
      <c r="Z748">
        <v>126</v>
      </c>
      <c r="AA748" t="s">
        <v>146</v>
      </c>
      <c r="AB748">
        <v>0</v>
      </c>
      <c r="AC748">
        <v>0</v>
      </c>
      <c r="AD748" t="s">
        <v>189</v>
      </c>
      <c r="AH748" s="2">
        <v>44552.6</v>
      </c>
      <c r="AI748">
        <v>0</v>
      </c>
      <c r="AJ748">
        <v>0</v>
      </c>
      <c r="AK748" s="30" t="str">
        <f ca="1">VLOOKUP(T748,'Auxiliar Vendas'!E:F,2,FALSE)</f>
        <v>Produto 12</v>
      </c>
      <c r="AL748" s="31">
        <f ca="1">U748*VLOOKUP(T748,'Auxiliar Vendas'!E:G,3,FALSE)</f>
        <v>700</v>
      </c>
    </row>
    <row r="749" spans="1:38">
      <c r="A749">
        <v>15583902295</v>
      </c>
      <c r="B749">
        <v>220</v>
      </c>
      <c r="D749" s="1">
        <v>44545</v>
      </c>
      <c r="E749">
        <v>15533104634</v>
      </c>
      <c r="F749" t="str">
        <f ca="1">VLOOKUP(RANDBETWEEN(1,20),'DBO Compras'!AA:AC,3,0)</f>
        <v>Comprador 19</v>
      </c>
      <c r="G749" t="s">
        <v>317</v>
      </c>
      <c r="H749" t="s">
        <v>318</v>
      </c>
      <c r="I749" t="s">
        <v>319</v>
      </c>
      <c r="J749" t="s">
        <v>320</v>
      </c>
      <c r="K749">
        <v>88115485</v>
      </c>
      <c r="L749" t="s">
        <v>92</v>
      </c>
      <c r="M749" t="s">
        <v>321</v>
      </c>
      <c r="N749">
        <v>48999385702</v>
      </c>
      <c r="O749">
        <v>0</v>
      </c>
      <c r="P749">
        <v>0</v>
      </c>
      <c r="Q749" t="s">
        <v>322</v>
      </c>
      <c r="R749" t="s">
        <v>302</v>
      </c>
      <c r="S749">
        <v>15016043939</v>
      </c>
      <c r="T749" t="str">
        <f ca="1">VLOOKUP(RANDBETWEEN(1,17),'Auxiliar Vendas'!D:G,2,0)</f>
        <v>Produto 13</v>
      </c>
      <c r="U749" s="3">
        <v>2500</v>
      </c>
      <c r="V749">
        <v>12.8</v>
      </c>
      <c r="W749">
        <v>0</v>
      </c>
      <c r="X749">
        <v>10.747</v>
      </c>
      <c r="Y749" s="3">
        <v>32000</v>
      </c>
      <c r="Z749">
        <v>126</v>
      </c>
      <c r="AA749" t="s">
        <v>50</v>
      </c>
      <c r="AB749">
        <v>0</v>
      </c>
      <c r="AC749">
        <v>0</v>
      </c>
      <c r="AD749" t="s">
        <v>189</v>
      </c>
      <c r="AH749" s="2">
        <v>44552.6</v>
      </c>
      <c r="AI749">
        <v>0</v>
      </c>
      <c r="AJ749">
        <v>0</v>
      </c>
      <c r="AK749" s="30" t="str">
        <f ca="1">VLOOKUP(T749,'Auxiliar Vendas'!E:F,2,FALSE)</f>
        <v>Produto 13</v>
      </c>
      <c r="AL749" s="31">
        <f ca="1">U749*VLOOKUP(T749,'Auxiliar Vendas'!E:G,3,FALSE)</f>
        <v>3500</v>
      </c>
    </row>
    <row r="750" spans="1:38">
      <c r="A750">
        <v>15589216980</v>
      </c>
      <c r="B750">
        <v>221</v>
      </c>
      <c r="D750" s="1">
        <v>44545</v>
      </c>
      <c r="E750">
        <v>15179581888</v>
      </c>
      <c r="F750" t="str">
        <f ca="1">VLOOKUP(RANDBETWEEN(1,20),'DBO Compras'!AA:AC,3,0)</f>
        <v>Comprador 10</v>
      </c>
      <c r="G750" t="s">
        <v>54</v>
      </c>
      <c r="H750" t="s">
        <v>55</v>
      </c>
      <c r="I750" t="s">
        <v>56</v>
      </c>
      <c r="J750" t="s">
        <v>39</v>
      </c>
      <c r="K750">
        <v>81350610</v>
      </c>
      <c r="L750" t="s">
        <v>40</v>
      </c>
      <c r="M750" t="s">
        <v>57</v>
      </c>
      <c r="N750">
        <v>41996849234</v>
      </c>
      <c r="O750">
        <v>0</v>
      </c>
      <c r="P750">
        <v>0</v>
      </c>
      <c r="R750" t="s">
        <v>42</v>
      </c>
      <c r="S750">
        <v>15016043939</v>
      </c>
      <c r="T750" t="str">
        <f ca="1">VLOOKUP(RANDBETWEEN(1,17),'Auxiliar Vendas'!D:G,2,0)</f>
        <v>Produto 14</v>
      </c>
      <c r="U750">
        <v>450</v>
      </c>
      <c r="V750">
        <v>12.38</v>
      </c>
      <c r="W750">
        <v>0</v>
      </c>
      <c r="X750">
        <v>10.747</v>
      </c>
      <c r="Y750" s="3">
        <v>5571</v>
      </c>
      <c r="Z750">
        <v>41</v>
      </c>
      <c r="AA750" t="s">
        <v>50</v>
      </c>
      <c r="AB750">
        <v>0</v>
      </c>
      <c r="AC750">
        <v>0</v>
      </c>
      <c r="AD750" t="s">
        <v>58</v>
      </c>
      <c r="AH750" s="2">
        <v>44546.59652777778</v>
      </c>
      <c r="AI750">
        <v>0</v>
      </c>
      <c r="AJ750">
        <v>0</v>
      </c>
      <c r="AK750" s="30" t="str">
        <f ca="1">VLOOKUP(T750,'Auxiliar Vendas'!E:F,2,FALSE)</f>
        <v>Produto 14</v>
      </c>
      <c r="AL750" s="31">
        <f ca="1">U750*VLOOKUP(T750,'Auxiliar Vendas'!E:G,3,FALSE)</f>
        <v>630</v>
      </c>
    </row>
    <row r="751" spans="1:38">
      <c r="A751">
        <v>15589216980</v>
      </c>
      <c r="B751">
        <v>221</v>
      </c>
      <c r="D751" s="1">
        <v>44545</v>
      </c>
      <c r="E751">
        <v>15179581888</v>
      </c>
      <c r="F751" t="str">
        <f ca="1">VLOOKUP(RANDBETWEEN(1,20),'DBO Compras'!AA:AC,3,0)</f>
        <v>Comprador 19</v>
      </c>
      <c r="G751" t="s">
        <v>54</v>
      </c>
      <c r="H751" t="s">
        <v>55</v>
      </c>
      <c r="I751" t="s">
        <v>56</v>
      </c>
      <c r="J751" t="s">
        <v>39</v>
      </c>
      <c r="K751">
        <v>81350610</v>
      </c>
      <c r="L751" t="s">
        <v>40</v>
      </c>
      <c r="M751" t="s">
        <v>57</v>
      </c>
      <c r="N751">
        <v>41996849234</v>
      </c>
      <c r="O751">
        <v>0</v>
      </c>
      <c r="P751">
        <v>0</v>
      </c>
      <c r="R751" t="s">
        <v>42</v>
      </c>
      <c r="S751">
        <v>15016049144</v>
      </c>
      <c r="T751" t="str">
        <f ca="1">VLOOKUP(RANDBETWEEN(1,17),'Auxiliar Vendas'!D:G,2,0)</f>
        <v>Produto 04</v>
      </c>
      <c r="U751">
        <v>150</v>
      </c>
      <c r="V751">
        <v>7.04</v>
      </c>
      <c r="W751">
        <v>0</v>
      </c>
      <c r="X751">
        <v>5.8620000000000001</v>
      </c>
      <c r="Y751" s="3">
        <v>1056</v>
      </c>
      <c r="Z751">
        <v>41</v>
      </c>
      <c r="AA751" t="s">
        <v>267</v>
      </c>
      <c r="AB751">
        <v>0</v>
      </c>
      <c r="AC751">
        <v>0</v>
      </c>
      <c r="AD751" t="s">
        <v>58</v>
      </c>
      <c r="AH751" s="2">
        <v>44546.59652777778</v>
      </c>
      <c r="AI751">
        <v>0</v>
      </c>
      <c r="AJ751">
        <v>0</v>
      </c>
      <c r="AK751" s="30" t="str">
        <f ca="1">VLOOKUP(T751,'Auxiliar Vendas'!E:F,2,FALSE)</f>
        <v>Produto 04</v>
      </c>
      <c r="AL751" s="31">
        <f ca="1">U751*VLOOKUP(T751,'Auxiliar Vendas'!E:G,3,FALSE)</f>
        <v>90</v>
      </c>
    </row>
    <row r="752" spans="1:38">
      <c r="A752">
        <v>15589216980</v>
      </c>
      <c r="B752">
        <v>221</v>
      </c>
      <c r="D752" s="1">
        <v>44545</v>
      </c>
      <c r="E752">
        <v>15179581888</v>
      </c>
      <c r="F752" t="str">
        <f ca="1">VLOOKUP(RANDBETWEEN(1,20),'DBO Compras'!AA:AC,3,0)</f>
        <v>Comprador 09</v>
      </c>
      <c r="G752" t="s">
        <v>54</v>
      </c>
      <c r="H752" t="s">
        <v>55</v>
      </c>
      <c r="I752" t="s">
        <v>56</v>
      </c>
      <c r="J752" t="s">
        <v>39</v>
      </c>
      <c r="K752">
        <v>81350610</v>
      </c>
      <c r="L752" t="s">
        <v>40</v>
      </c>
      <c r="M752" t="s">
        <v>57</v>
      </c>
      <c r="N752">
        <v>41996849234</v>
      </c>
      <c r="O752">
        <v>0</v>
      </c>
      <c r="P752">
        <v>0</v>
      </c>
      <c r="R752" t="s">
        <v>42</v>
      </c>
      <c r="S752">
        <v>15015511068</v>
      </c>
      <c r="T752" t="str">
        <f ca="1">VLOOKUP(RANDBETWEEN(1,17),'Auxiliar Vendas'!D:G,2,0)</f>
        <v>Produto 13</v>
      </c>
      <c r="U752">
        <v>100</v>
      </c>
      <c r="V752">
        <v>14.9</v>
      </c>
      <c r="W752">
        <v>10.24</v>
      </c>
      <c r="X752">
        <v>10.23</v>
      </c>
      <c r="Y752" s="3">
        <v>1490</v>
      </c>
      <c r="Z752">
        <v>41</v>
      </c>
      <c r="AA752" t="s">
        <v>53</v>
      </c>
      <c r="AB752">
        <v>0</v>
      </c>
      <c r="AC752">
        <v>0</v>
      </c>
      <c r="AD752" t="s">
        <v>58</v>
      </c>
      <c r="AH752" s="2">
        <v>44546.59652777778</v>
      </c>
      <c r="AI752">
        <v>0</v>
      </c>
      <c r="AJ752">
        <v>0</v>
      </c>
      <c r="AK752" s="30" t="str">
        <f ca="1">VLOOKUP(T752,'Auxiliar Vendas'!E:F,2,FALSE)</f>
        <v>Produto 13</v>
      </c>
      <c r="AL752" s="31">
        <f ca="1">U752*VLOOKUP(T752,'Auxiliar Vendas'!E:G,3,FALSE)</f>
        <v>140</v>
      </c>
    </row>
    <row r="753" spans="1:38">
      <c r="A753">
        <v>15591604205</v>
      </c>
      <c r="B753">
        <v>222</v>
      </c>
      <c r="D753" s="1">
        <v>44545</v>
      </c>
      <c r="E753">
        <v>15279322250</v>
      </c>
      <c r="F753" t="str">
        <f ca="1">VLOOKUP(RANDBETWEEN(1,20),'DBO Compras'!AA:AC,3,0)</f>
        <v>Comprador 07</v>
      </c>
      <c r="G753" t="s">
        <v>83</v>
      </c>
      <c r="H753" t="s">
        <v>84</v>
      </c>
      <c r="I753" t="s">
        <v>85</v>
      </c>
      <c r="J753" t="s">
        <v>39</v>
      </c>
      <c r="K753">
        <v>80220100</v>
      </c>
      <c r="L753" t="s">
        <v>40</v>
      </c>
      <c r="M753" t="s">
        <v>86</v>
      </c>
      <c r="N753">
        <v>41993330017</v>
      </c>
      <c r="O753">
        <v>0</v>
      </c>
      <c r="P753">
        <v>0</v>
      </c>
      <c r="R753" t="s">
        <v>42</v>
      </c>
      <c r="S753">
        <v>15016043939</v>
      </c>
      <c r="T753" t="str">
        <f ca="1">VLOOKUP(RANDBETWEEN(1,17),'Auxiliar Vendas'!D:G,2,0)</f>
        <v>Produto 11</v>
      </c>
      <c r="U753" s="3">
        <v>1000</v>
      </c>
      <c r="V753">
        <v>12.45</v>
      </c>
      <c r="W753">
        <v>0</v>
      </c>
      <c r="X753">
        <v>10.747</v>
      </c>
      <c r="Y753" s="3">
        <v>12450</v>
      </c>
      <c r="Z753">
        <v>68</v>
      </c>
      <c r="AA753" t="s">
        <v>50</v>
      </c>
      <c r="AB753">
        <v>0</v>
      </c>
      <c r="AC753">
        <v>0</v>
      </c>
      <c r="AD753" t="s">
        <v>58</v>
      </c>
      <c r="AH753" s="2">
        <v>44545.434027777781</v>
      </c>
      <c r="AI753">
        <v>0</v>
      </c>
      <c r="AJ753">
        <v>0</v>
      </c>
      <c r="AK753" s="30" t="str">
        <f ca="1">VLOOKUP(T753,'Auxiliar Vendas'!E:F,2,FALSE)</f>
        <v>Produto 11</v>
      </c>
      <c r="AL753" s="31">
        <f ca="1">U753*VLOOKUP(T753,'Auxiliar Vendas'!E:G,3,FALSE)</f>
        <v>1100</v>
      </c>
    </row>
    <row r="754" spans="1:38">
      <c r="A754">
        <v>15591604205</v>
      </c>
      <c r="B754">
        <v>222</v>
      </c>
      <c r="D754" s="1">
        <v>44545</v>
      </c>
      <c r="E754">
        <v>15279322250</v>
      </c>
      <c r="F754" t="str">
        <f ca="1">VLOOKUP(RANDBETWEEN(1,20),'DBO Compras'!AA:AC,3,0)</f>
        <v>Comprador 13</v>
      </c>
      <c r="G754" t="s">
        <v>83</v>
      </c>
      <c r="H754" t="s">
        <v>84</v>
      </c>
      <c r="I754" t="s">
        <v>85</v>
      </c>
      <c r="J754" t="s">
        <v>39</v>
      </c>
      <c r="K754">
        <v>80220100</v>
      </c>
      <c r="L754" t="s">
        <v>40</v>
      </c>
      <c r="M754" t="s">
        <v>86</v>
      </c>
      <c r="N754">
        <v>41993330017</v>
      </c>
      <c r="O754">
        <v>0</v>
      </c>
      <c r="P754">
        <v>0</v>
      </c>
      <c r="R754" t="s">
        <v>42</v>
      </c>
      <c r="S754">
        <v>15016049144</v>
      </c>
      <c r="T754" t="str">
        <f ca="1">VLOOKUP(RANDBETWEEN(1,17),'Auxiliar Vendas'!D:G,2,0)</f>
        <v>Produto 13</v>
      </c>
      <c r="U754">
        <v>700</v>
      </c>
      <c r="V754">
        <v>7.2</v>
      </c>
      <c r="W754">
        <v>0</v>
      </c>
      <c r="X754">
        <v>5.8620000000000001</v>
      </c>
      <c r="Y754" s="3">
        <v>5040</v>
      </c>
      <c r="Z754">
        <v>68</v>
      </c>
      <c r="AA754" t="s">
        <v>267</v>
      </c>
      <c r="AB754">
        <v>0</v>
      </c>
      <c r="AC754">
        <v>0</v>
      </c>
      <c r="AD754" t="s">
        <v>58</v>
      </c>
      <c r="AH754" s="2">
        <v>44545.434027777781</v>
      </c>
      <c r="AI754">
        <v>0</v>
      </c>
      <c r="AJ754">
        <v>0</v>
      </c>
      <c r="AK754" s="30" t="str">
        <f ca="1">VLOOKUP(T754,'Auxiliar Vendas'!E:F,2,FALSE)</f>
        <v>Produto 13</v>
      </c>
      <c r="AL754" s="31">
        <f ca="1">U754*VLOOKUP(T754,'Auxiliar Vendas'!E:G,3,FALSE)</f>
        <v>979.99999999999989</v>
      </c>
    </row>
    <row r="755" spans="1:38" ht="30">
      <c r="A755">
        <v>15591618073</v>
      </c>
      <c r="B755">
        <v>223</v>
      </c>
      <c r="D755" s="1">
        <v>44545</v>
      </c>
      <c r="E755">
        <v>15059209053</v>
      </c>
      <c r="F755" t="str">
        <f ca="1">VLOOKUP(RANDBETWEEN(1,20),'DBO Compras'!AA:AC,3,0)</f>
        <v>Comprador 01</v>
      </c>
      <c r="G755" t="s">
        <v>201</v>
      </c>
      <c r="H755" t="s">
        <v>202</v>
      </c>
      <c r="I755" t="s">
        <v>69</v>
      </c>
      <c r="J755" t="s">
        <v>203</v>
      </c>
      <c r="K755">
        <v>98700000</v>
      </c>
      <c r="L755" t="s">
        <v>204</v>
      </c>
      <c r="M755" t="s">
        <v>205</v>
      </c>
      <c r="N755">
        <v>41999473993</v>
      </c>
      <c r="O755">
        <v>0</v>
      </c>
      <c r="P755">
        <v>0</v>
      </c>
      <c r="Q755" s="4" t="s">
        <v>324</v>
      </c>
      <c r="R755" t="s">
        <v>42</v>
      </c>
      <c r="S755">
        <v>15016043939</v>
      </c>
      <c r="T755" t="str">
        <f ca="1">VLOOKUP(RANDBETWEEN(1,17),'Auxiliar Vendas'!D:G,2,0)</f>
        <v>Produto 14</v>
      </c>
      <c r="U755">
        <v>300</v>
      </c>
      <c r="V755">
        <v>13.9</v>
      </c>
      <c r="W755">
        <v>0</v>
      </c>
      <c r="X755">
        <v>10.747</v>
      </c>
      <c r="Y755" s="3">
        <v>4170</v>
      </c>
      <c r="Z755">
        <v>34</v>
      </c>
      <c r="AA755" t="s">
        <v>50</v>
      </c>
      <c r="AB755">
        <v>0</v>
      </c>
      <c r="AC755">
        <v>0</v>
      </c>
      <c r="AD755" t="s">
        <v>58</v>
      </c>
      <c r="AH755" s="2">
        <v>44547.573611111111</v>
      </c>
      <c r="AI755">
        <v>0</v>
      </c>
      <c r="AJ755">
        <v>0</v>
      </c>
      <c r="AK755" s="30" t="str">
        <f ca="1">VLOOKUP(T755,'Auxiliar Vendas'!E:F,2,FALSE)</f>
        <v>Produto 14</v>
      </c>
      <c r="AL755" s="31">
        <f ca="1">U755*VLOOKUP(T755,'Auxiliar Vendas'!E:G,3,FALSE)</f>
        <v>420</v>
      </c>
    </row>
    <row r="756" spans="1:38" ht="30">
      <c r="A756">
        <v>15591618073</v>
      </c>
      <c r="B756">
        <v>223</v>
      </c>
      <c r="D756" s="1">
        <v>44545</v>
      </c>
      <c r="E756">
        <v>15059209053</v>
      </c>
      <c r="F756" t="str">
        <f ca="1">VLOOKUP(RANDBETWEEN(1,20),'DBO Compras'!AA:AC,3,0)</f>
        <v>Comprador 05</v>
      </c>
      <c r="G756" t="s">
        <v>201</v>
      </c>
      <c r="H756" t="s">
        <v>202</v>
      </c>
      <c r="I756" t="s">
        <v>69</v>
      </c>
      <c r="J756" t="s">
        <v>203</v>
      </c>
      <c r="K756">
        <v>98700000</v>
      </c>
      <c r="L756" t="s">
        <v>204</v>
      </c>
      <c r="M756" t="s">
        <v>205</v>
      </c>
      <c r="N756">
        <v>41999473993</v>
      </c>
      <c r="O756">
        <v>0</v>
      </c>
      <c r="P756">
        <v>0</v>
      </c>
      <c r="Q756" s="4" t="s">
        <v>324</v>
      </c>
      <c r="R756" t="s">
        <v>42</v>
      </c>
      <c r="S756">
        <v>15016049144</v>
      </c>
      <c r="T756" t="str">
        <f ca="1">VLOOKUP(RANDBETWEEN(1,17),'Auxiliar Vendas'!D:G,2,0)</f>
        <v>Produto 14</v>
      </c>
      <c r="U756">
        <v>100</v>
      </c>
      <c r="V756">
        <v>8.1999999999999993</v>
      </c>
      <c r="W756">
        <v>0</v>
      </c>
      <c r="X756">
        <v>5.8620000000000001</v>
      </c>
      <c r="Y756">
        <v>820</v>
      </c>
      <c r="Z756">
        <v>34</v>
      </c>
      <c r="AA756" t="s">
        <v>267</v>
      </c>
      <c r="AB756">
        <v>0</v>
      </c>
      <c r="AC756">
        <v>0</v>
      </c>
      <c r="AD756" t="s">
        <v>58</v>
      </c>
      <c r="AH756" s="2">
        <v>44547.573611111111</v>
      </c>
      <c r="AI756">
        <v>0</v>
      </c>
      <c r="AJ756">
        <v>0</v>
      </c>
      <c r="AK756" s="30" t="str">
        <f ca="1">VLOOKUP(T756,'Auxiliar Vendas'!E:F,2,FALSE)</f>
        <v>Produto 14</v>
      </c>
      <c r="AL756" s="31">
        <f ca="1">U756*VLOOKUP(T756,'Auxiliar Vendas'!E:G,3,FALSE)</f>
        <v>140</v>
      </c>
    </row>
    <row r="757" spans="1:38" ht="30">
      <c r="A757">
        <v>15591650146</v>
      </c>
      <c r="B757">
        <v>224</v>
      </c>
      <c r="D757" s="1">
        <v>44545</v>
      </c>
      <c r="E757">
        <v>15339582855</v>
      </c>
      <c r="F757" t="str">
        <f ca="1">VLOOKUP(RANDBETWEEN(1,20),'DBO Compras'!AA:AC,3,0)</f>
        <v>Comprador 12</v>
      </c>
      <c r="G757" t="s">
        <v>263</v>
      </c>
      <c r="H757" t="s">
        <v>264</v>
      </c>
      <c r="I757" t="s">
        <v>265</v>
      </c>
      <c r="J757" t="s">
        <v>39</v>
      </c>
      <c r="K757">
        <v>82840020</v>
      </c>
      <c r="L757" t="s">
        <v>40</v>
      </c>
      <c r="M757" t="s">
        <v>266</v>
      </c>
      <c r="N757">
        <v>41995546245</v>
      </c>
      <c r="O757">
        <v>0</v>
      </c>
      <c r="P757">
        <v>0</v>
      </c>
      <c r="Q757" s="4" t="s">
        <v>325</v>
      </c>
      <c r="R757" t="s">
        <v>42</v>
      </c>
      <c r="S757">
        <v>15016043939</v>
      </c>
      <c r="T757" t="str">
        <f ca="1">VLOOKUP(RANDBETWEEN(1,17),'Auxiliar Vendas'!D:G,2,0)</f>
        <v>Produto 16</v>
      </c>
      <c r="U757">
        <v>294</v>
      </c>
      <c r="V757">
        <v>12.45</v>
      </c>
      <c r="W757">
        <v>0</v>
      </c>
      <c r="X757">
        <v>10.747</v>
      </c>
      <c r="Y757" s="3">
        <v>3660.3</v>
      </c>
      <c r="Z757">
        <v>83</v>
      </c>
      <c r="AA757" t="s">
        <v>50</v>
      </c>
      <c r="AB757">
        <v>0</v>
      </c>
      <c r="AC757">
        <v>0</v>
      </c>
      <c r="AD757" t="s">
        <v>58</v>
      </c>
      <c r="AH757" s="2">
        <v>44550.370833333334</v>
      </c>
      <c r="AI757">
        <v>0</v>
      </c>
      <c r="AJ757">
        <v>0</v>
      </c>
      <c r="AK757" s="30" t="str">
        <f ca="1">VLOOKUP(T757,'Auxiliar Vendas'!E:F,2,FALSE)</f>
        <v>Produto 16</v>
      </c>
      <c r="AL757" s="31">
        <f ca="1">U757*VLOOKUP(T757,'Auxiliar Vendas'!E:G,3,FALSE)</f>
        <v>373.38</v>
      </c>
    </row>
    <row r="758" spans="1:38" ht="30">
      <c r="A758">
        <v>15591650146</v>
      </c>
      <c r="B758">
        <v>224</v>
      </c>
      <c r="D758" s="1">
        <v>44545</v>
      </c>
      <c r="E758">
        <v>15339582855</v>
      </c>
      <c r="F758" t="str">
        <f ca="1">VLOOKUP(RANDBETWEEN(1,20),'DBO Compras'!AA:AC,3,0)</f>
        <v>Comprador 20</v>
      </c>
      <c r="G758" t="s">
        <v>263</v>
      </c>
      <c r="H758" t="s">
        <v>264</v>
      </c>
      <c r="I758" t="s">
        <v>265</v>
      </c>
      <c r="J758" t="s">
        <v>39</v>
      </c>
      <c r="K758">
        <v>82840020</v>
      </c>
      <c r="L758" t="s">
        <v>40</v>
      </c>
      <c r="M758" t="s">
        <v>266</v>
      </c>
      <c r="N758">
        <v>41995546245</v>
      </c>
      <c r="O758">
        <v>0</v>
      </c>
      <c r="P758">
        <v>0</v>
      </c>
      <c r="Q758" s="4" t="s">
        <v>325</v>
      </c>
      <c r="R758" t="s">
        <v>42</v>
      </c>
      <c r="S758">
        <v>15016099089</v>
      </c>
      <c r="T758" t="str">
        <f ca="1">VLOOKUP(RANDBETWEEN(1,17),'Auxiliar Vendas'!D:G,2,0)</f>
        <v>Produto 04</v>
      </c>
      <c r="U758">
        <v>436</v>
      </c>
      <c r="V758">
        <v>19.25</v>
      </c>
      <c r="W758">
        <v>11.09</v>
      </c>
      <c r="X758">
        <v>16.804400000000001</v>
      </c>
      <c r="Y758" s="3">
        <v>8393</v>
      </c>
      <c r="Z758">
        <v>83</v>
      </c>
      <c r="AA758" t="s">
        <v>79</v>
      </c>
      <c r="AB758">
        <v>0</v>
      </c>
      <c r="AC758">
        <v>0</v>
      </c>
      <c r="AD758" t="s">
        <v>58</v>
      </c>
      <c r="AH758" s="2">
        <v>44550.370833333334</v>
      </c>
      <c r="AI758">
        <v>0</v>
      </c>
      <c r="AJ758">
        <v>0</v>
      </c>
      <c r="AK758" s="30" t="str">
        <f ca="1">VLOOKUP(T758,'Auxiliar Vendas'!E:F,2,FALSE)</f>
        <v>Produto 04</v>
      </c>
      <c r="AL758" s="31">
        <f ca="1">U758*VLOOKUP(T758,'Auxiliar Vendas'!E:G,3,FALSE)</f>
        <v>261.59999999999997</v>
      </c>
    </row>
    <row r="759" spans="1:38" ht="30">
      <c r="A759">
        <v>15591650146</v>
      </c>
      <c r="B759">
        <v>224</v>
      </c>
      <c r="D759" s="1">
        <v>44545</v>
      </c>
      <c r="E759">
        <v>15339582855</v>
      </c>
      <c r="F759" t="str">
        <f ca="1">VLOOKUP(RANDBETWEEN(1,20),'DBO Compras'!AA:AC,3,0)</f>
        <v>Comprador 09</v>
      </c>
      <c r="G759" t="s">
        <v>263</v>
      </c>
      <c r="H759" t="s">
        <v>264</v>
      </c>
      <c r="I759" t="s">
        <v>265</v>
      </c>
      <c r="J759" t="s">
        <v>39</v>
      </c>
      <c r="K759">
        <v>82840020</v>
      </c>
      <c r="L759" t="s">
        <v>40</v>
      </c>
      <c r="M759" t="s">
        <v>266</v>
      </c>
      <c r="N759">
        <v>41995546245</v>
      </c>
      <c r="O759">
        <v>0</v>
      </c>
      <c r="P759">
        <v>0</v>
      </c>
      <c r="Q759" s="4" t="s">
        <v>325</v>
      </c>
      <c r="R759" t="s">
        <v>42</v>
      </c>
      <c r="S759">
        <v>15016087271</v>
      </c>
      <c r="T759" t="str">
        <f ca="1">VLOOKUP(RANDBETWEEN(1,17),'Auxiliar Vendas'!D:G,2,0)</f>
        <v>Produto 16</v>
      </c>
      <c r="U759">
        <v>170</v>
      </c>
      <c r="V759">
        <v>16.64</v>
      </c>
      <c r="W759">
        <v>10.3</v>
      </c>
      <c r="X759">
        <v>14.4596</v>
      </c>
      <c r="Y759" s="3">
        <v>2828.8</v>
      </c>
      <c r="Z759">
        <v>83</v>
      </c>
      <c r="AA759" t="s">
        <v>64</v>
      </c>
      <c r="AB759">
        <v>0</v>
      </c>
      <c r="AC759">
        <v>0</v>
      </c>
      <c r="AD759" t="s">
        <v>58</v>
      </c>
      <c r="AH759" s="2">
        <v>44550.370833333334</v>
      </c>
      <c r="AI759">
        <v>0</v>
      </c>
      <c r="AJ759">
        <v>0</v>
      </c>
      <c r="AK759" s="30" t="str">
        <f ca="1">VLOOKUP(T759,'Auxiliar Vendas'!E:F,2,FALSE)</f>
        <v>Produto 16</v>
      </c>
      <c r="AL759" s="31">
        <f ca="1">U759*VLOOKUP(T759,'Auxiliar Vendas'!E:G,3,FALSE)</f>
        <v>215.9</v>
      </c>
    </row>
    <row r="760" spans="1:38">
      <c r="A760">
        <v>15594817018</v>
      </c>
      <c r="B760">
        <v>225</v>
      </c>
      <c r="D760" s="1">
        <v>44546</v>
      </c>
      <c r="E760">
        <v>15265449061</v>
      </c>
      <c r="F760" t="str">
        <f ca="1">VLOOKUP(RANDBETWEEN(1,20),'DBO Compras'!AA:AC,3,0)</f>
        <v>Comprador 03</v>
      </c>
      <c r="G760" t="s">
        <v>231</v>
      </c>
      <c r="H760" t="s">
        <v>232</v>
      </c>
      <c r="I760" t="s">
        <v>233</v>
      </c>
      <c r="J760" t="s">
        <v>234</v>
      </c>
      <c r="K760">
        <v>89249000</v>
      </c>
      <c r="L760" t="s">
        <v>235</v>
      </c>
      <c r="M760" t="s">
        <v>236</v>
      </c>
      <c r="N760">
        <v>47996022520</v>
      </c>
      <c r="O760">
        <v>0</v>
      </c>
      <c r="P760">
        <v>0</v>
      </c>
      <c r="R760" t="s">
        <v>42</v>
      </c>
      <c r="S760">
        <v>15016043939</v>
      </c>
      <c r="T760" t="str">
        <f ca="1">VLOOKUP(RANDBETWEEN(1,17),'Auxiliar Vendas'!D:G,2,0)</f>
        <v>Produto 13</v>
      </c>
      <c r="U760">
        <v>300</v>
      </c>
      <c r="V760">
        <v>12.8</v>
      </c>
      <c r="W760">
        <v>0</v>
      </c>
      <c r="X760">
        <v>10.747</v>
      </c>
      <c r="Y760" s="3">
        <v>3840</v>
      </c>
      <c r="Z760">
        <v>60</v>
      </c>
      <c r="AA760" t="s">
        <v>50</v>
      </c>
      <c r="AB760">
        <v>0</v>
      </c>
      <c r="AC760">
        <v>0</v>
      </c>
      <c r="AD760" t="s">
        <v>189</v>
      </c>
      <c r="AH760" s="2">
        <v>44550.369444444441</v>
      </c>
      <c r="AI760">
        <v>0</v>
      </c>
      <c r="AJ760">
        <v>0</v>
      </c>
      <c r="AK760" s="30" t="str">
        <f ca="1">VLOOKUP(T760,'Auxiliar Vendas'!E:F,2,FALSE)</f>
        <v>Produto 13</v>
      </c>
      <c r="AL760" s="31">
        <f ca="1">U760*VLOOKUP(T760,'Auxiliar Vendas'!E:G,3,FALSE)</f>
        <v>420</v>
      </c>
    </row>
    <row r="761" spans="1:38">
      <c r="A761">
        <v>15594817018</v>
      </c>
      <c r="B761">
        <v>225</v>
      </c>
      <c r="D761" s="1">
        <v>44546</v>
      </c>
      <c r="E761">
        <v>15265449061</v>
      </c>
      <c r="F761" t="str">
        <f ca="1">VLOOKUP(RANDBETWEEN(1,20),'DBO Compras'!AA:AC,3,0)</f>
        <v>Comprador 07</v>
      </c>
      <c r="G761" t="s">
        <v>231</v>
      </c>
      <c r="H761" t="s">
        <v>232</v>
      </c>
      <c r="I761" t="s">
        <v>233</v>
      </c>
      <c r="J761" t="s">
        <v>234</v>
      </c>
      <c r="K761">
        <v>89249000</v>
      </c>
      <c r="L761" t="s">
        <v>235</v>
      </c>
      <c r="M761" t="s">
        <v>236</v>
      </c>
      <c r="N761">
        <v>47996022520</v>
      </c>
      <c r="O761">
        <v>0</v>
      </c>
      <c r="P761">
        <v>0</v>
      </c>
      <c r="R761" t="s">
        <v>42</v>
      </c>
      <c r="S761">
        <v>15016049144</v>
      </c>
      <c r="T761" t="str">
        <f ca="1">VLOOKUP(RANDBETWEEN(1,17),'Auxiliar Vendas'!D:G,2,0)</f>
        <v>Produto 07</v>
      </c>
      <c r="U761">
        <v>100</v>
      </c>
      <c r="V761">
        <v>7.3</v>
      </c>
      <c r="W761">
        <v>0</v>
      </c>
      <c r="X761">
        <v>5.8620000000000001</v>
      </c>
      <c r="Y761">
        <v>730</v>
      </c>
      <c r="Z761">
        <v>60</v>
      </c>
      <c r="AA761" t="s">
        <v>267</v>
      </c>
      <c r="AB761">
        <v>0</v>
      </c>
      <c r="AC761">
        <v>0</v>
      </c>
      <c r="AD761" t="s">
        <v>189</v>
      </c>
      <c r="AH761" s="2">
        <v>44550.369444444441</v>
      </c>
      <c r="AI761">
        <v>0</v>
      </c>
      <c r="AJ761">
        <v>0</v>
      </c>
      <c r="AK761" s="30" t="str">
        <f ca="1">VLOOKUP(T761,'Auxiliar Vendas'!E:F,2,FALSE)</f>
        <v>Produto 07</v>
      </c>
      <c r="AL761" s="31">
        <f ca="1">U761*VLOOKUP(T761,'Auxiliar Vendas'!E:G,3,FALSE)</f>
        <v>110.00000000000001</v>
      </c>
    </row>
    <row r="762" spans="1:38">
      <c r="A762">
        <v>15594817018</v>
      </c>
      <c r="B762">
        <v>225</v>
      </c>
      <c r="D762" s="1">
        <v>44546</v>
      </c>
      <c r="E762">
        <v>15265449061</v>
      </c>
      <c r="F762" t="str">
        <f ca="1">VLOOKUP(RANDBETWEEN(1,20),'DBO Compras'!AA:AC,3,0)</f>
        <v>Comprador 18</v>
      </c>
      <c r="G762" t="s">
        <v>231</v>
      </c>
      <c r="H762" t="s">
        <v>232</v>
      </c>
      <c r="I762" t="s">
        <v>233</v>
      </c>
      <c r="J762" t="s">
        <v>234</v>
      </c>
      <c r="K762">
        <v>89249000</v>
      </c>
      <c r="L762" t="s">
        <v>235</v>
      </c>
      <c r="M762" t="s">
        <v>236</v>
      </c>
      <c r="N762">
        <v>47996022520</v>
      </c>
      <c r="O762">
        <v>0</v>
      </c>
      <c r="P762">
        <v>0</v>
      </c>
      <c r="R762" t="s">
        <v>42</v>
      </c>
      <c r="S762">
        <v>15395751673</v>
      </c>
      <c r="T762" t="str">
        <f ca="1">VLOOKUP(RANDBETWEEN(1,17),'Auxiliar Vendas'!D:G,2,0)</f>
        <v>Produto 17</v>
      </c>
      <c r="U762">
        <v>50</v>
      </c>
      <c r="V762">
        <v>7.7</v>
      </c>
      <c r="W762">
        <v>0</v>
      </c>
      <c r="X762">
        <v>5.8620000000000001</v>
      </c>
      <c r="Y762">
        <v>385</v>
      </c>
      <c r="Z762">
        <v>60</v>
      </c>
      <c r="AA762" t="s">
        <v>268</v>
      </c>
      <c r="AB762">
        <v>0</v>
      </c>
      <c r="AC762">
        <v>0</v>
      </c>
      <c r="AD762" t="s">
        <v>189</v>
      </c>
      <c r="AH762" s="2">
        <v>44550.369444444441</v>
      </c>
      <c r="AI762">
        <v>0</v>
      </c>
      <c r="AJ762">
        <v>0</v>
      </c>
      <c r="AK762" s="30" t="str">
        <f ca="1">VLOOKUP(T762,'Auxiliar Vendas'!E:F,2,FALSE)</f>
        <v>Produto 17</v>
      </c>
      <c r="AL762" s="31">
        <f ca="1">U762*VLOOKUP(T762,'Auxiliar Vendas'!E:G,3,FALSE)</f>
        <v>71</v>
      </c>
    </row>
    <row r="763" spans="1:38">
      <c r="A763">
        <v>15594817018</v>
      </c>
      <c r="B763">
        <v>225</v>
      </c>
      <c r="D763" s="1">
        <v>44546</v>
      </c>
      <c r="E763">
        <v>15265449061</v>
      </c>
      <c r="F763" t="str">
        <f ca="1">VLOOKUP(RANDBETWEEN(1,20),'DBO Compras'!AA:AC,3,0)</f>
        <v>Comprador 02</v>
      </c>
      <c r="G763" t="s">
        <v>231</v>
      </c>
      <c r="H763" t="s">
        <v>232</v>
      </c>
      <c r="I763" t="s">
        <v>233</v>
      </c>
      <c r="J763" t="s">
        <v>234</v>
      </c>
      <c r="K763">
        <v>89249000</v>
      </c>
      <c r="L763" t="s">
        <v>235</v>
      </c>
      <c r="M763" t="s">
        <v>236</v>
      </c>
      <c r="N763">
        <v>47996022520</v>
      </c>
      <c r="O763">
        <v>0</v>
      </c>
      <c r="P763">
        <v>0</v>
      </c>
      <c r="R763" t="s">
        <v>42</v>
      </c>
      <c r="S763">
        <v>15015511068</v>
      </c>
      <c r="T763" t="str">
        <f ca="1">VLOOKUP(RANDBETWEEN(1,17),'Auxiliar Vendas'!D:G,2,0)</f>
        <v>Produto 17</v>
      </c>
      <c r="U763">
        <v>50</v>
      </c>
      <c r="V763">
        <v>15</v>
      </c>
      <c r="W763">
        <v>9.64</v>
      </c>
      <c r="X763">
        <v>10.23</v>
      </c>
      <c r="Y763">
        <v>750</v>
      </c>
      <c r="Z763">
        <v>60</v>
      </c>
      <c r="AA763" t="s">
        <v>53</v>
      </c>
      <c r="AB763">
        <v>0</v>
      </c>
      <c r="AC763">
        <v>0</v>
      </c>
      <c r="AD763" t="s">
        <v>189</v>
      </c>
      <c r="AH763" s="2">
        <v>44550.369444444441</v>
      </c>
      <c r="AI763">
        <v>0</v>
      </c>
      <c r="AJ763">
        <v>0</v>
      </c>
      <c r="AK763" s="30" t="str">
        <f ca="1">VLOOKUP(T763,'Auxiliar Vendas'!E:F,2,FALSE)</f>
        <v>Produto 17</v>
      </c>
      <c r="AL763" s="31">
        <f ca="1">U763*VLOOKUP(T763,'Auxiliar Vendas'!E:G,3,FALSE)</f>
        <v>71</v>
      </c>
    </row>
    <row r="764" spans="1:38">
      <c r="A764">
        <v>15595155936</v>
      </c>
      <c r="B764">
        <v>226</v>
      </c>
      <c r="D764" s="1">
        <v>44546</v>
      </c>
      <c r="E764">
        <v>15293435625</v>
      </c>
      <c r="F764" t="str">
        <f ca="1">VLOOKUP(RANDBETWEEN(1,20),'DBO Compras'!AA:AC,3,0)</f>
        <v>Comprador 15</v>
      </c>
      <c r="G764" t="s">
        <v>177</v>
      </c>
      <c r="H764" t="s">
        <v>178</v>
      </c>
      <c r="I764" t="s">
        <v>179</v>
      </c>
      <c r="J764" t="s">
        <v>180</v>
      </c>
      <c r="K764">
        <v>88048000</v>
      </c>
      <c r="L764" t="s">
        <v>92</v>
      </c>
      <c r="M764" t="s">
        <v>181</v>
      </c>
      <c r="N764">
        <v>4833388551</v>
      </c>
      <c r="O764">
        <v>0</v>
      </c>
      <c r="P764">
        <v>0</v>
      </c>
      <c r="R764" t="s">
        <v>42</v>
      </c>
      <c r="S764">
        <v>15016080333</v>
      </c>
      <c r="T764" t="str">
        <f ca="1">VLOOKUP(RANDBETWEEN(1,17),'Auxiliar Vendas'!D:G,2,0)</f>
        <v>Produto 14</v>
      </c>
      <c r="U764">
        <v>700</v>
      </c>
      <c r="V764">
        <v>13.95</v>
      </c>
      <c r="W764">
        <v>0</v>
      </c>
      <c r="X764">
        <v>10.747</v>
      </c>
      <c r="Y764" s="3">
        <v>9765</v>
      </c>
      <c r="Z764">
        <v>76</v>
      </c>
      <c r="AA764" t="s">
        <v>80</v>
      </c>
      <c r="AB764">
        <v>0</v>
      </c>
      <c r="AC764">
        <v>0</v>
      </c>
      <c r="AD764" t="s">
        <v>189</v>
      </c>
      <c r="AH764" s="2">
        <v>44550.706944444442</v>
      </c>
      <c r="AI764">
        <v>0</v>
      </c>
      <c r="AJ764">
        <v>0</v>
      </c>
      <c r="AK764" s="30" t="str">
        <f ca="1">VLOOKUP(T764,'Auxiliar Vendas'!E:F,2,FALSE)</f>
        <v>Produto 14</v>
      </c>
      <c r="AL764" s="31">
        <f ca="1">U764*VLOOKUP(T764,'Auxiliar Vendas'!E:G,3,FALSE)</f>
        <v>979.99999999999989</v>
      </c>
    </row>
    <row r="765" spans="1:38">
      <c r="A765">
        <v>15595155936</v>
      </c>
      <c r="B765">
        <v>226</v>
      </c>
      <c r="D765" s="1">
        <v>44546</v>
      </c>
      <c r="E765">
        <v>15293435625</v>
      </c>
      <c r="F765" t="str">
        <f ca="1">VLOOKUP(RANDBETWEEN(1,20),'DBO Compras'!AA:AC,3,0)</f>
        <v>Comprador 11</v>
      </c>
      <c r="G765" t="s">
        <v>177</v>
      </c>
      <c r="H765" t="s">
        <v>178</v>
      </c>
      <c r="I765" t="s">
        <v>179</v>
      </c>
      <c r="J765" t="s">
        <v>180</v>
      </c>
      <c r="K765">
        <v>88048000</v>
      </c>
      <c r="L765" t="s">
        <v>92</v>
      </c>
      <c r="M765" t="s">
        <v>181</v>
      </c>
      <c r="N765">
        <v>4833388551</v>
      </c>
      <c r="O765">
        <v>0</v>
      </c>
      <c r="P765">
        <v>0</v>
      </c>
      <c r="R765" t="s">
        <v>42</v>
      </c>
      <c r="S765">
        <v>15016087271</v>
      </c>
      <c r="T765" t="str">
        <f ca="1">VLOOKUP(RANDBETWEEN(1,17),'Auxiliar Vendas'!D:G,2,0)</f>
        <v>Produto 02</v>
      </c>
      <c r="U765">
        <v>500</v>
      </c>
      <c r="V765">
        <v>17.8</v>
      </c>
      <c r="W765">
        <v>0</v>
      </c>
      <c r="X765">
        <v>14.4596</v>
      </c>
      <c r="Y765" s="3">
        <v>8900</v>
      </c>
      <c r="Z765">
        <v>76</v>
      </c>
      <c r="AA765" t="s">
        <v>64</v>
      </c>
      <c r="AB765">
        <v>0</v>
      </c>
      <c r="AC765">
        <v>0</v>
      </c>
      <c r="AD765" t="s">
        <v>189</v>
      </c>
      <c r="AH765" s="2">
        <v>44550.706944444442</v>
      </c>
      <c r="AI765">
        <v>0</v>
      </c>
      <c r="AJ765">
        <v>0</v>
      </c>
      <c r="AK765" s="30" t="str">
        <f ca="1">VLOOKUP(T765,'Auxiliar Vendas'!E:F,2,FALSE)</f>
        <v>Produto 02</v>
      </c>
      <c r="AL765" s="31">
        <f ca="1">U765*VLOOKUP(T765,'Auxiliar Vendas'!E:G,3,FALSE)</f>
        <v>135</v>
      </c>
    </row>
    <row r="766" spans="1:38">
      <c r="A766">
        <v>15595155936</v>
      </c>
      <c r="B766">
        <v>226</v>
      </c>
      <c r="D766" s="1">
        <v>44546</v>
      </c>
      <c r="E766">
        <v>15293435625</v>
      </c>
      <c r="F766" t="str">
        <f ca="1">VLOOKUP(RANDBETWEEN(1,20),'DBO Compras'!AA:AC,3,0)</f>
        <v>Comprador 17</v>
      </c>
      <c r="G766" t="s">
        <v>177</v>
      </c>
      <c r="H766" t="s">
        <v>178</v>
      </c>
      <c r="I766" t="s">
        <v>179</v>
      </c>
      <c r="J766" t="s">
        <v>180</v>
      </c>
      <c r="K766">
        <v>88048000</v>
      </c>
      <c r="L766" t="s">
        <v>92</v>
      </c>
      <c r="M766" t="s">
        <v>181</v>
      </c>
      <c r="N766">
        <v>4833388551</v>
      </c>
      <c r="O766">
        <v>0</v>
      </c>
      <c r="P766">
        <v>0</v>
      </c>
      <c r="R766" t="s">
        <v>42</v>
      </c>
      <c r="S766">
        <v>15139667431</v>
      </c>
      <c r="T766" t="str">
        <f ca="1">VLOOKUP(RANDBETWEEN(1,17),'Auxiliar Vendas'!D:G,2,0)</f>
        <v>Produto 05</v>
      </c>
      <c r="U766">
        <v>100</v>
      </c>
      <c r="V766">
        <v>20.9</v>
      </c>
      <c r="W766">
        <v>0</v>
      </c>
      <c r="X766">
        <v>0</v>
      </c>
      <c r="Y766" s="3">
        <v>2090</v>
      </c>
      <c r="Z766">
        <v>76</v>
      </c>
      <c r="AA766" t="s">
        <v>145</v>
      </c>
      <c r="AB766">
        <v>0</v>
      </c>
      <c r="AC766">
        <v>0</v>
      </c>
      <c r="AD766" t="s">
        <v>189</v>
      </c>
      <c r="AH766" s="2">
        <v>44550.706944444442</v>
      </c>
      <c r="AI766">
        <v>0</v>
      </c>
      <c r="AJ766">
        <v>0</v>
      </c>
      <c r="AK766" s="30" t="str">
        <f ca="1">VLOOKUP(T766,'Auxiliar Vendas'!E:F,2,FALSE)</f>
        <v>Produto 05</v>
      </c>
      <c r="AL766" s="31">
        <f ca="1">U766*VLOOKUP(T766,'Auxiliar Vendas'!E:G,3,FALSE)</f>
        <v>60</v>
      </c>
    </row>
    <row r="767" spans="1:38">
      <c r="A767">
        <v>15595187697</v>
      </c>
      <c r="B767">
        <v>227</v>
      </c>
      <c r="D767" s="1">
        <v>44546</v>
      </c>
      <c r="E767">
        <v>15059073318</v>
      </c>
      <c r="F767" t="str">
        <f ca="1">VLOOKUP(RANDBETWEEN(1,20),'DBO Compras'!AA:AC,3,0)</f>
        <v>Comprador 11</v>
      </c>
      <c r="G767" t="s">
        <v>174</v>
      </c>
      <c r="H767" t="s">
        <v>473</v>
      </c>
      <c r="I767" t="s">
        <v>474</v>
      </c>
      <c r="J767" t="s">
        <v>175</v>
      </c>
      <c r="K767">
        <v>88390000</v>
      </c>
      <c r="L767" t="s">
        <v>92</v>
      </c>
      <c r="M767" t="s">
        <v>176</v>
      </c>
      <c r="N767">
        <v>47999669374</v>
      </c>
      <c r="O767">
        <v>0</v>
      </c>
      <c r="P767">
        <v>0</v>
      </c>
      <c r="R767" t="s">
        <v>42</v>
      </c>
      <c r="S767">
        <v>15016093155</v>
      </c>
      <c r="T767" t="str">
        <f ca="1">VLOOKUP(RANDBETWEEN(1,17),'Auxiliar Vendas'!D:G,2,0)</f>
        <v>Produto 15</v>
      </c>
      <c r="U767">
        <v>100</v>
      </c>
      <c r="V767">
        <v>17.5</v>
      </c>
      <c r="W767">
        <v>0</v>
      </c>
      <c r="X767">
        <v>14.4596</v>
      </c>
      <c r="Y767" s="3">
        <v>1750</v>
      </c>
      <c r="Z767">
        <v>30</v>
      </c>
      <c r="AA767" t="s">
        <v>65</v>
      </c>
      <c r="AB767">
        <v>0</v>
      </c>
      <c r="AC767">
        <v>0</v>
      </c>
      <c r="AD767" t="s">
        <v>189</v>
      </c>
      <c r="AH767" s="2">
        <v>44550.368750000001</v>
      </c>
      <c r="AI767">
        <v>0</v>
      </c>
      <c r="AJ767">
        <v>0</v>
      </c>
      <c r="AK767" s="30" t="str">
        <f ca="1">VLOOKUP(T767,'Auxiliar Vendas'!E:F,2,FALSE)</f>
        <v>Produto 15</v>
      </c>
      <c r="AL767" s="31">
        <f ca="1">U767*VLOOKUP(T767,'Auxiliar Vendas'!E:G,3,FALSE)</f>
        <v>142</v>
      </c>
    </row>
    <row r="768" spans="1:38">
      <c r="A768">
        <v>15595187697</v>
      </c>
      <c r="B768">
        <v>227</v>
      </c>
      <c r="D768" s="1">
        <v>44546</v>
      </c>
      <c r="E768">
        <v>15059073318</v>
      </c>
      <c r="F768" t="str">
        <f ca="1">VLOOKUP(RANDBETWEEN(1,20),'DBO Compras'!AA:AC,3,0)</f>
        <v>Comprador 12</v>
      </c>
      <c r="G768" t="s">
        <v>174</v>
      </c>
      <c r="H768" t="s">
        <v>473</v>
      </c>
      <c r="I768" t="s">
        <v>474</v>
      </c>
      <c r="J768" t="s">
        <v>175</v>
      </c>
      <c r="K768">
        <v>88390000</v>
      </c>
      <c r="L768" t="s">
        <v>92</v>
      </c>
      <c r="M768" t="s">
        <v>176</v>
      </c>
      <c r="N768">
        <v>47999669374</v>
      </c>
      <c r="O768">
        <v>0</v>
      </c>
      <c r="P768">
        <v>0</v>
      </c>
      <c r="R768" t="s">
        <v>42</v>
      </c>
      <c r="S768">
        <v>15016080333</v>
      </c>
      <c r="T768" t="str">
        <f ca="1">VLOOKUP(RANDBETWEEN(1,17),'Auxiliar Vendas'!D:G,2,0)</f>
        <v>Produto 02</v>
      </c>
      <c r="U768">
        <v>50</v>
      </c>
      <c r="V768">
        <v>13.6</v>
      </c>
      <c r="W768">
        <v>0</v>
      </c>
      <c r="X768">
        <v>10.747</v>
      </c>
      <c r="Y768">
        <v>680</v>
      </c>
      <c r="Z768">
        <v>30</v>
      </c>
      <c r="AA768" t="s">
        <v>80</v>
      </c>
      <c r="AB768">
        <v>0</v>
      </c>
      <c r="AC768">
        <v>0</v>
      </c>
      <c r="AD768" t="s">
        <v>189</v>
      </c>
      <c r="AH768" s="2">
        <v>44550.368750000001</v>
      </c>
      <c r="AI768">
        <v>0</v>
      </c>
      <c r="AJ768">
        <v>0</v>
      </c>
      <c r="AK768" s="30" t="str">
        <f ca="1">VLOOKUP(T768,'Auxiliar Vendas'!E:F,2,FALSE)</f>
        <v>Produto 02</v>
      </c>
      <c r="AL768" s="31">
        <f ca="1">U768*VLOOKUP(T768,'Auxiliar Vendas'!E:G,3,FALSE)</f>
        <v>13.5</v>
      </c>
    </row>
    <row r="769" spans="1:38">
      <c r="A769">
        <v>15595187697</v>
      </c>
      <c r="B769">
        <v>227</v>
      </c>
      <c r="D769" s="1">
        <v>44546</v>
      </c>
      <c r="E769">
        <v>15059073318</v>
      </c>
      <c r="F769" t="str">
        <f ca="1">VLOOKUP(RANDBETWEEN(1,20),'DBO Compras'!AA:AC,3,0)</f>
        <v>Comprador 13</v>
      </c>
      <c r="G769" t="s">
        <v>174</v>
      </c>
      <c r="H769" t="s">
        <v>473</v>
      </c>
      <c r="I769" t="s">
        <v>474</v>
      </c>
      <c r="J769" t="s">
        <v>175</v>
      </c>
      <c r="K769">
        <v>88390000</v>
      </c>
      <c r="L769" t="s">
        <v>92</v>
      </c>
      <c r="M769" t="s">
        <v>176</v>
      </c>
      <c r="N769">
        <v>47999669374</v>
      </c>
      <c r="O769">
        <v>0</v>
      </c>
      <c r="P769">
        <v>0</v>
      </c>
      <c r="R769" t="s">
        <v>42</v>
      </c>
      <c r="S769">
        <v>15016049144</v>
      </c>
      <c r="T769" t="str">
        <f ca="1">VLOOKUP(RANDBETWEEN(1,17),'Auxiliar Vendas'!D:G,2,0)</f>
        <v>Produto 06</v>
      </c>
      <c r="U769">
        <v>200</v>
      </c>
      <c r="V769">
        <v>7.3</v>
      </c>
      <c r="W769">
        <v>0</v>
      </c>
      <c r="X769">
        <v>5.8620000000000001</v>
      </c>
      <c r="Y769" s="3">
        <v>1460</v>
      </c>
      <c r="Z769">
        <v>30</v>
      </c>
      <c r="AA769" t="s">
        <v>267</v>
      </c>
      <c r="AB769">
        <v>0</v>
      </c>
      <c r="AC769">
        <v>0</v>
      </c>
      <c r="AD769" t="s">
        <v>189</v>
      </c>
      <c r="AH769" s="2">
        <v>44550.368750000001</v>
      </c>
      <c r="AI769">
        <v>0</v>
      </c>
      <c r="AJ769">
        <v>0</v>
      </c>
      <c r="AK769" s="30" t="str">
        <f ca="1">VLOOKUP(T769,'Auxiliar Vendas'!E:F,2,FALSE)</f>
        <v>Produto 06</v>
      </c>
      <c r="AL769" s="31">
        <f ca="1">U769*VLOOKUP(T769,'Auxiliar Vendas'!E:G,3,FALSE)</f>
        <v>100</v>
      </c>
    </row>
    <row r="770" spans="1:38">
      <c r="A770">
        <v>15595187697</v>
      </c>
      <c r="B770">
        <v>227</v>
      </c>
      <c r="D770" s="1">
        <v>44546</v>
      </c>
      <c r="E770">
        <v>15059073318</v>
      </c>
      <c r="F770" t="str">
        <f ca="1">VLOOKUP(RANDBETWEEN(1,20),'DBO Compras'!AA:AC,3,0)</f>
        <v>Comprador 20</v>
      </c>
      <c r="G770" t="s">
        <v>174</v>
      </c>
      <c r="H770" t="s">
        <v>473</v>
      </c>
      <c r="I770" t="s">
        <v>474</v>
      </c>
      <c r="J770" t="s">
        <v>175</v>
      </c>
      <c r="K770">
        <v>88390000</v>
      </c>
      <c r="L770" t="s">
        <v>92</v>
      </c>
      <c r="M770" t="s">
        <v>176</v>
      </c>
      <c r="N770">
        <v>47999669374</v>
      </c>
      <c r="O770">
        <v>0</v>
      </c>
      <c r="P770">
        <v>0</v>
      </c>
      <c r="R770" t="s">
        <v>42</v>
      </c>
      <c r="S770">
        <v>15016043939</v>
      </c>
      <c r="T770" t="str">
        <f ca="1">VLOOKUP(RANDBETWEEN(1,17),'Auxiliar Vendas'!D:G,2,0)</f>
        <v>Produto 14</v>
      </c>
      <c r="U770">
        <v>100</v>
      </c>
      <c r="V770">
        <v>12.8</v>
      </c>
      <c r="W770">
        <v>0</v>
      </c>
      <c r="X770">
        <v>10.747</v>
      </c>
      <c r="Y770" s="3">
        <v>1280</v>
      </c>
      <c r="Z770">
        <v>30</v>
      </c>
      <c r="AA770" t="s">
        <v>50</v>
      </c>
      <c r="AB770">
        <v>0</v>
      </c>
      <c r="AC770">
        <v>0</v>
      </c>
      <c r="AD770" t="s">
        <v>189</v>
      </c>
      <c r="AH770" s="2">
        <v>44550.368750000001</v>
      </c>
      <c r="AI770">
        <v>0</v>
      </c>
      <c r="AJ770">
        <v>0</v>
      </c>
      <c r="AK770" s="30" t="str">
        <f ca="1">VLOOKUP(T770,'Auxiliar Vendas'!E:F,2,FALSE)</f>
        <v>Produto 14</v>
      </c>
      <c r="AL770" s="31">
        <f ca="1">U770*VLOOKUP(T770,'Auxiliar Vendas'!E:G,3,FALSE)</f>
        <v>140</v>
      </c>
    </row>
    <row r="771" spans="1:38">
      <c r="A771">
        <v>15610303583</v>
      </c>
      <c r="B771">
        <v>228</v>
      </c>
      <c r="D771" s="1">
        <v>44547</v>
      </c>
      <c r="E771">
        <v>15179581888</v>
      </c>
      <c r="F771" t="str">
        <f ca="1">VLOOKUP(RANDBETWEEN(1,20),'DBO Compras'!AA:AC,3,0)</f>
        <v>Comprador 13</v>
      </c>
      <c r="G771" t="s">
        <v>54</v>
      </c>
      <c r="H771" t="s">
        <v>55</v>
      </c>
      <c r="I771" t="s">
        <v>56</v>
      </c>
      <c r="J771" t="s">
        <v>39</v>
      </c>
      <c r="K771">
        <v>81350610</v>
      </c>
      <c r="L771" t="s">
        <v>40</v>
      </c>
      <c r="M771" t="s">
        <v>57</v>
      </c>
      <c r="N771">
        <v>41996849234</v>
      </c>
      <c r="O771">
        <v>0</v>
      </c>
      <c r="P771">
        <v>0</v>
      </c>
      <c r="R771" t="s">
        <v>42</v>
      </c>
      <c r="S771">
        <v>15016049144</v>
      </c>
      <c r="T771" t="str">
        <f ca="1">VLOOKUP(RANDBETWEEN(1,17),'Auxiliar Vendas'!D:G,2,0)</f>
        <v>Produto 13</v>
      </c>
      <c r="U771">
        <v>300</v>
      </c>
      <c r="V771">
        <v>7.14</v>
      </c>
      <c r="W771">
        <v>0</v>
      </c>
      <c r="X771">
        <v>5.8620000000000001</v>
      </c>
      <c r="Y771" s="3">
        <v>2142</v>
      </c>
      <c r="Z771">
        <v>41</v>
      </c>
      <c r="AA771" t="s">
        <v>267</v>
      </c>
      <c r="AB771">
        <v>0</v>
      </c>
      <c r="AC771">
        <v>0</v>
      </c>
      <c r="AD771" t="s">
        <v>58</v>
      </c>
      <c r="AH771" s="2">
        <v>44552.582638888889</v>
      </c>
      <c r="AI771">
        <v>0</v>
      </c>
      <c r="AJ771">
        <v>0</v>
      </c>
      <c r="AK771" s="30" t="str">
        <f ca="1">VLOOKUP(T771,'Auxiliar Vendas'!E:F,2,FALSE)</f>
        <v>Produto 13</v>
      </c>
      <c r="AL771" s="31">
        <f ca="1">U771*VLOOKUP(T771,'Auxiliar Vendas'!E:G,3,FALSE)</f>
        <v>420</v>
      </c>
    </row>
    <row r="772" spans="1:38">
      <c r="A772">
        <v>15610303583</v>
      </c>
      <c r="B772">
        <v>228</v>
      </c>
      <c r="D772" s="1">
        <v>44547</v>
      </c>
      <c r="E772">
        <v>15179581888</v>
      </c>
      <c r="F772" t="str">
        <f ca="1">VLOOKUP(RANDBETWEEN(1,20),'DBO Compras'!AA:AC,3,0)</f>
        <v>Comprador 09</v>
      </c>
      <c r="G772" t="s">
        <v>54</v>
      </c>
      <c r="H772" t="s">
        <v>55</v>
      </c>
      <c r="I772" t="s">
        <v>56</v>
      </c>
      <c r="J772" t="s">
        <v>39</v>
      </c>
      <c r="K772">
        <v>81350610</v>
      </c>
      <c r="L772" t="s">
        <v>40</v>
      </c>
      <c r="M772" t="s">
        <v>57</v>
      </c>
      <c r="N772">
        <v>41996849234</v>
      </c>
      <c r="O772">
        <v>0</v>
      </c>
      <c r="P772">
        <v>0</v>
      </c>
      <c r="R772" t="s">
        <v>42</v>
      </c>
      <c r="S772">
        <v>15016099089</v>
      </c>
      <c r="T772" t="str">
        <f ca="1">VLOOKUP(RANDBETWEEN(1,17),'Auxiliar Vendas'!D:G,2,0)</f>
        <v>Produto 17</v>
      </c>
      <c r="U772">
        <v>208</v>
      </c>
      <c r="V772">
        <v>10</v>
      </c>
      <c r="W772">
        <v>0</v>
      </c>
      <c r="X772">
        <v>16.804400000000001</v>
      </c>
      <c r="Y772" s="3">
        <v>2080</v>
      </c>
      <c r="Z772">
        <v>41</v>
      </c>
      <c r="AA772" t="s">
        <v>79</v>
      </c>
      <c r="AB772">
        <v>0</v>
      </c>
      <c r="AC772">
        <v>0</v>
      </c>
      <c r="AD772" t="s">
        <v>58</v>
      </c>
      <c r="AH772" s="2">
        <v>44552.582638888889</v>
      </c>
      <c r="AI772">
        <v>0</v>
      </c>
      <c r="AJ772">
        <v>0</v>
      </c>
      <c r="AK772" s="30" t="str">
        <f ca="1">VLOOKUP(T772,'Auxiliar Vendas'!E:F,2,FALSE)</f>
        <v>Produto 17</v>
      </c>
      <c r="AL772" s="31">
        <f ca="1">U772*VLOOKUP(T772,'Auxiliar Vendas'!E:G,3,FALSE)</f>
        <v>295.36</v>
      </c>
    </row>
    <row r="773" spans="1:38">
      <c r="A773">
        <v>15610303583</v>
      </c>
      <c r="B773">
        <v>228</v>
      </c>
      <c r="D773" s="1">
        <v>44547</v>
      </c>
      <c r="E773">
        <v>15179581888</v>
      </c>
      <c r="F773" t="str">
        <f ca="1">VLOOKUP(RANDBETWEEN(1,20),'DBO Compras'!AA:AC,3,0)</f>
        <v>Comprador 12</v>
      </c>
      <c r="G773" t="s">
        <v>54</v>
      </c>
      <c r="H773" t="s">
        <v>55</v>
      </c>
      <c r="I773" t="s">
        <v>56</v>
      </c>
      <c r="J773" t="s">
        <v>39</v>
      </c>
      <c r="K773">
        <v>81350610</v>
      </c>
      <c r="L773" t="s">
        <v>40</v>
      </c>
      <c r="M773" t="s">
        <v>57</v>
      </c>
      <c r="N773">
        <v>41996849234</v>
      </c>
      <c r="O773">
        <v>0</v>
      </c>
      <c r="P773">
        <v>0</v>
      </c>
      <c r="R773" t="s">
        <v>42</v>
      </c>
      <c r="S773">
        <v>15016093155</v>
      </c>
      <c r="T773" t="str">
        <f ca="1">VLOOKUP(RANDBETWEEN(1,17),'Auxiliar Vendas'!D:G,2,0)</f>
        <v>Produto 10</v>
      </c>
      <c r="U773">
        <v>8</v>
      </c>
      <c r="V773">
        <v>8</v>
      </c>
      <c r="W773">
        <v>0</v>
      </c>
      <c r="X773">
        <v>14.4596</v>
      </c>
      <c r="Y773">
        <v>64</v>
      </c>
      <c r="Z773">
        <v>41</v>
      </c>
      <c r="AA773" t="s">
        <v>65</v>
      </c>
      <c r="AB773">
        <v>0</v>
      </c>
      <c r="AC773">
        <v>0</v>
      </c>
      <c r="AD773" t="s">
        <v>58</v>
      </c>
      <c r="AH773" s="2">
        <v>44552.582638888889</v>
      </c>
      <c r="AI773">
        <v>0</v>
      </c>
      <c r="AJ773">
        <v>0</v>
      </c>
      <c r="AK773" s="30" t="str">
        <f ca="1">VLOOKUP(T773,'Auxiliar Vendas'!E:F,2,FALSE)</f>
        <v>Produto 10</v>
      </c>
      <c r="AL773" s="31">
        <f ca="1">U773*VLOOKUP(T773,'Auxiliar Vendas'!E:G,3,FALSE)</f>
        <v>8.8000000000000007</v>
      </c>
    </row>
    <row r="774" spans="1:38">
      <c r="A774">
        <v>15610303583</v>
      </c>
      <c r="B774">
        <v>228</v>
      </c>
      <c r="D774" s="1">
        <v>44547</v>
      </c>
      <c r="E774">
        <v>15179581888</v>
      </c>
      <c r="F774" t="str">
        <f ca="1">VLOOKUP(RANDBETWEEN(1,20),'DBO Compras'!AA:AC,3,0)</f>
        <v>Comprador 12</v>
      </c>
      <c r="G774" t="s">
        <v>54</v>
      </c>
      <c r="H774" t="s">
        <v>55</v>
      </c>
      <c r="I774" t="s">
        <v>56</v>
      </c>
      <c r="J774" t="s">
        <v>39</v>
      </c>
      <c r="K774">
        <v>81350610</v>
      </c>
      <c r="L774" t="s">
        <v>40</v>
      </c>
      <c r="M774" t="s">
        <v>57</v>
      </c>
      <c r="N774">
        <v>41996849234</v>
      </c>
      <c r="O774">
        <v>0</v>
      </c>
      <c r="P774">
        <v>0</v>
      </c>
      <c r="R774" t="s">
        <v>42</v>
      </c>
      <c r="S774">
        <v>15016043939</v>
      </c>
      <c r="T774" t="str">
        <f ca="1">VLOOKUP(RANDBETWEEN(1,17),'Auxiliar Vendas'!D:G,2,0)</f>
        <v>Produto 16</v>
      </c>
      <c r="U774">
        <v>11</v>
      </c>
      <c r="V774">
        <v>7</v>
      </c>
      <c r="W774">
        <v>0</v>
      </c>
      <c r="X774">
        <v>10.747</v>
      </c>
      <c r="Y774">
        <v>77</v>
      </c>
      <c r="Z774">
        <v>41</v>
      </c>
      <c r="AA774" t="s">
        <v>50</v>
      </c>
      <c r="AB774">
        <v>0</v>
      </c>
      <c r="AC774">
        <v>0</v>
      </c>
      <c r="AD774" t="s">
        <v>58</v>
      </c>
      <c r="AH774" s="2">
        <v>44552.582638888889</v>
      </c>
      <c r="AI774">
        <v>0</v>
      </c>
      <c r="AJ774">
        <v>0</v>
      </c>
      <c r="AK774" s="30" t="str">
        <f ca="1">VLOOKUP(T774,'Auxiliar Vendas'!E:F,2,FALSE)</f>
        <v>Produto 16</v>
      </c>
      <c r="AL774" s="31">
        <f ca="1">U774*VLOOKUP(T774,'Auxiliar Vendas'!E:G,3,FALSE)</f>
        <v>13.97</v>
      </c>
    </row>
    <row r="775" spans="1:38">
      <c r="A775">
        <v>15610890462</v>
      </c>
      <c r="B775">
        <v>229</v>
      </c>
      <c r="D775" s="1">
        <v>44547</v>
      </c>
      <c r="E775">
        <v>15264888160</v>
      </c>
      <c r="F775" t="str">
        <f ca="1">VLOOKUP(RANDBETWEEN(1,20),'DBO Compras'!AA:AC,3,0)</f>
        <v>Comprador 03</v>
      </c>
      <c r="G775" t="s">
        <v>215</v>
      </c>
      <c r="H775" t="s">
        <v>216</v>
      </c>
      <c r="I775" t="s">
        <v>217</v>
      </c>
      <c r="J775" t="s">
        <v>193</v>
      </c>
      <c r="K775">
        <v>89213401</v>
      </c>
      <c r="L775" t="s">
        <v>92</v>
      </c>
      <c r="M775" t="s">
        <v>218</v>
      </c>
      <c r="N775">
        <v>4734530505</v>
      </c>
      <c r="O775">
        <v>0</v>
      </c>
      <c r="P775">
        <v>0</v>
      </c>
      <c r="Q775" t="s">
        <v>326</v>
      </c>
      <c r="R775" t="s">
        <v>42</v>
      </c>
      <c r="S775">
        <v>15016043939</v>
      </c>
      <c r="T775" t="str">
        <f ca="1">VLOOKUP(RANDBETWEEN(1,17),'Auxiliar Vendas'!D:G,2,0)</f>
        <v>Produto 11</v>
      </c>
      <c r="U775">
        <v>200</v>
      </c>
      <c r="V775">
        <v>13.55</v>
      </c>
      <c r="W775">
        <v>0</v>
      </c>
      <c r="X775">
        <v>10.747</v>
      </c>
      <c r="Y775" s="3">
        <v>2710</v>
      </c>
      <c r="Z775">
        <v>57</v>
      </c>
      <c r="AA775" t="s">
        <v>50</v>
      </c>
      <c r="AB775">
        <v>0</v>
      </c>
      <c r="AC775">
        <v>0</v>
      </c>
      <c r="AD775" t="s">
        <v>189</v>
      </c>
      <c r="AH775" s="2">
        <v>44550.370138888888</v>
      </c>
      <c r="AI775">
        <v>0</v>
      </c>
      <c r="AJ775">
        <v>0</v>
      </c>
      <c r="AK775" s="30" t="str">
        <f ca="1">VLOOKUP(T775,'Auxiliar Vendas'!E:F,2,FALSE)</f>
        <v>Produto 11</v>
      </c>
      <c r="AL775" s="31">
        <f ca="1">U775*VLOOKUP(T775,'Auxiliar Vendas'!E:G,3,FALSE)</f>
        <v>220.00000000000003</v>
      </c>
    </row>
    <row r="776" spans="1:38">
      <c r="A776">
        <v>15610890462</v>
      </c>
      <c r="B776">
        <v>229</v>
      </c>
      <c r="D776" s="1">
        <v>44547</v>
      </c>
      <c r="E776">
        <v>15264888160</v>
      </c>
      <c r="F776" t="str">
        <f ca="1">VLOOKUP(RANDBETWEEN(1,20),'DBO Compras'!AA:AC,3,0)</f>
        <v>Comprador 02</v>
      </c>
      <c r="G776" t="s">
        <v>215</v>
      </c>
      <c r="H776" t="s">
        <v>216</v>
      </c>
      <c r="I776" t="s">
        <v>217</v>
      </c>
      <c r="J776" t="s">
        <v>193</v>
      </c>
      <c r="K776">
        <v>89213401</v>
      </c>
      <c r="L776" t="s">
        <v>92</v>
      </c>
      <c r="M776" t="s">
        <v>218</v>
      </c>
      <c r="N776">
        <v>4734530505</v>
      </c>
      <c r="O776">
        <v>0</v>
      </c>
      <c r="P776">
        <v>0</v>
      </c>
      <c r="Q776" t="s">
        <v>326</v>
      </c>
      <c r="R776" t="s">
        <v>42</v>
      </c>
      <c r="S776">
        <v>15015511068</v>
      </c>
      <c r="T776" t="str">
        <f ca="1">VLOOKUP(RANDBETWEEN(1,17),'Auxiliar Vendas'!D:G,2,0)</f>
        <v>Produto 17</v>
      </c>
      <c r="U776">
        <v>50</v>
      </c>
      <c r="V776">
        <v>15</v>
      </c>
      <c r="W776">
        <v>9.64</v>
      </c>
      <c r="X776">
        <v>10.23</v>
      </c>
      <c r="Y776">
        <v>750</v>
      </c>
      <c r="Z776">
        <v>57</v>
      </c>
      <c r="AA776" t="s">
        <v>53</v>
      </c>
      <c r="AB776">
        <v>0</v>
      </c>
      <c r="AC776">
        <v>0</v>
      </c>
      <c r="AD776" t="s">
        <v>189</v>
      </c>
      <c r="AH776" s="2">
        <v>44550.370138888888</v>
      </c>
      <c r="AI776">
        <v>0</v>
      </c>
      <c r="AJ776">
        <v>0</v>
      </c>
      <c r="AK776" s="30" t="str">
        <f ca="1">VLOOKUP(T776,'Auxiliar Vendas'!E:F,2,FALSE)</f>
        <v>Produto 17</v>
      </c>
      <c r="AL776" s="31">
        <f ca="1">U776*VLOOKUP(T776,'Auxiliar Vendas'!E:G,3,FALSE)</f>
        <v>71</v>
      </c>
    </row>
    <row r="777" spans="1:38">
      <c r="A777">
        <v>15611983247</v>
      </c>
      <c r="B777">
        <v>230</v>
      </c>
      <c r="D777" s="1">
        <v>44547</v>
      </c>
      <c r="E777">
        <v>15582141432</v>
      </c>
      <c r="F777" t="str">
        <f ca="1">VLOOKUP(RANDBETWEEN(1,20),'DBO Compras'!AA:AC,3,0)</f>
        <v>Comprador 18</v>
      </c>
      <c r="G777" t="s">
        <v>315</v>
      </c>
      <c r="K777">
        <v>0</v>
      </c>
      <c r="M777" t="s">
        <v>316</v>
      </c>
      <c r="N777">
        <v>4184727286</v>
      </c>
      <c r="O777">
        <v>0</v>
      </c>
      <c r="P777">
        <v>0</v>
      </c>
      <c r="R777" t="s">
        <v>42</v>
      </c>
      <c r="S777">
        <v>15016043939</v>
      </c>
      <c r="T777" t="str">
        <f ca="1">VLOOKUP(RANDBETWEEN(1,17),'Auxiliar Vendas'!D:G,2,0)</f>
        <v>Produto 07</v>
      </c>
      <c r="U777">
        <v>50</v>
      </c>
      <c r="V777">
        <v>14.1</v>
      </c>
      <c r="W777">
        <v>0</v>
      </c>
      <c r="X777">
        <v>10.747</v>
      </c>
      <c r="Y777">
        <v>705</v>
      </c>
      <c r="Z777">
        <v>130</v>
      </c>
      <c r="AA777" t="s">
        <v>50</v>
      </c>
      <c r="AB777">
        <v>0</v>
      </c>
      <c r="AC777">
        <v>0</v>
      </c>
      <c r="AD777" t="s">
        <v>58</v>
      </c>
      <c r="AH777" s="2">
        <v>44547.588194444441</v>
      </c>
      <c r="AI777">
        <v>0</v>
      </c>
      <c r="AJ777">
        <v>0</v>
      </c>
      <c r="AK777" s="30" t="str">
        <f ca="1">VLOOKUP(T777,'Auxiliar Vendas'!E:F,2,FALSE)</f>
        <v>Produto 07</v>
      </c>
      <c r="AL777" s="31">
        <f ca="1">U777*VLOOKUP(T777,'Auxiliar Vendas'!E:G,3,FALSE)</f>
        <v>55.000000000000007</v>
      </c>
    </row>
    <row r="778" spans="1:38">
      <c r="A778">
        <v>15611983247</v>
      </c>
      <c r="B778">
        <v>230</v>
      </c>
      <c r="D778" s="1">
        <v>44547</v>
      </c>
      <c r="E778">
        <v>15582141432</v>
      </c>
      <c r="F778" t="str">
        <f ca="1">VLOOKUP(RANDBETWEEN(1,20),'DBO Compras'!AA:AC,3,0)</f>
        <v>Comprador 10</v>
      </c>
      <c r="G778" t="s">
        <v>315</v>
      </c>
      <c r="K778">
        <v>0</v>
      </c>
      <c r="M778" t="s">
        <v>316</v>
      </c>
      <c r="N778">
        <v>4184727286</v>
      </c>
      <c r="O778">
        <v>0</v>
      </c>
      <c r="P778">
        <v>0</v>
      </c>
      <c r="R778" t="s">
        <v>42</v>
      </c>
      <c r="S778">
        <v>15015511068</v>
      </c>
      <c r="T778" t="str">
        <f ca="1">VLOOKUP(RANDBETWEEN(1,17),'Auxiliar Vendas'!D:G,2,0)</f>
        <v>Produto 07</v>
      </c>
      <c r="U778">
        <v>100</v>
      </c>
      <c r="V778">
        <v>16.600000000000001</v>
      </c>
      <c r="W778">
        <v>0</v>
      </c>
      <c r="X778">
        <v>10.23</v>
      </c>
      <c r="Y778" s="3">
        <v>1660</v>
      </c>
      <c r="Z778">
        <v>130</v>
      </c>
      <c r="AA778" t="s">
        <v>53</v>
      </c>
      <c r="AB778">
        <v>0</v>
      </c>
      <c r="AC778">
        <v>0</v>
      </c>
      <c r="AD778" t="s">
        <v>58</v>
      </c>
      <c r="AH778" s="2">
        <v>44547.588194444441</v>
      </c>
      <c r="AI778">
        <v>0</v>
      </c>
      <c r="AJ778">
        <v>0</v>
      </c>
      <c r="AK778" s="30" t="str">
        <f ca="1">VLOOKUP(T778,'Auxiliar Vendas'!E:F,2,FALSE)</f>
        <v>Produto 07</v>
      </c>
      <c r="AL778" s="31">
        <f ca="1">U778*VLOOKUP(T778,'Auxiliar Vendas'!E:G,3,FALSE)</f>
        <v>110.00000000000001</v>
      </c>
    </row>
    <row r="779" spans="1:38">
      <c r="A779">
        <v>15627905986</v>
      </c>
      <c r="B779">
        <v>232</v>
      </c>
      <c r="D779" s="1">
        <v>44547</v>
      </c>
      <c r="E779">
        <v>15602903347</v>
      </c>
      <c r="F779" t="str">
        <f ca="1">VLOOKUP(RANDBETWEEN(1,20),'DBO Compras'!AA:AC,3,0)</f>
        <v>Comprador 13</v>
      </c>
      <c r="G779" t="s">
        <v>327</v>
      </c>
      <c r="L779" t="s">
        <v>328</v>
      </c>
      <c r="O779">
        <v>0</v>
      </c>
      <c r="P779">
        <v>0</v>
      </c>
      <c r="R779" t="s">
        <v>42</v>
      </c>
      <c r="S779">
        <v>15016087271</v>
      </c>
      <c r="T779" t="str">
        <f ca="1">VLOOKUP(RANDBETWEEN(1,17),'Auxiliar Vendas'!D:G,2,0)</f>
        <v>Produto 07</v>
      </c>
      <c r="U779">
        <v>18</v>
      </c>
      <c r="V779">
        <v>18.55</v>
      </c>
      <c r="W779">
        <v>0</v>
      </c>
      <c r="X779">
        <v>14.4596</v>
      </c>
      <c r="Y779">
        <v>333.9</v>
      </c>
      <c r="Z779">
        <v>132</v>
      </c>
      <c r="AA779" t="s">
        <v>64</v>
      </c>
      <c r="AB779">
        <v>0</v>
      </c>
      <c r="AC779">
        <v>0</v>
      </c>
      <c r="AD779" t="s">
        <v>58</v>
      </c>
      <c r="AH779" s="2">
        <v>44552.582638888889</v>
      </c>
      <c r="AI779">
        <v>0</v>
      </c>
      <c r="AJ779">
        <v>0</v>
      </c>
      <c r="AK779" s="30" t="str">
        <f ca="1">VLOOKUP(T779,'Auxiliar Vendas'!E:F,2,FALSE)</f>
        <v>Produto 07</v>
      </c>
      <c r="AL779" s="31">
        <f ca="1">U779*VLOOKUP(T779,'Auxiliar Vendas'!E:G,3,FALSE)</f>
        <v>19.8</v>
      </c>
    </row>
    <row r="780" spans="1:38">
      <c r="A780">
        <v>15627905986</v>
      </c>
      <c r="B780">
        <v>232</v>
      </c>
      <c r="D780" s="1">
        <v>44547</v>
      </c>
      <c r="E780">
        <v>15602903347</v>
      </c>
      <c r="F780" t="str">
        <f ca="1">VLOOKUP(RANDBETWEEN(1,20),'DBO Compras'!AA:AC,3,0)</f>
        <v>Comprador 10</v>
      </c>
      <c r="G780" t="s">
        <v>327</v>
      </c>
      <c r="L780" t="s">
        <v>328</v>
      </c>
      <c r="O780">
        <v>0</v>
      </c>
      <c r="P780">
        <v>0</v>
      </c>
      <c r="R780" t="s">
        <v>42</v>
      </c>
      <c r="S780">
        <v>15016099089</v>
      </c>
      <c r="T780" t="str">
        <f ca="1">VLOOKUP(RANDBETWEEN(1,17),'Auxiliar Vendas'!D:G,2,0)</f>
        <v>Produto 07</v>
      </c>
      <c r="U780">
        <v>44</v>
      </c>
      <c r="V780">
        <v>21.65</v>
      </c>
      <c r="W780">
        <v>0</v>
      </c>
      <c r="X780">
        <v>16.804400000000001</v>
      </c>
      <c r="Y780">
        <v>952.6</v>
      </c>
      <c r="Z780">
        <v>132</v>
      </c>
      <c r="AA780" t="s">
        <v>79</v>
      </c>
      <c r="AB780">
        <v>0</v>
      </c>
      <c r="AC780">
        <v>0</v>
      </c>
      <c r="AD780" t="s">
        <v>58</v>
      </c>
      <c r="AH780" s="2">
        <v>44552.582638888889</v>
      </c>
      <c r="AI780">
        <v>0</v>
      </c>
      <c r="AJ780">
        <v>0</v>
      </c>
      <c r="AK780" s="30" t="str">
        <f ca="1">VLOOKUP(T780,'Auxiliar Vendas'!E:F,2,FALSE)</f>
        <v>Produto 07</v>
      </c>
      <c r="AL780" s="31">
        <f ca="1">U780*VLOOKUP(T780,'Auxiliar Vendas'!E:G,3,FALSE)</f>
        <v>48.400000000000006</v>
      </c>
    </row>
    <row r="781" spans="1:38">
      <c r="A781">
        <v>15627830338</v>
      </c>
      <c r="B781">
        <v>231</v>
      </c>
      <c r="D781" s="1">
        <v>44550</v>
      </c>
      <c r="E781">
        <v>15602910935</v>
      </c>
      <c r="F781" t="str">
        <f ca="1">VLOOKUP(RANDBETWEEN(1,20),'DBO Compras'!AA:AC,3,0)</f>
        <v>Comprador 09</v>
      </c>
      <c r="G781" t="s">
        <v>329</v>
      </c>
      <c r="H781" t="s">
        <v>330</v>
      </c>
      <c r="I781" t="s">
        <v>331</v>
      </c>
      <c r="J781" t="s">
        <v>39</v>
      </c>
      <c r="K781" t="s">
        <v>332</v>
      </c>
      <c r="L781" t="s">
        <v>40</v>
      </c>
      <c r="O781">
        <v>0</v>
      </c>
      <c r="P781">
        <v>12</v>
      </c>
      <c r="R781" t="s">
        <v>42</v>
      </c>
      <c r="S781">
        <v>15015918644</v>
      </c>
      <c r="T781" t="str">
        <f ca="1">VLOOKUP(RANDBETWEEN(1,17),'Auxiliar Vendas'!D:G,2,0)</f>
        <v>Produto 01</v>
      </c>
      <c r="U781">
        <v>120</v>
      </c>
      <c r="V781">
        <v>8.2799999999999994</v>
      </c>
      <c r="W781">
        <v>0</v>
      </c>
      <c r="X781">
        <v>5.61</v>
      </c>
      <c r="Y781">
        <v>993.6</v>
      </c>
      <c r="Z781">
        <v>133</v>
      </c>
      <c r="AA781" t="s">
        <v>59</v>
      </c>
      <c r="AB781">
        <v>5.59</v>
      </c>
      <c r="AC781">
        <v>0</v>
      </c>
      <c r="AD781" t="s">
        <v>58</v>
      </c>
      <c r="AH781" s="2">
        <v>44552.581944444442</v>
      </c>
      <c r="AI781">
        <v>0</v>
      </c>
      <c r="AJ781">
        <v>0</v>
      </c>
      <c r="AK781" s="30" t="str">
        <f ca="1">VLOOKUP(T781,'Auxiliar Vendas'!E:F,2,FALSE)</f>
        <v>Produto 01</v>
      </c>
      <c r="AL781" s="31">
        <f ca="1">U781*VLOOKUP(T781,'Auxiliar Vendas'!E:G,3,FALSE)</f>
        <v>48</v>
      </c>
    </row>
    <row r="782" spans="1:38">
      <c r="A782">
        <v>15627830338</v>
      </c>
      <c r="B782">
        <v>231</v>
      </c>
      <c r="D782" s="1">
        <v>44550</v>
      </c>
      <c r="E782">
        <v>15602910935</v>
      </c>
      <c r="F782" t="str">
        <f ca="1">VLOOKUP(RANDBETWEEN(1,20),'DBO Compras'!AA:AC,3,0)</f>
        <v>Comprador 20</v>
      </c>
      <c r="G782" t="s">
        <v>329</v>
      </c>
      <c r="H782" t="s">
        <v>330</v>
      </c>
      <c r="I782" t="s">
        <v>331</v>
      </c>
      <c r="J782" t="s">
        <v>39</v>
      </c>
      <c r="K782" t="s">
        <v>332</v>
      </c>
      <c r="L782" t="s">
        <v>40</v>
      </c>
      <c r="O782">
        <v>0</v>
      </c>
      <c r="P782">
        <v>12</v>
      </c>
      <c r="R782" t="s">
        <v>42</v>
      </c>
      <c r="S782">
        <v>15016043939</v>
      </c>
      <c r="T782" t="str">
        <f ca="1">VLOOKUP(RANDBETWEEN(1,17),'Auxiliar Vendas'!D:G,2,0)</f>
        <v>Produto 17</v>
      </c>
      <c r="U782">
        <v>80</v>
      </c>
      <c r="V782">
        <v>14.25</v>
      </c>
      <c r="W782">
        <v>0</v>
      </c>
      <c r="X782">
        <v>10.747</v>
      </c>
      <c r="Y782" s="3">
        <v>1140</v>
      </c>
      <c r="Z782">
        <v>133</v>
      </c>
      <c r="AA782" t="s">
        <v>50</v>
      </c>
      <c r="AB782">
        <v>6.41</v>
      </c>
      <c r="AC782">
        <v>0</v>
      </c>
      <c r="AD782" t="s">
        <v>58</v>
      </c>
      <c r="AH782" s="2">
        <v>44552.581944444442</v>
      </c>
      <c r="AI782">
        <v>0</v>
      </c>
      <c r="AJ782">
        <v>0</v>
      </c>
      <c r="AK782" s="30" t="str">
        <f ca="1">VLOOKUP(T782,'Auxiliar Vendas'!E:F,2,FALSE)</f>
        <v>Produto 17</v>
      </c>
      <c r="AL782" s="31">
        <f ca="1">U782*VLOOKUP(T782,'Auxiliar Vendas'!E:G,3,FALSE)</f>
        <v>113.6</v>
      </c>
    </row>
    <row r="783" spans="1:38">
      <c r="A783">
        <v>15631068273</v>
      </c>
      <c r="B783">
        <v>235</v>
      </c>
      <c r="D783" s="1">
        <v>44550</v>
      </c>
      <c r="E783">
        <v>15020006032</v>
      </c>
      <c r="F783" t="str">
        <f ca="1">VLOOKUP(RANDBETWEEN(1,20),'DBO Compras'!AA:AC,3,0)</f>
        <v>Comprador 07</v>
      </c>
      <c r="G783" t="s">
        <v>36</v>
      </c>
      <c r="H783" t="s">
        <v>37</v>
      </c>
      <c r="I783" t="s">
        <v>38</v>
      </c>
      <c r="J783" t="s">
        <v>39</v>
      </c>
      <c r="K783">
        <v>82960015</v>
      </c>
      <c r="L783" t="s">
        <v>40</v>
      </c>
      <c r="M783" t="s">
        <v>41</v>
      </c>
      <c r="N783">
        <v>41996838559</v>
      </c>
      <c r="O783">
        <v>0</v>
      </c>
      <c r="P783">
        <v>0</v>
      </c>
      <c r="Q783" t="s">
        <v>333</v>
      </c>
      <c r="R783" t="s">
        <v>42</v>
      </c>
      <c r="S783">
        <v>15139667431</v>
      </c>
      <c r="T783" t="str">
        <f ca="1">VLOOKUP(RANDBETWEEN(1,17),'Auxiliar Vendas'!D:G,2,0)</f>
        <v>Produto 15</v>
      </c>
      <c r="U783">
        <v>100</v>
      </c>
      <c r="V783">
        <v>20.9</v>
      </c>
      <c r="W783">
        <v>0</v>
      </c>
      <c r="X783">
        <v>0</v>
      </c>
      <c r="Y783" s="3">
        <v>2090</v>
      </c>
      <c r="Z783">
        <v>16</v>
      </c>
      <c r="AA783" t="s">
        <v>145</v>
      </c>
      <c r="AB783">
        <v>0</v>
      </c>
      <c r="AC783">
        <v>0</v>
      </c>
      <c r="AD783" t="s">
        <v>58</v>
      </c>
      <c r="AH783" s="2">
        <v>44552.583333333336</v>
      </c>
      <c r="AI783">
        <v>0</v>
      </c>
      <c r="AJ783">
        <v>0</v>
      </c>
      <c r="AK783" s="30" t="str">
        <f ca="1">VLOOKUP(T783,'Auxiliar Vendas'!E:F,2,FALSE)</f>
        <v>Produto 15</v>
      </c>
      <c r="AL783" s="31">
        <f ca="1">U783*VLOOKUP(T783,'Auxiliar Vendas'!E:G,3,FALSE)</f>
        <v>142</v>
      </c>
    </row>
    <row r="784" spans="1:38">
      <c r="A784">
        <v>15631068273</v>
      </c>
      <c r="B784">
        <v>235</v>
      </c>
      <c r="D784" s="1">
        <v>44550</v>
      </c>
      <c r="E784">
        <v>15020006032</v>
      </c>
      <c r="F784" t="str">
        <f ca="1">VLOOKUP(RANDBETWEEN(1,20),'DBO Compras'!AA:AC,3,0)</f>
        <v>Comprador 20</v>
      </c>
      <c r="G784" t="s">
        <v>36</v>
      </c>
      <c r="H784" t="s">
        <v>37</v>
      </c>
      <c r="I784" t="s">
        <v>38</v>
      </c>
      <c r="J784" t="s">
        <v>39</v>
      </c>
      <c r="K784">
        <v>82960015</v>
      </c>
      <c r="L784" t="s">
        <v>40</v>
      </c>
      <c r="M784" t="s">
        <v>41</v>
      </c>
      <c r="N784">
        <v>41996838559</v>
      </c>
      <c r="O784">
        <v>0</v>
      </c>
      <c r="P784">
        <v>0</v>
      </c>
      <c r="Q784" t="s">
        <v>333</v>
      </c>
      <c r="R784" t="s">
        <v>42</v>
      </c>
      <c r="S784">
        <v>15395751673</v>
      </c>
      <c r="T784" t="str">
        <f ca="1">VLOOKUP(RANDBETWEEN(1,17),'Auxiliar Vendas'!D:G,2,0)</f>
        <v>Produto 01</v>
      </c>
      <c r="U784">
        <v>150</v>
      </c>
      <c r="V784">
        <v>7.85</v>
      </c>
      <c r="W784">
        <v>0</v>
      </c>
      <c r="X784">
        <v>5.8620000000000001</v>
      </c>
      <c r="Y784" s="3">
        <v>1177.5</v>
      </c>
      <c r="Z784">
        <v>16</v>
      </c>
      <c r="AA784" t="s">
        <v>268</v>
      </c>
      <c r="AB784">
        <v>0</v>
      </c>
      <c r="AC784">
        <v>0</v>
      </c>
      <c r="AD784" t="s">
        <v>58</v>
      </c>
      <c r="AH784" s="2">
        <v>44552.583333333336</v>
      </c>
      <c r="AI784">
        <v>0</v>
      </c>
      <c r="AJ784">
        <v>0</v>
      </c>
      <c r="AK784" s="30" t="str">
        <f ca="1">VLOOKUP(T784,'Auxiliar Vendas'!E:F,2,FALSE)</f>
        <v>Produto 01</v>
      </c>
      <c r="AL784" s="31">
        <f ca="1">U784*VLOOKUP(T784,'Auxiliar Vendas'!E:G,3,FALSE)</f>
        <v>60</v>
      </c>
    </row>
    <row r="785" spans="1:38">
      <c r="A785">
        <v>15631075564</v>
      </c>
      <c r="B785">
        <v>236</v>
      </c>
      <c r="D785" s="1">
        <v>44550</v>
      </c>
      <c r="E785">
        <v>15058698393</v>
      </c>
      <c r="F785" t="str">
        <f ca="1">VLOOKUP(RANDBETWEEN(1,20),'DBO Compras'!AA:AC,3,0)</f>
        <v>Comprador 08</v>
      </c>
      <c r="G785" t="s">
        <v>67</v>
      </c>
      <c r="H785" t="s">
        <v>68</v>
      </c>
      <c r="I785" t="s">
        <v>69</v>
      </c>
      <c r="J785" t="s">
        <v>70</v>
      </c>
      <c r="K785">
        <v>83320382</v>
      </c>
      <c r="L785" t="s">
        <v>40</v>
      </c>
      <c r="M785" t="s">
        <v>71</v>
      </c>
      <c r="N785">
        <v>41998972354</v>
      </c>
      <c r="O785">
        <v>0</v>
      </c>
      <c r="P785">
        <v>0</v>
      </c>
      <c r="R785" t="s">
        <v>42</v>
      </c>
      <c r="S785">
        <v>15016093155</v>
      </c>
      <c r="T785" t="str">
        <f ca="1">VLOOKUP(RANDBETWEEN(1,17),'Auxiliar Vendas'!D:G,2,0)</f>
        <v>Produto 14</v>
      </c>
      <c r="U785">
        <v>200</v>
      </c>
      <c r="V785">
        <v>16.7</v>
      </c>
      <c r="W785">
        <v>0</v>
      </c>
      <c r="X785">
        <v>14.4596</v>
      </c>
      <c r="Y785" s="3">
        <v>3340</v>
      </c>
      <c r="Z785">
        <v>18</v>
      </c>
      <c r="AA785" t="s">
        <v>65</v>
      </c>
      <c r="AB785">
        <v>0</v>
      </c>
      <c r="AC785">
        <v>0</v>
      </c>
      <c r="AD785" t="s">
        <v>58</v>
      </c>
      <c r="AH785" s="2">
        <v>44550.706250000003</v>
      </c>
      <c r="AI785">
        <v>0</v>
      </c>
      <c r="AJ785">
        <v>0</v>
      </c>
      <c r="AK785" s="30" t="str">
        <f ca="1">VLOOKUP(T785,'Auxiliar Vendas'!E:F,2,FALSE)</f>
        <v>Produto 14</v>
      </c>
      <c r="AL785" s="31">
        <f ca="1">U785*VLOOKUP(T785,'Auxiliar Vendas'!E:G,3,FALSE)</f>
        <v>280</v>
      </c>
    </row>
    <row r="786" spans="1:38">
      <c r="A786">
        <v>15631075564</v>
      </c>
      <c r="B786">
        <v>236</v>
      </c>
      <c r="D786" s="1">
        <v>44550</v>
      </c>
      <c r="E786">
        <v>15058698393</v>
      </c>
      <c r="F786" t="str">
        <f ca="1">VLOOKUP(RANDBETWEEN(1,20),'DBO Compras'!AA:AC,3,0)</f>
        <v>Comprador 13</v>
      </c>
      <c r="G786" t="s">
        <v>67</v>
      </c>
      <c r="H786" t="s">
        <v>68</v>
      </c>
      <c r="I786" t="s">
        <v>69</v>
      </c>
      <c r="J786" t="s">
        <v>70</v>
      </c>
      <c r="K786">
        <v>83320382</v>
      </c>
      <c r="L786" t="s">
        <v>40</v>
      </c>
      <c r="M786" t="s">
        <v>71</v>
      </c>
      <c r="N786">
        <v>41998972354</v>
      </c>
      <c r="O786">
        <v>0</v>
      </c>
      <c r="P786">
        <v>0</v>
      </c>
      <c r="R786" t="s">
        <v>42</v>
      </c>
      <c r="S786">
        <v>15016080333</v>
      </c>
      <c r="T786" t="str">
        <f ca="1">VLOOKUP(RANDBETWEEN(1,17),'Auxiliar Vendas'!D:G,2,0)</f>
        <v>Produto 10</v>
      </c>
      <c r="U786">
        <v>200</v>
      </c>
      <c r="V786">
        <v>13.5</v>
      </c>
      <c r="W786">
        <v>11.76</v>
      </c>
      <c r="X786">
        <v>10.747</v>
      </c>
      <c r="Y786" s="3">
        <v>2700</v>
      </c>
      <c r="Z786">
        <v>18</v>
      </c>
      <c r="AA786" t="s">
        <v>80</v>
      </c>
      <c r="AB786">
        <v>0</v>
      </c>
      <c r="AC786">
        <v>0</v>
      </c>
      <c r="AD786" t="s">
        <v>58</v>
      </c>
      <c r="AH786" s="2">
        <v>44550.706250000003</v>
      </c>
      <c r="AI786">
        <v>0</v>
      </c>
      <c r="AJ786">
        <v>0</v>
      </c>
      <c r="AK786" s="30" t="str">
        <f ca="1">VLOOKUP(T786,'Auxiliar Vendas'!E:F,2,FALSE)</f>
        <v>Produto 10</v>
      </c>
      <c r="AL786" s="31">
        <f ca="1">U786*VLOOKUP(T786,'Auxiliar Vendas'!E:G,3,FALSE)</f>
        <v>220.00000000000003</v>
      </c>
    </row>
    <row r="787" spans="1:38">
      <c r="A787">
        <v>15635775263</v>
      </c>
      <c r="B787">
        <v>237</v>
      </c>
      <c r="D787" s="1">
        <v>44550</v>
      </c>
      <c r="E787">
        <v>15179724225</v>
      </c>
      <c r="F787" t="str">
        <f ca="1">VLOOKUP(RANDBETWEEN(1,20),'DBO Compras'!AA:AC,3,0)</f>
        <v>Comprador 20</v>
      </c>
      <c r="G787" t="s">
        <v>147</v>
      </c>
      <c r="H787" t="s">
        <v>148</v>
      </c>
      <c r="I787" t="s">
        <v>149</v>
      </c>
      <c r="J787" t="s">
        <v>143</v>
      </c>
      <c r="K787">
        <v>84060872</v>
      </c>
      <c r="L787" t="s">
        <v>40</v>
      </c>
      <c r="M787" t="s">
        <v>150</v>
      </c>
      <c r="N787">
        <v>4299550985</v>
      </c>
      <c r="O787">
        <v>0</v>
      </c>
      <c r="P787">
        <v>0</v>
      </c>
      <c r="R787" t="s">
        <v>42</v>
      </c>
      <c r="S787">
        <v>15016043939</v>
      </c>
      <c r="T787" t="str">
        <f ca="1">VLOOKUP(RANDBETWEEN(1,17),'Auxiliar Vendas'!D:G,2,0)</f>
        <v>Produto 10</v>
      </c>
      <c r="U787">
        <v>300</v>
      </c>
      <c r="V787">
        <v>13.9</v>
      </c>
      <c r="W787">
        <v>0</v>
      </c>
      <c r="X787">
        <v>10.747</v>
      </c>
      <c r="Y787" s="3">
        <v>4170</v>
      </c>
      <c r="Z787">
        <v>47</v>
      </c>
      <c r="AA787" t="s">
        <v>50</v>
      </c>
      <c r="AB787">
        <v>0</v>
      </c>
      <c r="AC787">
        <v>0</v>
      </c>
      <c r="AD787" t="s">
        <v>51</v>
      </c>
      <c r="AH787" s="2">
        <v>44552.584027777775</v>
      </c>
      <c r="AI787">
        <v>0</v>
      </c>
      <c r="AJ787">
        <v>0</v>
      </c>
      <c r="AK787" s="30" t="str">
        <f ca="1">VLOOKUP(T787,'Auxiliar Vendas'!E:F,2,FALSE)</f>
        <v>Produto 10</v>
      </c>
      <c r="AL787" s="31">
        <f ca="1">U787*VLOOKUP(T787,'Auxiliar Vendas'!E:G,3,FALSE)</f>
        <v>330</v>
      </c>
    </row>
    <row r="788" spans="1:38">
      <c r="A788">
        <v>15635775263</v>
      </c>
      <c r="B788">
        <v>237</v>
      </c>
      <c r="D788" s="1">
        <v>44550</v>
      </c>
      <c r="E788">
        <v>15179724225</v>
      </c>
      <c r="F788" t="str">
        <f ca="1">VLOOKUP(RANDBETWEEN(1,20),'DBO Compras'!AA:AC,3,0)</f>
        <v>Comprador 09</v>
      </c>
      <c r="G788" t="s">
        <v>147</v>
      </c>
      <c r="H788" t="s">
        <v>148</v>
      </c>
      <c r="I788" t="s">
        <v>149</v>
      </c>
      <c r="J788" t="s">
        <v>143</v>
      </c>
      <c r="K788">
        <v>84060872</v>
      </c>
      <c r="L788" t="s">
        <v>40</v>
      </c>
      <c r="M788" t="s">
        <v>150</v>
      </c>
      <c r="N788">
        <v>4299550985</v>
      </c>
      <c r="O788">
        <v>0</v>
      </c>
      <c r="P788">
        <v>0</v>
      </c>
      <c r="R788" t="s">
        <v>42</v>
      </c>
      <c r="S788">
        <v>15016099089</v>
      </c>
      <c r="T788" t="str">
        <f ca="1">VLOOKUP(RANDBETWEEN(1,17),'Auxiliar Vendas'!D:G,2,0)</f>
        <v>Produto 13</v>
      </c>
      <c r="U788">
        <v>80</v>
      </c>
      <c r="V788">
        <v>21.45</v>
      </c>
      <c r="W788">
        <v>0</v>
      </c>
      <c r="X788">
        <v>16.804400000000001</v>
      </c>
      <c r="Y788" s="3">
        <v>1716</v>
      </c>
      <c r="Z788">
        <v>47</v>
      </c>
      <c r="AA788" t="s">
        <v>79</v>
      </c>
      <c r="AB788">
        <v>0</v>
      </c>
      <c r="AC788">
        <v>0</v>
      </c>
      <c r="AD788" t="s">
        <v>51</v>
      </c>
      <c r="AH788" s="2">
        <v>44552.584027777775</v>
      </c>
      <c r="AI788">
        <v>0</v>
      </c>
      <c r="AJ788">
        <v>0</v>
      </c>
      <c r="AK788" s="30" t="str">
        <f ca="1">VLOOKUP(T788,'Auxiliar Vendas'!E:F,2,FALSE)</f>
        <v>Produto 13</v>
      </c>
      <c r="AL788" s="31">
        <f ca="1">U788*VLOOKUP(T788,'Auxiliar Vendas'!E:G,3,FALSE)</f>
        <v>112</v>
      </c>
    </row>
    <row r="789" spans="1:38">
      <c r="A789">
        <v>15635775263</v>
      </c>
      <c r="B789">
        <v>237</v>
      </c>
      <c r="D789" s="1">
        <v>44550</v>
      </c>
      <c r="E789">
        <v>15179724225</v>
      </c>
      <c r="F789" t="str">
        <f ca="1">VLOOKUP(RANDBETWEEN(1,20),'DBO Compras'!AA:AC,3,0)</f>
        <v>Comprador 02</v>
      </c>
      <c r="G789" t="s">
        <v>147</v>
      </c>
      <c r="H789" t="s">
        <v>148</v>
      </c>
      <c r="I789" t="s">
        <v>149</v>
      </c>
      <c r="J789" t="s">
        <v>143</v>
      </c>
      <c r="K789">
        <v>84060872</v>
      </c>
      <c r="L789" t="s">
        <v>40</v>
      </c>
      <c r="M789" t="s">
        <v>150</v>
      </c>
      <c r="N789">
        <v>4299550985</v>
      </c>
      <c r="O789">
        <v>0</v>
      </c>
      <c r="P789">
        <v>0</v>
      </c>
      <c r="R789" t="s">
        <v>42</v>
      </c>
      <c r="S789">
        <v>15016087271</v>
      </c>
      <c r="T789" t="str">
        <f ca="1">VLOOKUP(RANDBETWEEN(1,17),'Auxiliar Vendas'!D:G,2,0)</f>
        <v>Produto 09</v>
      </c>
      <c r="U789">
        <v>40</v>
      </c>
      <c r="V789">
        <v>18.350000000000001</v>
      </c>
      <c r="W789">
        <v>0</v>
      </c>
      <c r="X789">
        <v>14.4596</v>
      </c>
      <c r="Y789">
        <v>734</v>
      </c>
      <c r="Z789">
        <v>47</v>
      </c>
      <c r="AA789" t="s">
        <v>64</v>
      </c>
      <c r="AB789">
        <v>0</v>
      </c>
      <c r="AC789">
        <v>0</v>
      </c>
      <c r="AD789" t="s">
        <v>51</v>
      </c>
      <c r="AH789" s="2">
        <v>44552.584027777775</v>
      </c>
      <c r="AI789">
        <v>0</v>
      </c>
      <c r="AJ789">
        <v>0</v>
      </c>
      <c r="AK789" s="30" t="str">
        <f ca="1">VLOOKUP(T789,'Auxiliar Vendas'!E:F,2,FALSE)</f>
        <v>Produto 09</v>
      </c>
      <c r="AL789" s="31">
        <f ca="1">U789*VLOOKUP(T789,'Auxiliar Vendas'!E:G,3,FALSE)</f>
        <v>44</v>
      </c>
    </row>
    <row r="790" spans="1:38">
      <c r="A790">
        <v>15635775263</v>
      </c>
      <c r="B790">
        <v>237</v>
      </c>
      <c r="D790" s="1">
        <v>44550</v>
      </c>
      <c r="E790">
        <v>15179724225</v>
      </c>
      <c r="F790" t="str">
        <f ca="1">VLOOKUP(RANDBETWEEN(1,20),'DBO Compras'!AA:AC,3,0)</f>
        <v>Comprador 05</v>
      </c>
      <c r="G790" t="s">
        <v>147</v>
      </c>
      <c r="H790" t="s">
        <v>148</v>
      </c>
      <c r="I790" t="s">
        <v>149</v>
      </c>
      <c r="J790" t="s">
        <v>143</v>
      </c>
      <c r="K790">
        <v>84060872</v>
      </c>
      <c r="L790" t="s">
        <v>40</v>
      </c>
      <c r="M790" t="s">
        <v>150</v>
      </c>
      <c r="N790">
        <v>4299550985</v>
      </c>
      <c r="O790">
        <v>0</v>
      </c>
      <c r="P790">
        <v>0</v>
      </c>
      <c r="R790" t="s">
        <v>42</v>
      </c>
      <c r="S790">
        <v>15139727614</v>
      </c>
      <c r="T790" t="str">
        <f ca="1">VLOOKUP(RANDBETWEEN(1,17),'Auxiliar Vendas'!D:G,2,0)</f>
        <v>Produto 12</v>
      </c>
      <c r="U790">
        <v>10</v>
      </c>
      <c r="V790">
        <v>23.85</v>
      </c>
      <c r="W790">
        <v>0</v>
      </c>
      <c r="X790">
        <v>0</v>
      </c>
      <c r="Y790">
        <v>238.5</v>
      </c>
      <c r="Z790">
        <v>47</v>
      </c>
      <c r="AA790" t="s">
        <v>146</v>
      </c>
      <c r="AB790">
        <v>0</v>
      </c>
      <c r="AC790">
        <v>0</v>
      </c>
      <c r="AD790" t="s">
        <v>51</v>
      </c>
      <c r="AH790" s="2">
        <v>44552.584027777775</v>
      </c>
      <c r="AI790">
        <v>0</v>
      </c>
      <c r="AJ790">
        <v>0</v>
      </c>
      <c r="AK790" s="30" t="str">
        <f ca="1">VLOOKUP(T790,'Auxiliar Vendas'!E:F,2,FALSE)</f>
        <v>Produto 12</v>
      </c>
      <c r="AL790" s="31">
        <f ca="1">U790*VLOOKUP(T790,'Auxiliar Vendas'!E:G,3,FALSE)</f>
        <v>14</v>
      </c>
    </row>
    <row r="791" spans="1:38">
      <c r="A791">
        <v>15635775263</v>
      </c>
      <c r="B791">
        <v>237</v>
      </c>
      <c r="D791" s="1">
        <v>44550</v>
      </c>
      <c r="E791">
        <v>15179724225</v>
      </c>
      <c r="F791" t="str">
        <f ca="1">VLOOKUP(RANDBETWEEN(1,20),'DBO Compras'!AA:AC,3,0)</f>
        <v>Comprador 06</v>
      </c>
      <c r="G791" t="s">
        <v>147</v>
      </c>
      <c r="H791" t="s">
        <v>148</v>
      </c>
      <c r="I791" t="s">
        <v>149</v>
      </c>
      <c r="J791" t="s">
        <v>143</v>
      </c>
      <c r="K791">
        <v>84060872</v>
      </c>
      <c r="L791" t="s">
        <v>40</v>
      </c>
      <c r="M791" t="s">
        <v>150</v>
      </c>
      <c r="N791">
        <v>4299550985</v>
      </c>
      <c r="O791">
        <v>0</v>
      </c>
      <c r="P791">
        <v>0</v>
      </c>
      <c r="R791" t="s">
        <v>42</v>
      </c>
      <c r="S791">
        <v>15139667431</v>
      </c>
      <c r="T791" t="str">
        <f ca="1">VLOOKUP(RANDBETWEEN(1,17),'Auxiliar Vendas'!D:G,2,0)</f>
        <v>Produto 09</v>
      </c>
      <c r="U791">
        <v>5</v>
      </c>
      <c r="V791">
        <v>21</v>
      </c>
      <c r="W791">
        <v>0</v>
      </c>
      <c r="X791">
        <v>0</v>
      </c>
      <c r="Y791">
        <v>105</v>
      </c>
      <c r="Z791">
        <v>47</v>
      </c>
      <c r="AA791" t="s">
        <v>145</v>
      </c>
      <c r="AB791">
        <v>0</v>
      </c>
      <c r="AC791">
        <v>0</v>
      </c>
      <c r="AD791" t="s">
        <v>51</v>
      </c>
      <c r="AH791" s="2">
        <v>44552.584027777775</v>
      </c>
      <c r="AI791">
        <v>0</v>
      </c>
      <c r="AJ791">
        <v>0</v>
      </c>
      <c r="AK791" s="30" t="str">
        <f ca="1">VLOOKUP(T791,'Auxiliar Vendas'!E:F,2,FALSE)</f>
        <v>Produto 09</v>
      </c>
      <c r="AL791" s="31">
        <f ca="1">U791*VLOOKUP(T791,'Auxiliar Vendas'!E:G,3,FALSE)</f>
        <v>5.5</v>
      </c>
    </row>
    <row r="792" spans="1:38">
      <c r="A792">
        <v>15635775263</v>
      </c>
      <c r="B792">
        <v>237</v>
      </c>
      <c r="D792" s="1">
        <v>44550</v>
      </c>
      <c r="E792">
        <v>15179724225</v>
      </c>
      <c r="F792" t="str">
        <f ca="1">VLOOKUP(RANDBETWEEN(1,20),'DBO Compras'!AA:AC,3,0)</f>
        <v>Comprador 07</v>
      </c>
      <c r="G792" t="s">
        <v>147</v>
      </c>
      <c r="H792" t="s">
        <v>148</v>
      </c>
      <c r="I792" t="s">
        <v>149</v>
      </c>
      <c r="J792" t="s">
        <v>143</v>
      </c>
      <c r="K792">
        <v>84060872</v>
      </c>
      <c r="L792" t="s">
        <v>40</v>
      </c>
      <c r="M792" t="s">
        <v>150</v>
      </c>
      <c r="N792">
        <v>4299550985</v>
      </c>
      <c r="O792">
        <v>0</v>
      </c>
      <c r="P792">
        <v>0</v>
      </c>
      <c r="R792" t="s">
        <v>42</v>
      </c>
      <c r="S792">
        <v>15016080333</v>
      </c>
      <c r="T792" t="str">
        <f ca="1">VLOOKUP(RANDBETWEEN(1,17),'Auxiliar Vendas'!D:G,2,0)</f>
        <v>Produto 03</v>
      </c>
      <c r="U792">
        <v>10</v>
      </c>
      <c r="V792">
        <v>15.2</v>
      </c>
      <c r="W792">
        <v>0</v>
      </c>
      <c r="X792">
        <v>10.747</v>
      </c>
      <c r="Y792">
        <v>152</v>
      </c>
      <c r="Z792">
        <v>47</v>
      </c>
      <c r="AA792" t="s">
        <v>80</v>
      </c>
      <c r="AB792">
        <v>0</v>
      </c>
      <c r="AC792">
        <v>0</v>
      </c>
      <c r="AD792" t="s">
        <v>51</v>
      </c>
      <c r="AH792" s="2">
        <v>44552.584027777775</v>
      </c>
      <c r="AI792">
        <v>0</v>
      </c>
      <c r="AJ792">
        <v>0</v>
      </c>
      <c r="AK792" s="30" t="str">
        <f ca="1">VLOOKUP(T792,'Auxiliar Vendas'!E:F,2,FALSE)</f>
        <v>Produto 03</v>
      </c>
      <c r="AL792" s="31">
        <f ca="1">U792*VLOOKUP(T792,'Auxiliar Vendas'!E:G,3,FALSE)</f>
        <v>6</v>
      </c>
    </row>
    <row r="793" spans="1:38">
      <c r="A793">
        <v>15635775263</v>
      </c>
      <c r="B793">
        <v>237</v>
      </c>
      <c r="D793" s="1">
        <v>44550</v>
      </c>
      <c r="E793">
        <v>15179724225</v>
      </c>
      <c r="F793" t="str">
        <f ca="1">VLOOKUP(RANDBETWEEN(1,20),'DBO Compras'!AA:AC,3,0)</f>
        <v>Comprador 01</v>
      </c>
      <c r="G793" t="s">
        <v>147</v>
      </c>
      <c r="H793" t="s">
        <v>148</v>
      </c>
      <c r="I793" t="s">
        <v>149</v>
      </c>
      <c r="J793" t="s">
        <v>143</v>
      </c>
      <c r="K793">
        <v>84060872</v>
      </c>
      <c r="L793" t="s">
        <v>40</v>
      </c>
      <c r="M793" t="s">
        <v>150</v>
      </c>
      <c r="N793">
        <v>4299550985</v>
      </c>
      <c r="O793">
        <v>0</v>
      </c>
      <c r="P793">
        <v>0</v>
      </c>
      <c r="R793" t="s">
        <v>42</v>
      </c>
      <c r="S793">
        <v>15016093155</v>
      </c>
      <c r="T793" t="str">
        <f ca="1">VLOOKUP(RANDBETWEEN(1,17),'Auxiliar Vendas'!D:G,2,0)</f>
        <v>Produto 12</v>
      </c>
      <c r="U793">
        <v>20</v>
      </c>
      <c r="V793">
        <v>18.45</v>
      </c>
      <c r="W793">
        <v>0</v>
      </c>
      <c r="X793">
        <v>14.4596</v>
      </c>
      <c r="Y793">
        <v>369</v>
      </c>
      <c r="Z793">
        <v>47</v>
      </c>
      <c r="AA793" t="s">
        <v>65</v>
      </c>
      <c r="AB793">
        <v>0</v>
      </c>
      <c r="AC793">
        <v>0</v>
      </c>
      <c r="AD793" t="s">
        <v>51</v>
      </c>
      <c r="AH793" s="2">
        <v>44552.584027777775</v>
      </c>
      <c r="AI793">
        <v>0</v>
      </c>
      <c r="AJ793">
        <v>0</v>
      </c>
      <c r="AK793" s="30" t="str">
        <f ca="1">VLOOKUP(T793,'Auxiliar Vendas'!E:F,2,FALSE)</f>
        <v>Produto 12</v>
      </c>
      <c r="AL793" s="31">
        <f ca="1">U793*VLOOKUP(T793,'Auxiliar Vendas'!E:G,3,FALSE)</f>
        <v>28</v>
      </c>
    </row>
    <row r="794" spans="1:38">
      <c r="A794">
        <v>15635775263</v>
      </c>
      <c r="B794">
        <v>237</v>
      </c>
      <c r="D794" s="1">
        <v>44550</v>
      </c>
      <c r="E794">
        <v>15179724225</v>
      </c>
      <c r="F794" t="str">
        <f ca="1">VLOOKUP(RANDBETWEEN(1,20),'DBO Compras'!AA:AC,3,0)</f>
        <v>Comprador 12</v>
      </c>
      <c r="G794" t="s">
        <v>147</v>
      </c>
      <c r="H794" t="s">
        <v>148</v>
      </c>
      <c r="I794" t="s">
        <v>149</v>
      </c>
      <c r="J794" t="s">
        <v>143</v>
      </c>
      <c r="K794">
        <v>84060872</v>
      </c>
      <c r="L794" t="s">
        <v>40</v>
      </c>
      <c r="M794" t="s">
        <v>150</v>
      </c>
      <c r="N794">
        <v>4299550985</v>
      </c>
      <c r="O794">
        <v>0</v>
      </c>
      <c r="P794">
        <v>0</v>
      </c>
      <c r="R794" t="s">
        <v>42</v>
      </c>
      <c r="S794">
        <v>15015511068</v>
      </c>
      <c r="T794" t="str">
        <f ca="1">VLOOKUP(RANDBETWEEN(1,17),'Auxiliar Vendas'!D:G,2,0)</f>
        <v>Produto 02</v>
      </c>
      <c r="U794">
        <v>100</v>
      </c>
      <c r="V794">
        <v>16.399999999999999</v>
      </c>
      <c r="W794">
        <v>1.2</v>
      </c>
      <c r="X794">
        <v>10.23</v>
      </c>
      <c r="Y794" s="3">
        <v>1640</v>
      </c>
      <c r="Z794">
        <v>47</v>
      </c>
      <c r="AA794" t="s">
        <v>53</v>
      </c>
      <c r="AB794">
        <v>0</v>
      </c>
      <c r="AC794">
        <v>0</v>
      </c>
      <c r="AD794" t="s">
        <v>51</v>
      </c>
      <c r="AH794" s="2">
        <v>44552.584027777775</v>
      </c>
      <c r="AI794">
        <v>0</v>
      </c>
      <c r="AJ794">
        <v>0</v>
      </c>
      <c r="AK794" s="30" t="str">
        <f ca="1">VLOOKUP(T794,'Auxiliar Vendas'!E:F,2,FALSE)</f>
        <v>Produto 02</v>
      </c>
      <c r="AL794" s="31">
        <f ca="1">U794*VLOOKUP(T794,'Auxiliar Vendas'!E:G,3,FALSE)</f>
        <v>27</v>
      </c>
    </row>
    <row r="795" spans="1:38">
      <c r="A795">
        <v>15647225376</v>
      </c>
      <c r="B795">
        <v>238</v>
      </c>
      <c r="D795" s="1">
        <v>44551</v>
      </c>
      <c r="E795">
        <v>15339582855</v>
      </c>
      <c r="F795" t="str">
        <f ca="1">VLOOKUP(RANDBETWEEN(1,20),'DBO Compras'!AA:AC,3,0)</f>
        <v>Comprador 13</v>
      </c>
      <c r="G795" t="s">
        <v>263</v>
      </c>
      <c r="H795" t="s">
        <v>264</v>
      </c>
      <c r="I795" t="s">
        <v>265</v>
      </c>
      <c r="J795" t="s">
        <v>39</v>
      </c>
      <c r="K795">
        <v>82840020</v>
      </c>
      <c r="L795" t="s">
        <v>40</v>
      </c>
      <c r="M795" t="s">
        <v>266</v>
      </c>
      <c r="N795">
        <v>41995546245</v>
      </c>
      <c r="O795">
        <v>0</v>
      </c>
      <c r="P795">
        <v>0</v>
      </c>
      <c r="Q795" t="s">
        <v>334</v>
      </c>
      <c r="R795" t="s">
        <v>42</v>
      </c>
      <c r="S795">
        <v>15016043939</v>
      </c>
      <c r="T795" t="str">
        <f ca="1">VLOOKUP(RANDBETWEEN(1,17),'Auxiliar Vendas'!D:G,2,0)</f>
        <v>Produto 04</v>
      </c>
      <c r="U795" s="3">
        <v>4000</v>
      </c>
      <c r="V795">
        <v>12.45</v>
      </c>
      <c r="W795">
        <v>0</v>
      </c>
      <c r="X795">
        <v>10.747</v>
      </c>
      <c r="Y795" s="3">
        <v>49800</v>
      </c>
      <c r="Z795">
        <v>83</v>
      </c>
      <c r="AA795" t="s">
        <v>50</v>
      </c>
      <c r="AB795">
        <v>0</v>
      </c>
      <c r="AC795">
        <v>0</v>
      </c>
      <c r="AD795" t="s">
        <v>58</v>
      </c>
      <c r="AH795" s="2">
        <v>44565.365972222222</v>
      </c>
      <c r="AI795">
        <v>0</v>
      </c>
      <c r="AJ795">
        <v>0</v>
      </c>
      <c r="AK795" s="30" t="str">
        <f ca="1">VLOOKUP(T795,'Auxiliar Vendas'!E:F,2,FALSE)</f>
        <v>Produto 04</v>
      </c>
      <c r="AL795" s="31">
        <f ca="1">U795*VLOOKUP(T795,'Auxiliar Vendas'!E:G,3,FALSE)</f>
        <v>2400</v>
      </c>
    </row>
    <row r="796" spans="1:38">
      <c r="A796">
        <v>15647225376</v>
      </c>
      <c r="B796">
        <v>238</v>
      </c>
      <c r="D796" s="1">
        <v>44551</v>
      </c>
      <c r="E796">
        <v>15339582855</v>
      </c>
      <c r="F796" t="str">
        <f ca="1">VLOOKUP(RANDBETWEEN(1,20),'DBO Compras'!AA:AC,3,0)</f>
        <v>Comprador 18</v>
      </c>
      <c r="G796" t="s">
        <v>263</v>
      </c>
      <c r="H796" t="s">
        <v>264</v>
      </c>
      <c r="I796" t="s">
        <v>265</v>
      </c>
      <c r="J796" t="s">
        <v>39</v>
      </c>
      <c r="K796">
        <v>82840020</v>
      </c>
      <c r="L796" t="s">
        <v>40</v>
      </c>
      <c r="M796" t="s">
        <v>266</v>
      </c>
      <c r="N796">
        <v>41995546245</v>
      </c>
      <c r="O796">
        <v>0</v>
      </c>
      <c r="P796">
        <v>0</v>
      </c>
      <c r="Q796" t="s">
        <v>334</v>
      </c>
      <c r="R796" t="s">
        <v>42</v>
      </c>
      <c r="S796">
        <v>15016049144</v>
      </c>
      <c r="T796" t="str">
        <f ca="1">VLOOKUP(RANDBETWEEN(1,17),'Auxiliar Vendas'!D:G,2,0)</f>
        <v>Produto 09</v>
      </c>
      <c r="U796" s="3">
        <v>2000</v>
      </c>
      <c r="V796">
        <v>7.18</v>
      </c>
      <c r="W796">
        <v>0</v>
      </c>
      <c r="X796">
        <v>5.8620000000000001</v>
      </c>
      <c r="Y796" s="3">
        <v>14360</v>
      </c>
      <c r="Z796">
        <v>83</v>
      </c>
      <c r="AA796" t="s">
        <v>267</v>
      </c>
      <c r="AB796">
        <v>0</v>
      </c>
      <c r="AC796">
        <v>0</v>
      </c>
      <c r="AD796" t="s">
        <v>58</v>
      </c>
      <c r="AH796" s="2">
        <v>44565.365972222222</v>
      </c>
      <c r="AI796">
        <v>0</v>
      </c>
      <c r="AJ796">
        <v>0</v>
      </c>
      <c r="AK796" s="30" t="str">
        <f ca="1">VLOOKUP(T796,'Auxiliar Vendas'!E:F,2,FALSE)</f>
        <v>Produto 09</v>
      </c>
      <c r="AL796" s="31">
        <f ca="1">U796*VLOOKUP(T796,'Auxiliar Vendas'!E:G,3,FALSE)</f>
        <v>2200</v>
      </c>
    </row>
    <row r="797" spans="1:38">
      <c r="A797">
        <v>15647225376</v>
      </c>
      <c r="B797">
        <v>238</v>
      </c>
      <c r="D797" s="1">
        <v>44551</v>
      </c>
      <c r="E797">
        <v>15339582855</v>
      </c>
      <c r="F797" t="str">
        <f ca="1">VLOOKUP(RANDBETWEEN(1,20),'DBO Compras'!AA:AC,3,0)</f>
        <v>Comprador 14</v>
      </c>
      <c r="G797" t="s">
        <v>263</v>
      </c>
      <c r="H797" t="s">
        <v>264</v>
      </c>
      <c r="I797" t="s">
        <v>265</v>
      </c>
      <c r="J797" t="s">
        <v>39</v>
      </c>
      <c r="K797">
        <v>82840020</v>
      </c>
      <c r="L797" t="s">
        <v>40</v>
      </c>
      <c r="M797" t="s">
        <v>266</v>
      </c>
      <c r="N797">
        <v>41995546245</v>
      </c>
      <c r="O797">
        <v>0</v>
      </c>
      <c r="P797">
        <v>0</v>
      </c>
      <c r="Q797" t="s">
        <v>334</v>
      </c>
      <c r="R797" t="s">
        <v>42</v>
      </c>
      <c r="S797">
        <v>15016093155</v>
      </c>
      <c r="T797" t="str">
        <f ca="1">VLOOKUP(RANDBETWEEN(1,17),'Auxiliar Vendas'!D:G,2,0)</f>
        <v>Produto 16</v>
      </c>
      <c r="U797" s="3">
        <v>1000</v>
      </c>
      <c r="V797">
        <v>16.399999999999999</v>
      </c>
      <c r="W797">
        <v>0</v>
      </c>
      <c r="X797">
        <v>14.4596</v>
      </c>
      <c r="Y797" s="3">
        <v>16400</v>
      </c>
      <c r="Z797">
        <v>83</v>
      </c>
      <c r="AA797" t="s">
        <v>65</v>
      </c>
      <c r="AB797">
        <v>0</v>
      </c>
      <c r="AC797">
        <v>0</v>
      </c>
      <c r="AD797" t="s">
        <v>58</v>
      </c>
      <c r="AH797" s="2">
        <v>44565.365972222222</v>
      </c>
      <c r="AI797">
        <v>0</v>
      </c>
      <c r="AJ797">
        <v>0</v>
      </c>
      <c r="AK797" s="30" t="str">
        <f ca="1">VLOOKUP(T797,'Auxiliar Vendas'!E:F,2,FALSE)</f>
        <v>Produto 16</v>
      </c>
      <c r="AL797" s="31">
        <f ca="1">U797*VLOOKUP(T797,'Auxiliar Vendas'!E:G,3,FALSE)</f>
        <v>1270</v>
      </c>
    </row>
    <row r="798" spans="1:38">
      <c r="A798">
        <v>15647225376</v>
      </c>
      <c r="B798">
        <v>238</v>
      </c>
      <c r="D798" s="1">
        <v>44551</v>
      </c>
      <c r="E798">
        <v>15339582855</v>
      </c>
      <c r="F798" t="str">
        <f ca="1">VLOOKUP(RANDBETWEEN(1,20),'DBO Compras'!AA:AC,3,0)</f>
        <v>Comprador 09</v>
      </c>
      <c r="G798" t="s">
        <v>263</v>
      </c>
      <c r="H798" t="s">
        <v>264</v>
      </c>
      <c r="I798" t="s">
        <v>265</v>
      </c>
      <c r="J798" t="s">
        <v>39</v>
      </c>
      <c r="K798">
        <v>82840020</v>
      </c>
      <c r="L798" t="s">
        <v>40</v>
      </c>
      <c r="M798" t="s">
        <v>266</v>
      </c>
      <c r="N798">
        <v>41995546245</v>
      </c>
      <c r="O798">
        <v>0</v>
      </c>
      <c r="P798">
        <v>0</v>
      </c>
      <c r="Q798" t="s">
        <v>334</v>
      </c>
      <c r="R798" t="s">
        <v>42</v>
      </c>
      <c r="S798">
        <v>15015886084</v>
      </c>
      <c r="T798" t="str">
        <f ca="1">VLOOKUP(RANDBETWEEN(1,17),'Auxiliar Vendas'!D:G,2,0)</f>
        <v>Produto 06</v>
      </c>
      <c r="U798" s="3">
        <v>1000</v>
      </c>
      <c r="V798">
        <v>19.25</v>
      </c>
      <c r="W798">
        <v>0</v>
      </c>
      <c r="X798">
        <v>15.996</v>
      </c>
      <c r="Y798" s="3">
        <v>19250</v>
      </c>
      <c r="Z798">
        <v>83</v>
      </c>
      <c r="AA798" t="s">
        <v>66</v>
      </c>
      <c r="AB798">
        <v>0</v>
      </c>
      <c r="AC798">
        <v>0</v>
      </c>
      <c r="AD798" t="s">
        <v>58</v>
      </c>
      <c r="AH798" s="2">
        <v>44565.365972222222</v>
      </c>
      <c r="AI798">
        <v>0</v>
      </c>
      <c r="AJ798">
        <v>0</v>
      </c>
      <c r="AK798" s="30" t="str">
        <f ca="1">VLOOKUP(T798,'Auxiliar Vendas'!E:F,2,FALSE)</f>
        <v>Produto 06</v>
      </c>
      <c r="AL798" s="31">
        <f ca="1">U798*VLOOKUP(T798,'Auxiliar Vendas'!E:G,3,FALSE)</f>
        <v>500</v>
      </c>
    </row>
    <row r="799" spans="1:38">
      <c r="A799">
        <v>15647225376</v>
      </c>
      <c r="B799">
        <v>238</v>
      </c>
      <c r="D799" s="1">
        <v>44551</v>
      </c>
      <c r="E799">
        <v>15339582855</v>
      </c>
      <c r="F799" t="str">
        <f ca="1">VLOOKUP(RANDBETWEEN(1,20),'DBO Compras'!AA:AC,3,0)</f>
        <v>Comprador 14</v>
      </c>
      <c r="G799" t="s">
        <v>263</v>
      </c>
      <c r="H799" t="s">
        <v>264</v>
      </c>
      <c r="I799" t="s">
        <v>265</v>
      </c>
      <c r="J799" t="s">
        <v>39</v>
      </c>
      <c r="K799">
        <v>82840020</v>
      </c>
      <c r="L799" t="s">
        <v>40</v>
      </c>
      <c r="M799" t="s">
        <v>266</v>
      </c>
      <c r="N799">
        <v>41995546245</v>
      </c>
      <c r="O799">
        <v>0</v>
      </c>
      <c r="P799">
        <v>0</v>
      </c>
      <c r="Q799" t="s">
        <v>334</v>
      </c>
      <c r="R799" t="s">
        <v>42</v>
      </c>
      <c r="S799">
        <v>15016080333</v>
      </c>
      <c r="T799" t="str">
        <f ca="1">VLOOKUP(RANDBETWEEN(1,17),'Auxiliar Vendas'!D:G,2,0)</f>
        <v>Produto 02</v>
      </c>
      <c r="U799">
        <v>600</v>
      </c>
      <c r="V799">
        <v>13.4</v>
      </c>
      <c r="W799">
        <v>0</v>
      </c>
      <c r="X799">
        <v>10.747</v>
      </c>
      <c r="Y799" s="3">
        <v>8040</v>
      </c>
      <c r="Z799">
        <v>83</v>
      </c>
      <c r="AA799" t="s">
        <v>80</v>
      </c>
      <c r="AB799">
        <v>0</v>
      </c>
      <c r="AC799">
        <v>0</v>
      </c>
      <c r="AD799" t="s">
        <v>58</v>
      </c>
      <c r="AH799" s="2">
        <v>44565.365972222222</v>
      </c>
      <c r="AI799">
        <v>0</v>
      </c>
      <c r="AJ799">
        <v>0</v>
      </c>
      <c r="AK799" s="30" t="str">
        <f ca="1">VLOOKUP(T799,'Auxiliar Vendas'!E:F,2,FALSE)</f>
        <v>Produto 02</v>
      </c>
      <c r="AL799" s="31">
        <f ca="1">U799*VLOOKUP(T799,'Auxiliar Vendas'!E:G,3,FALSE)</f>
        <v>162</v>
      </c>
    </row>
    <row r="800" spans="1:38">
      <c r="A800">
        <v>15647225376</v>
      </c>
      <c r="B800">
        <v>238</v>
      </c>
      <c r="D800" s="1">
        <v>44551</v>
      </c>
      <c r="E800">
        <v>15339582855</v>
      </c>
      <c r="F800" t="str">
        <f ca="1">VLOOKUP(RANDBETWEEN(1,20),'DBO Compras'!AA:AC,3,0)</f>
        <v>Comprador 02</v>
      </c>
      <c r="G800" t="s">
        <v>263</v>
      </c>
      <c r="H800" t="s">
        <v>264</v>
      </c>
      <c r="I800" t="s">
        <v>265</v>
      </c>
      <c r="J800" t="s">
        <v>39</v>
      </c>
      <c r="K800">
        <v>82840020</v>
      </c>
      <c r="L800" t="s">
        <v>40</v>
      </c>
      <c r="M800" t="s">
        <v>266</v>
      </c>
      <c r="N800">
        <v>41995546245</v>
      </c>
      <c r="O800">
        <v>0</v>
      </c>
      <c r="P800">
        <v>0</v>
      </c>
      <c r="Q800" t="s">
        <v>334</v>
      </c>
      <c r="R800" t="s">
        <v>42</v>
      </c>
      <c r="S800">
        <v>15139727614</v>
      </c>
      <c r="T800" t="str">
        <f ca="1">VLOOKUP(RANDBETWEEN(1,17),'Auxiliar Vendas'!D:G,2,0)</f>
        <v>Produto 08</v>
      </c>
      <c r="U800">
        <v>500</v>
      </c>
      <c r="V800">
        <v>22.75</v>
      </c>
      <c r="W800">
        <v>0</v>
      </c>
      <c r="X800">
        <v>0</v>
      </c>
      <c r="Y800" s="3">
        <v>11375</v>
      </c>
      <c r="Z800">
        <v>83</v>
      </c>
      <c r="AA800" t="s">
        <v>146</v>
      </c>
      <c r="AB800">
        <v>0</v>
      </c>
      <c r="AC800">
        <v>0</v>
      </c>
      <c r="AD800" t="s">
        <v>58</v>
      </c>
      <c r="AH800" s="2">
        <v>44565.365972222222</v>
      </c>
      <c r="AI800">
        <v>0</v>
      </c>
      <c r="AJ800">
        <v>0</v>
      </c>
      <c r="AK800" s="30" t="str">
        <f ca="1">VLOOKUP(T800,'Auxiliar Vendas'!E:F,2,FALSE)</f>
        <v>Produto 08</v>
      </c>
      <c r="AL800" s="31">
        <f ca="1">U800*VLOOKUP(T800,'Auxiliar Vendas'!E:G,3,FALSE)</f>
        <v>550</v>
      </c>
    </row>
    <row r="801" spans="1:38">
      <c r="A801">
        <v>15647225376</v>
      </c>
      <c r="B801">
        <v>238</v>
      </c>
      <c r="D801" s="1">
        <v>44551</v>
      </c>
      <c r="E801">
        <v>15339582855</v>
      </c>
      <c r="F801" t="str">
        <f ca="1">VLOOKUP(RANDBETWEEN(1,20),'DBO Compras'!AA:AC,3,0)</f>
        <v>Comprador 17</v>
      </c>
      <c r="G801" t="s">
        <v>263</v>
      </c>
      <c r="H801" t="s">
        <v>264</v>
      </c>
      <c r="I801" t="s">
        <v>265</v>
      </c>
      <c r="J801" t="s">
        <v>39</v>
      </c>
      <c r="K801">
        <v>82840020</v>
      </c>
      <c r="L801" t="s">
        <v>40</v>
      </c>
      <c r="M801" t="s">
        <v>266</v>
      </c>
      <c r="N801">
        <v>41995546245</v>
      </c>
      <c r="O801">
        <v>0</v>
      </c>
      <c r="P801">
        <v>0</v>
      </c>
      <c r="Q801" t="s">
        <v>334</v>
      </c>
      <c r="R801" t="s">
        <v>42</v>
      </c>
      <c r="S801">
        <v>15015511068</v>
      </c>
      <c r="T801" t="str">
        <f ca="1">VLOOKUP(RANDBETWEEN(1,17),'Auxiliar Vendas'!D:G,2,0)</f>
        <v>Produto 04</v>
      </c>
      <c r="U801">
        <v>420</v>
      </c>
      <c r="V801">
        <v>14.6</v>
      </c>
      <c r="W801">
        <v>12.05</v>
      </c>
      <c r="X801">
        <v>10.23</v>
      </c>
      <c r="Y801" s="3">
        <v>6132</v>
      </c>
      <c r="Z801">
        <v>83</v>
      </c>
      <c r="AA801" t="s">
        <v>53</v>
      </c>
      <c r="AB801">
        <v>0</v>
      </c>
      <c r="AC801">
        <v>0</v>
      </c>
      <c r="AD801" t="s">
        <v>58</v>
      </c>
      <c r="AH801" s="2">
        <v>44565.365972222222</v>
      </c>
      <c r="AI801">
        <v>0</v>
      </c>
      <c r="AJ801">
        <v>0</v>
      </c>
      <c r="AK801" s="30" t="str">
        <f ca="1">VLOOKUP(T801,'Auxiliar Vendas'!E:F,2,FALSE)</f>
        <v>Produto 04</v>
      </c>
      <c r="AL801" s="31">
        <f ca="1">U801*VLOOKUP(T801,'Auxiliar Vendas'!E:G,3,FALSE)</f>
        <v>252</v>
      </c>
    </row>
    <row r="802" spans="1:38">
      <c r="A802">
        <v>15647357774</v>
      </c>
      <c r="B802">
        <v>239</v>
      </c>
      <c r="D802" s="1">
        <v>44551</v>
      </c>
      <c r="E802">
        <v>15279322250</v>
      </c>
      <c r="F802" t="str">
        <f ca="1">VLOOKUP(RANDBETWEEN(1,20),'DBO Compras'!AA:AC,3,0)</f>
        <v>Comprador 14</v>
      </c>
      <c r="G802" t="s">
        <v>83</v>
      </c>
      <c r="H802" t="s">
        <v>84</v>
      </c>
      <c r="I802" t="s">
        <v>85</v>
      </c>
      <c r="J802" t="s">
        <v>39</v>
      </c>
      <c r="K802">
        <v>80220100</v>
      </c>
      <c r="L802" t="s">
        <v>40</v>
      </c>
      <c r="M802" t="s">
        <v>86</v>
      </c>
      <c r="N802">
        <v>41993330017</v>
      </c>
      <c r="O802">
        <v>0</v>
      </c>
      <c r="P802">
        <v>0</v>
      </c>
      <c r="R802" t="s">
        <v>42</v>
      </c>
      <c r="S802">
        <v>15016043939</v>
      </c>
      <c r="T802" t="str">
        <f ca="1">VLOOKUP(RANDBETWEEN(1,17),'Auxiliar Vendas'!D:G,2,0)</f>
        <v>Produto 02</v>
      </c>
      <c r="U802">
        <v>300</v>
      </c>
      <c r="V802">
        <v>12.45</v>
      </c>
      <c r="W802">
        <v>0</v>
      </c>
      <c r="X802">
        <v>10.747</v>
      </c>
      <c r="Y802" s="3">
        <v>3735</v>
      </c>
      <c r="Z802">
        <v>68</v>
      </c>
      <c r="AA802" t="s">
        <v>50</v>
      </c>
      <c r="AB802">
        <v>0</v>
      </c>
      <c r="AC802">
        <v>0</v>
      </c>
      <c r="AD802" t="s">
        <v>58</v>
      </c>
      <c r="AH802" s="2">
        <v>44552.599305555559</v>
      </c>
      <c r="AI802">
        <v>0</v>
      </c>
      <c r="AJ802">
        <v>0</v>
      </c>
      <c r="AK802" s="30" t="str">
        <f ca="1">VLOOKUP(T802,'Auxiliar Vendas'!E:F,2,FALSE)</f>
        <v>Produto 02</v>
      </c>
      <c r="AL802" s="31">
        <f ca="1">U802*VLOOKUP(T802,'Auxiliar Vendas'!E:G,3,FALSE)</f>
        <v>81</v>
      </c>
    </row>
    <row r="803" spans="1:38">
      <c r="A803">
        <v>15647357774</v>
      </c>
      <c r="B803">
        <v>239</v>
      </c>
      <c r="D803" s="1">
        <v>44551</v>
      </c>
      <c r="E803">
        <v>15279322250</v>
      </c>
      <c r="F803" t="str">
        <f ca="1">VLOOKUP(RANDBETWEEN(1,20),'DBO Compras'!AA:AC,3,0)</f>
        <v>Comprador 13</v>
      </c>
      <c r="G803" t="s">
        <v>83</v>
      </c>
      <c r="H803" t="s">
        <v>84</v>
      </c>
      <c r="I803" t="s">
        <v>85</v>
      </c>
      <c r="J803" t="s">
        <v>39</v>
      </c>
      <c r="K803">
        <v>80220100</v>
      </c>
      <c r="L803" t="s">
        <v>40</v>
      </c>
      <c r="M803" t="s">
        <v>86</v>
      </c>
      <c r="N803">
        <v>41993330017</v>
      </c>
      <c r="O803">
        <v>0</v>
      </c>
      <c r="P803">
        <v>0</v>
      </c>
      <c r="R803" t="s">
        <v>42</v>
      </c>
      <c r="S803">
        <v>15016099089</v>
      </c>
      <c r="T803" t="str">
        <f ca="1">VLOOKUP(RANDBETWEEN(1,17),'Auxiliar Vendas'!D:G,2,0)</f>
        <v>Produto 17</v>
      </c>
      <c r="U803">
        <v>200</v>
      </c>
      <c r="V803">
        <v>19.3</v>
      </c>
      <c r="W803">
        <v>0</v>
      </c>
      <c r="X803">
        <v>16.804400000000001</v>
      </c>
      <c r="Y803" s="3">
        <v>3860</v>
      </c>
      <c r="Z803">
        <v>68</v>
      </c>
      <c r="AA803" t="s">
        <v>79</v>
      </c>
      <c r="AB803">
        <v>0</v>
      </c>
      <c r="AC803">
        <v>0</v>
      </c>
      <c r="AD803" t="s">
        <v>58</v>
      </c>
      <c r="AH803" s="2">
        <v>44552.599305555559</v>
      </c>
      <c r="AI803">
        <v>0</v>
      </c>
      <c r="AJ803">
        <v>0</v>
      </c>
      <c r="AK803" s="30" t="str">
        <f ca="1">VLOOKUP(T803,'Auxiliar Vendas'!E:F,2,FALSE)</f>
        <v>Produto 17</v>
      </c>
      <c r="AL803" s="31">
        <f ca="1">U803*VLOOKUP(T803,'Auxiliar Vendas'!E:G,3,FALSE)</f>
        <v>284</v>
      </c>
    </row>
    <row r="804" spans="1:38">
      <c r="A804">
        <v>15647357774</v>
      </c>
      <c r="B804">
        <v>239</v>
      </c>
      <c r="D804" s="1">
        <v>44551</v>
      </c>
      <c r="E804">
        <v>15279322250</v>
      </c>
      <c r="F804" t="str">
        <f ca="1">VLOOKUP(RANDBETWEEN(1,20),'DBO Compras'!AA:AC,3,0)</f>
        <v>Comprador 09</v>
      </c>
      <c r="G804" t="s">
        <v>83</v>
      </c>
      <c r="H804" t="s">
        <v>84</v>
      </c>
      <c r="I804" t="s">
        <v>85</v>
      </c>
      <c r="J804" t="s">
        <v>39</v>
      </c>
      <c r="K804">
        <v>80220100</v>
      </c>
      <c r="L804" t="s">
        <v>40</v>
      </c>
      <c r="M804" t="s">
        <v>86</v>
      </c>
      <c r="N804">
        <v>41993330017</v>
      </c>
      <c r="O804">
        <v>0</v>
      </c>
      <c r="P804">
        <v>0</v>
      </c>
      <c r="R804" t="s">
        <v>42</v>
      </c>
      <c r="S804">
        <v>15016093155</v>
      </c>
      <c r="T804" t="str">
        <f ca="1">VLOOKUP(RANDBETWEEN(1,17),'Auxiliar Vendas'!D:G,2,0)</f>
        <v>Produto 08</v>
      </c>
      <c r="U804">
        <v>200</v>
      </c>
      <c r="V804">
        <v>16.7</v>
      </c>
      <c r="W804">
        <v>0</v>
      </c>
      <c r="X804">
        <v>14.4596</v>
      </c>
      <c r="Y804" s="3">
        <v>3340</v>
      </c>
      <c r="Z804">
        <v>68</v>
      </c>
      <c r="AA804" t="s">
        <v>65</v>
      </c>
      <c r="AB804">
        <v>0</v>
      </c>
      <c r="AC804">
        <v>0</v>
      </c>
      <c r="AD804" t="s">
        <v>58</v>
      </c>
      <c r="AH804" s="2">
        <v>44552.599305555559</v>
      </c>
      <c r="AI804">
        <v>0</v>
      </c>
      <c r="AJ804">
        <v>0</v>
      </c>
      <c r="AK804" s="30" t="str">
        <f ca="1">VLOOKUP(T804,'Auxiliar Vendas'!E:F,2,FALSE)</f>
        <v>Produto 08</v>
      </c>
      <c r="AL804" s="31">
        <f ca="1">U804*VLOOKUP(T804,'Auxiliar Vendas'!E:G,3,FALSE)</f>
        <v>220.00000000000003</v>
      </c>
    </row>
    <row r="805" spans="1:38">
      <c r="A805">
        <v>15647357774</v>
      </c>
      <c r="B805">
        <v>239</v>
      </c>
      <c r="D805" s="1">
        <v>44551</v>
      </c>
      <c r="E805">
        <v>15279322250</v>
      </c>
      <c r="F805" t="str">
        <f ca="1">VLOOKUP(RANDBETWEEN(1,20),'DBO Compras'!AA:AC,3,0)</f>
        <v>Comprador 08</v>
      </c>
      <c r="G805" t="s">
        <v>83</v>
      </c>
      <c r="H805" t="s">
        <v>84</v>
      </c>
      <c r="I805" t="s">
        <v>85</v>
      </c>
      <c r="J805" t="s">
        <v>39</v>
      </c>
      <c r="K805">
        <v>80220100</v>
      </c>
      <c r="L805" t="s">
        <v>40</v>
      </c>
      <c r="M805" t="s">
        <v>86</v>
      </c>
      <c r="N805">
        <v>41993330017</v>
      </c>
      <c r="O805">
        <v>0</v>
      </c>
      <c r="P805">
        <v>0</v>
      </c>
      <c r="R805" t="s">
        <v>42</v>
      </c>
      <c r="S805">
        <v>15016080333</v>
      </c>
      <c r="T805" t="str">
        <f ca="1">VLOOKUP(RANDBETWEEN(1,17),'Auxiliar Vendas'!D:G,2,0)</f>
        <v>Produto 13</v>
      </c>
      <c r="U805">
        <v>100</v>
      </c>
      <c r="V805">
        <v>13.5</v>
      </c>
      <c r="W805">
        <v>11.76</v>
      </c>
      <c r="X805">
        <v>10.747</v>
      </c>
      <c r="Y805" s="3">
        <v>1350</v>
      </c>
      <c r="Z805">
        <v>68</v>
      </c>
      <c r="AA805" t="s">
        <v>80</v>
      </c>
      <c r="AB805">
        <v>0</v>
      </c>
      <c r="AC805">
        <v>0</v>
      </c>
      <c r="AD805" t="s">
        <v>58</v>
      </c>
      <c r="AH805" s="2">
        <v>44552.599305555559</v>
      </c>
      <c r="AI805">
        <v>0</v>
      </c>
      <c r="AJ805">
        <v>0</v>
      </c>
      <c r="AK805" s="30" t="str">
        <f ca="1">VLOOKUP(T805,'Auxiliar Vendas'!E:F,2,FALSE)</f>
        <v>Produto 13</v>
      </c>
      <c r="AL805" s="31">
        <f ca="1">U805*VLOOKUP(T805,'Auxiliar Vendas'!E:G,3,FALSE)</f>
        <v>140</v>
      </c>
    </row>
    <row r="806" spans="1:38">
      <c r="A806">
        <v>15653652971</v>
      </c>
      <c r="B806">
        <v>240</v>
      </c>
      <c r="D806" s="1">
        <v>44552</v>
      </c>
      <c r="E806">
        <v>15605047645</v>
      </c>
      <c r="F806" t="str">
        <f ca="1">VLOOKUP(RANDBETWEEN(1,20),'DBO Compras'!AA:AC,3,0)</f>
        <v>Comprador 17</v>
      </c>
      <c r="G806" t="s">
        <v>335</v>
      </c>
      <c r="H806" t="s">
        <v>336</v>
      </c>
      <c r="I806" t="s">
        <v>200</v>
      </c>
      <c r="J806" t="s">
        <v>337</v>
      </c>
      <c r="K806">
        <v>97100000</v>
      </c>
      <c r="L806" t="s">
        <v>204</v>
      </c>
      <c r="M806" t="s">
        <v>338</v>
      </c>
      <c r="N806">
        <v>5532216217</v>
      </c>
      <c r="O806">
        <v>0</v>
      </c>
      <c r="P806" s="3">
        <v>1500</v>
      </c>
      <c r="R806" t="s">
        <v>42</v>
      </c>
      <c r="S806">
        <v>15016099089</v>
      </c>
      <c r="T806" t="str">
        <f ca="1">VLOOKUP(RANDBETWEEN(1,17),'Auxiliar Vendas'!D:G,2,0)</f>
        <v>Produto 08</v>
      </c>
      <c r="U806">
        <v>300</v>
      </c>
      <c r="V806">
        <v>20.99</v>
      </c>
      <c r="W806">
        <v>0</v>
      </c>
      <c r="X806">
        <v>16.804400000000001</v>
      </c>
      <c r="Y806" s="3">
        <v>6297</v>
      </c>
      <c r="Z806">
        <v>138</v>
      </c>
      <c r="AA806" t="s">
        <v>79</v>
      </c>
      <c r="AB806">
        <v>724.74</v>
      </c>
      <c r="AC806">
        <v>0</v>
      </c>
      <c r="AD806" t="s">
        <v>339</v>
      </c>
      <c r="AH806" s="2">
        <v>44552.659722222219</v>
      </c>
      <c r="AI806">
        <v>0</v>
      </c>
      <c r="AJ806">
        <v>0</v>
      </c>
      <c r="AK806" s="30" t="str">
        <f ca="1">VLOOKUP(T806,'Auxiliar Vendas'!E:F,2,FALSE)</f>
        <v>Produto 08</v>
      </c>
      <c r="AL806" s="31">
        <f ca="1">U806*VLOOKUP(T806,'Auxiliar Vendas'!E:G,3,FALSE)</f>
        <v>330</v>
      </c>
    </row>
    <row r="807" spans="1:38">
      <c r="A807">
        <v>15653652971</v>
      </c>
      <c r="B807">
        <v>240</v>
      </c>
      <c r="D807" s="1">
        <v>44552</v>
      </c>
      <c r="E807">
        <v>15605047645</v>
      </c>
      <c r="F807" t="str">
        <f ca="1">VLOOKUP(RANDBETWEEN(1,20),'DBO Compras'!AA:AC,3,0)</f>
        <v>Comprador 16</v>
      </c>
      <c r="G807" t="s">
        <v>335</v>
      </c>
      <c r="H807" t="s">
        <v>336</v>
      </c>
      <c r="I807" t="s">
        <v>200</v>
      </c>
      <c r="J807" t="s">
        <v>337</v>
      </c>
      <c r="K807">
        <v>97100000</v>
      </c>
      <c r="L807" t="s">
        <v>204</v>
      </c>
      <c r="M807" t="s">
        <v>338</v>
      </c>
      <c r="N807">
        <v>5532216217</v>
      </c>
      <c r="O807">
        <v>0</v>
      </c>
      <c r="P807" s="3">
        <v>1500</v>
      </c>
      <c r="R807" t="s">
        <v>42</v>
      </c>
      <c r="S807">
        <v>15016049144</v>
      </c>
      <c r="T807" t="str">
        <f ca="1">VLOOKUP(RANDBETWEEN(1,17),'Auxiliar Vendas'!D:G,2,0)</f>
        <v>Produto 05</v>
      </c>
      <c r="U807">
        <v>400</v>
      </c>
      <c r="V807">
        <v>7.8</v>
      </c>
      <c r="W807">
        <v>0</v>
      </c>
      <c r="X807">
        <v>5.8620000000000001</v>
      </c>
      <c r="Y807" s="3">
        <v>3120</v>
      </c>
      <c r="Z807">
        <v>138</v>
      </c>
      <c r="AA807" t="s">
        <v>267</v>
      </c>
      <c r="AB807">
        <v>359.09</v>
      </c>
      <c r="AC807">
        <v>0</v>
      </c>
      <c r="AD807" t="s">
        <v>339</v>
      </c>
      <c r="AH807" s="2">
        <v>44552.659722222219</v>
      </c>
      <c r="AI807">
        <v>0</v>
      </c>
      <c r="AJ807">
        <v>0</v>
      </c>
      <c r="AK807" s="30" t="str">
        <f ca="1">VLOOKUP(T807,'Auxiliar Vendas'!E:F,2,FALSE)</f>
        <v>Produto 05</v>
      </c>
      <c r="AL807" s="31">
        <f ca="1">U807*VLOOKUP(T807,'Auxiliar Vendas'!E:G,3,FALSE)</f>
        <v>240</v>
      </c>
    </row>
    <row r="808" spans="1:38">
      <c r="A808">
        <v>15653652971</v>
      </c>
      <c r="B808">
        <v>240</v>
      </c>
      <c r="D808" s="1">
        <v>44552</v>
      </c>
      <c r="E808">
        <v>15605047645</v>
      </c>
      <c r="F808" t="str">
        <f ca="1">VLOOKUP(RANDBETWEEN(1,20),'DBO Compras'!AA:AC,3,0)</f>
        <v>Comprador 09</v>
      </c>
      <c r="G808" t="s">
        <v>335</v>
      </c>
      <c r="H808" t="s">
        <v>336</v>
      </c>
      <c r="I808" t="s">
        <v>200</v>
      </c>
      <c r="J808" t="s">
        <v>337</v>
      </c>
      <c r="K808">
        <v>97100000</v>
      </c>
      <c r="L808" t="s">
        <v>204</v>
      </c>
      <c r="M808" t="s">
        <v>338</v>
      </c>
      <c r="N808">
        <v>5532216217</v>
      </c>
      <c r="O808">
        <v>0</v>
      </c>
      <c r="P808" s="3">
        <v>1500</v>
      </c>
      <c r="R808" t="s">
        <v>42</v>
      </c>
      <c r="S808">
        <v>15016087271</v>
      </c>
      <c r="T808" t="str">
        <f ca="1">VLOOKUP(RANDBETWEEN(1,17),'Auxiliar Vendas'!D:G,2,0)</f>
        <v>Produto 07</v>
      </c>
      <c r="U808">
        <v>200</v>
      </c>
      <c r="V808">
        <v>18.079999999999998</v>
      </c>
      <c r="W808">
        <v>0</v>
      </c>
      <c r="X808">
        <v>14.4596</v>
      </c>
      <c r="Y808" s="3">
        <v>3616</v>
      </c>
      <c r="Z808">
        <v>138</v>
      </c>
      <c r="AA808" t="s">
        <v>64</v>
      </c>
      <c r="AB808">
        <v>416.17</v>
      </c>
      <c r="AC808">
        <v>0</v>
      </c>
      <c r="AD808" t="s">
        <v>339</v>
      </c>
      <c r="AH808" s="2">
        <v>44552.659722222219</v>
      </c>
      <c r="AI808">
        <v>0</v>
      </c>
      <c r="AJ808">
        <v>0</v>
      </c>
      <c r="AK808" s="30" t="str">
        <f ca="1">VLOOKUP(T808,'Auxiliar Vendas'!E:F,2,FALSE)</f>
        <v>Produto 07</v>
      </c>
      <c r="AL808" s="31">
        <f ca="1">U808*VLOOKUP(T808,'Auxiliar Vendas'!E:G,3,FALSE)</f>
        <v>220.00000000000003</v>
      </c>
    </row>
    <row r="809" spans="1:38">
      <c r="A809">
        <v>15659143570</v>
      </c>
      <c r="B809">
        <v>242</v>
      </c>
      <c r="D809" s="1">
        <v>44552</v>
      </c>
      <c r="E809">
        <v>15179581888</v>
      </c>
      <c r="F809" t="str">
        <f ca="1">VLOOKUP(RANDBETWEEN(1,20),'DBO Compras'!AA:AC,3,0)</f>
        <v>Comprador 14</v>
      </c>
      <c r="G809" t="s">
        <v>54</v>
      </c>
      <c r="H809" t="s">
        <v>55</v>
      </c>
      <c r="I809" t="s">
        <v>56</v>
      </c>
      <c r="J809" t="s">
        <v>39</v>
      </c>
      <c r="K809">
        <v>81350610</v>
      </c>
      <c r="L809" t="s">
        <v>40</v>
      </c>
      <c r="M809" t="s">
        <v>57</v>
      </c>
      <c r="N809">
        <v>41996849234</v>
      </c>
      <c r="O809">
        <v>0</v>
      </c>
      <c r="P809">
        <v>0</v>
      </c>
      <c r="R809" t="s">
        <v>42</v>
      </c>
      <c r="S809">
        <v>15015511068</v>
      </c>
      <c r="T809" t="str">
        <f ca="1">VLOOKUP(RANDBETWEEN(1,17),'Auxiliar Vendas'!D:G,2,0)</f>
        <v>Produto 01</v>
      </c>
      <c r="U809">
        <v>100</v>
      </c>
      <c r="V809">
        <v>14.9</v>
      </c>
      <c r="W809">
        <v>0</v>
      </c>
      <c r="X809">
        <v>10.23</v>
      </c>
      <c r="Y809" s="3">
        <v>1490</v>
      </c>
      <c r="Z809">
        <v>41</v>
      </c>
      <c r="AA809" t="s">
        <v>53</v>
      </c>
      <c r="AB809">
        <v>0</v>
      </c>
      <c r="AC809">
        <v>0</v>
      </c>
      <c r="AD809" t="s">
        <v>58</v>
      </c>
      <c r="AH809" s="2">
        <v>44558.399305555555</v>
      </c>
      <c r="AI809">
        <v>0</v>
      </c>
      <c r="AJ809">
        <v>0</v>
      </c>
      <c r="AK809" s="30" t="str">
        <f ca="1">VLOOKUP(T809,'Auxiliar Vendas'!E:F,2,FALSE)</f>
        <v>Produto 01</v>
      </c>
      <c r="AL809" s="31">
        <f ca="1">U809*VLOOKUP(T809,'Auxiliar Vendas'!E:G,3,FALSE)</f>
        <v>40</v>
      </c>
    </row>
    <row r="810" spans="1:38">
      <c r="A810">
        <v>15659143570</v>
      </c>
      <c r="B810">
        <v>242</v>
      </c>
      <c r="D810" s="1">
        <v>44552</v>
      </c>
      <c r="E810">
        <v>15179581888</v>
      </c>
      <c r="F810" t="str">
        <f ca="1">VLOOKUP(RANDBETWEEN(1,20),'DBO Compras'!AA:AC,3,0)</f>
        <v>Comprador 07</v>
      </c>
      <c r="G810" t="s">
        <v>54</v>
      </c>
      <c r="H810" t="s">
        <v>55</v>
      </c>
      <c r="I810" t="s">
        <v>56</v>
      </c>
      <c r="J810" t="s">
        <v>39</v>
      </c>
      <c r="K810">
        <v>81350610</v>
      </c>
      <c r="L810" t="s">
        <v>40</v>
      </c>
      <c r="M810" t="s">
        <v>57</v>
      </c>
      <c r="N810">
        <v>41996849234</v>
      </c>
      <c r="O810">
        <v>0</v>
      </c>
      <c r="P810">
        <v>0</v>
      </c>
      <c r="R810" t="s">
        <v>42</v>
      </c>
      <c r="S810">
        <v>15016043939</v>
      </c>
      <c r="T810" t="str">
        <f ca="1">VLOOKUP(RANDBETWEEN(1,17),'Auxiliar Vendas'!D:G,2,0)</f>
        <v>Produto 05</v>
      </c>
      <c r="U810">
        <v>200</v>
      </c>
      <c r="V810">
        <v>12.38</v>
      </c>
      <c r="W810">
        <v>0</v>
      </c>
      <c r="X810">
        <v>10.747</v>
      </c>
      <c r="Y810" s="3">
        <v>2476</v>
      </c>
      <c r="Z810">
        <v>41</v>
      </c>
      <c r="AA810" t="s">
        <v>50</v>
      </c>
      <c r="AB810">
        <v>0</v>
      </c>
      <c r="AC810">
        <v>0</v>
      </c>
      <c r="AD810" t="s">
        <v>58</v>
      </c>
      <c r="AH810" s="2">
        <v>44558.399305555555</v>
      </c>
      <c r="AI810">
        <v>0</v>
      </c>
      <c r="AJ810">
        <v>0</v>
      </c>
      <c r="AK810" s="30" t="str">
        <f ca="1">VLOOKUP(T810,'Auxiliar Vendas'!E:F,2,FALSE)</f>
        <v>Produto 05</v>
      </c>
      <c r="AL810" s="31">
        <f ca="1">U810*VLOOKUP(T810,'Auxiliar Vendas'!E:G,3,FALSE)</f>
        <v>120</v>
      </c>
    </row>
    <row r="811" spans="1:38">
      <c r="A811">
        <v>15659143570</v>
      </c>
      <c r="B811">
        <v>242</v>
      </c>
      <c r="D811" s="1">
        <v>44552</v>
      </c>
      <c r="E811">
        <v>15179581888</v>
      </c>
      <c r="F811" t="str">
        <f ca="1">VLOOKUP(RANDBETWEEN(1,20),'DBO Compras'!AA:AC,3,0)</f>
        <v>Comprador 20</v>
      </c>
      <c r="G811" t="s">
        <v>54</v>
      </c>
      <c r="H811" t="s">
        <v>55</v>
      </c>
      <c r="I811" t="s">
        <v>56</v>
      </c>
      <c r="J811" t="s">
        <v>39</v>
      </c>
      <c r="K811">
        <v>81350610</v>
      </c>
      <c r="L811" t="s">
        <v>40</v>
      </c>
      <c r="M811" t="s">
        <v>57</v>
      </c>
      <c r="N811">
        <v>41996849234</v>
      </c>
      <c r="O811">
        <v>0</v>
      </c>
      <c r="P811">
        <v>0</v>
      </c>
      <c r="R811" t="s">
        <v>42</v>
      </c>
      <c r="S811">
        <v>15016049144</v>
      </c>
      <c r="T811" t="str">
        <f ca="1">VLOOKUP(RANDBETWEEN(1,17),'Auxiliar Vendas'!D:G,2,0)</f>
        <v>Produto 12</v>
      </c>
      <c r="U811">
        <v>200</v>
      </c>
      <c r="V811">
        <v>7.04</v>
      </c>
      <c r="W811">
        <v>0</v>
      </c>
      <c r="X811">
        <v>5.8620000000000001</v>
      </c>
      <c r="Y811" s="3">
        <v>1408</v>
      </c>
      <c r="Z811">
        <v>41</v>
      </c>
      <c r="AA811" t="s">
        <v>267</v>
      </c>
      <c r="AB811">
        <v>0</v>
      </c>
      <c r="AC811">
        <v>0</v>
      </c>
      <c r="AD811" t="s">
        <v>58</v>
      </c>
      <c r="AH811" s="2">
        <v>44558.399305555555</v>
      </c>
      <c r="AI811">
        <v>0</v>
      </c>
      <c r="AJ811">
        <v>0</v>
      </c>
      <c r="AK811" s="30" t="str">
        <f ca="1">VLOOKUP(T811,'Auxiliar Vendas'!E:F,2,FALSE)</f>
        <v>Produto 12</v>
      </c>
      <c r="AL811" s="31">
        <f ca="1">U811*VLOOKUP(T811,'Auxiliar Vendas'!E:G,3,FALSE)</f>
        <v>280</v>
      </c>
    </row>
    <row r="812" spans="1:38">
      <c r="A812">
        <v>15665552805</v>
      </c>
      <c r="B812">
        <v>244</v>
      </c>
      <c r="D812" s="1">
        <v>44553</v>
      </c>
      <c r="E812">
        <v>15279322250</v>
      </c>
      <c r="F812" t="str">
        <f ca="1">VLOOKUP(RANDBETWEEN(1,20),'DBO Compras'!AA:AC,3,0)</f>
        <v>Comprador 14</v>
      </c>
      <c r="G812" t="s">
        <v>83</v>
      </c>
      <c r="H812" t="s">
        <v>84</v>
      </c>
      <c r="I812" t="s">
        <v>85</v>
      </c>
      <c r="J812" t="s">
        <v>39</v>
      </c>
      <c r="K812">
        <v>80220100</v>
      </c>
      <c r="L812" t="s">
        <v>40</v>
      </c>
      <c r="M812" t="s">
        <v>86</v>
      </c>
      <c r="N812">
        <v>41993330017</v>
      </c>
      <c r="O812">
        <v>0</v>
      </c>
      <c r="P812">
        <v>0</v>
      </c>
      <c r="R812" t="s">
        <v>42</v>
      </c>
      <c r="S812">
        <v>15139727614</v>
      </c>
      <c r="T812" t="str">
        <f ca="1">VLOOKUP(RANDBETWEEN(1,17),'Auxiliar Vendas'!D:G,2,0)</f>
        <v>Produto 01</v>
      </c>
      <c r="U812">
        <v>200</v>
      </c>
      <c r="V812">
        <v>22.6</v>
      </c>
      <c r="W812">
        <v>0</v>
      </c>
      <c r="X812">
        <v>0</v>
      </c>
      <c r="Y812" s="3">
        <v>4520</v>
      </c>
      <c r="Z812">
        <v>68</v>
      </c>
      <c r="AA812" t="s">
        <v>146</v>
      </c>
      <c r="AB812">
        <v>0</v>
      </c>
      <c r="AC812">
        <v>0</v>
      </c>
      <c r="AD812" t="s">
        <v>58</v>
      </c>
      <c r="AH812" s="2">
        <v>44558.398611111108</v>
      </c>
      <c r="AI812">
        <v>0</v>
      </c>
      <c r="AJ812">
        <v>0</v>
      </c>
      <c r="AK812" s="30" t="str">
        <f ca="1">VLOOKUP(T812,'Auxiliar Vendas'!E:F,2,FALSE)</f>
        <v>Produto 01</v>
      </c>
      <c r="AL812" s="31">
        <f ca="1">U812*VLOOKUP(T812,'Auxiliar Vendas'!E:G,3,FALSE)</f>
        <v>80</v>
      </c>
    </row>
    <row r="813" spans="1:38">
      <c r="A813">
        <v>15666087625</v>
      </c>
      <c r="B813">
        <v>245</v>
      </c>
      <c r="D813" s="1">
        <v>44553</v>
      </c>
      <c r="E813">
        <v>15058959920</v>
      </c>
      <c r="F813" t="str">
        <f ca="1">VLOOKUP(RANDBETWEEN(1,20),'DBO Compras'!AA:AC,3,0)</f>
        <v>Comprador 08</v>
      </c>
      <c r="G813" t="s">
        <v>119</v>
      </c>
      <c r="H813" t="s">
        <v>120</v>
      </c>
      <c r="I813" t="s">
        <v>121</v>
      </c>
      <c r="J813" t="s">
        <v>113</v>
      </c>
      <c r="K813">
        <v>87025540</v>
      </c>
      <c r="L813" t="s">
        <v>40</v>
      </c>
      <c r="M813" t="s">
        <v>98</v>
      </c>
      <c r="N813">
        <v>4441413353</v>
      </c>
      <c r="O813">
        <v>0</v>
      </c>
      <c r="P813">
        <v>650</v>
      </c>
      <c r="R813" t="s">
        <v>42</v>
      </c>
      <c r="S813">
        <v>15016043939</v>
      </c>
      <c r="T813" t="str">
        <f ca="1">VLOOKUP(RANDBETWEEN(1,17),'Auxiliar Vendas'!D:G,2,0)</f>
        <v>Produto 04</v>
      </c>
      <c r="U813">
        <v>350</v>
      </c>
      <c r="V813">
        <v>14.1</v>
      </c>
      <c r="W813">
        <v>0</v>
      </c>
      <c r="X813">
        <v>10.747</v>
      </c>
      <c r="Y813" s="3">
        <v>4935</v>
      </c>
      <c r="Z813">
        <v>26</v>
      </c>
      <c r="AA813" t="s">
        <v>50</v>
      </c>
      <c r="AB813">
        <v>392.67</v>
      </c>
      <c r="AC813">
        <v>0</v>
      </c>
      <c r="AD813" t="s">
        <v>51</v>
      </c>
      <c r="AH813" s="2">
        <v>44559.601388888892</v>
      </c>
      <c r="AI813">
        <v>0</v>
      </c>
      <c r="AJ813">
        <v>0</v>
      </c>
      <c r="AK813" s="30" t="str">
        <f ca="1">VLOOKUP(T813,'Auxiliar Vendas'!E:F,2,FALSE)</f>
        <v>Produto 04</v>
      </c>
      <c r="AL813" s="31">
        <f ca="1">U813*VLOOKUP(T813,'Auxiliar Vendas'!E:G,3,FALSE)</f>
        <v>210</v>
      </c>
    </row>
    <row r="814" spans="1:38">
      <c r="A814">
        <v>15666087625</v>
      </c>
      <c r="B814">
        <v>245</v>
      </c>
      <c r="D814" s="1">
        <v>44553</v>
      </c>
      <c r="E814">
        <v>15058959920</v>
      </c>
      <c r="F814" t="str">
        <f ca="1">VLOOKUP(RANDBETWEEN(1,20),'DBO Compras'!AA:AC,3,0)</f>
        <v>Comprador 16</v>
      </c>
      <c r="G814" t="s">
        <v>119</v>
      </c>
      <c r="H814" t="s">
        <v>120</v>
      </c>
      <c r="I814" t="s">
        <v>121</v>
      </c>
      <c r="J814" t="s">
        <v>113</v>
      </c>
      <c r="K814">
        <v>87025540</v>
      </c>
      <c r="L814" t="s">
        <v>40</v>
      </c>
      <c r="M814" t="s">
        <v>98</v>
      </c>
      <c r="N814">
        <v>4441413353</v>
      </c>
      <c r="O814">
        <v>0</v>
      </c>
      <c r="P814">
        <v>650</v>
      </c>
      <c r="R814" t="s">
        <v>42</v>
      </c>
      <c r="S814">
        <v>15015511068</v>
      </c>
      <c r="T814" t="str">
        <f ca="1">VLOOKUP(RANDBETWEEN(1,17),'Auxiliar Vendas'!D:G,2,0)</f>
        <v>Produto 08</v>
      </c>
      <c r="U814">
        <v>220</v>
      </c>
      <c r="V814">
        <v>14.7</v>
      </c>
      <c r="W814">
        <v>11.45</v>
      </c>
      <c r="X814">
        <v>10.23</v>
      </c>
      <c r="Y814" s="3">
        <v>3234</v>
      </c>
      <c r="Z814">
        <v>26</v>
      </c>
      <c r="AA814" t="s">
        <v>53</v>
      </c>
      <c r="AB814">
        <v>257.33</v>
      </c>
      <c r="AC814">
        <v>0</v>
      </c>
      <c r="AD814" t="s">
        <v>51</v>
      </c>
      <c r="AH814" s="2">
        <v>44559.601388888892</v>
      </c>
      <c r="AI814">
        <v>0</v>
      </c>
      <c r="AJ814">
        <v>0</v>
      </c>
      <c r="AK814" s="30" t="str">
        <f ca="1">VLOOKUP(T814,'Auxiliar Vendas'!E:F,2,FALSE)</f>
        <v>Produto 08</v>
      </c>
      <c r="AL814" s="31">
        <f ca="1">U814*VLOOKUP(T814,'Auxiliar Vendas'!E:G,3,FALSE)</f>
        <v>242.00000000000003</v>
      </c>
    </row>
    <row r="815" spans="1:38">
      <c r="A815">
        <v>15667417087</v>
      </c>
      <c r="B815">
        <v>246</v>
      </c>
      <c r="D815" s="1">
        <v>44553</v>
      </c>
      <c r="E815">
        <v>15606024125</v>
      </c>
      <c r="F815" t="str">
        <f ca="1">VLOOKUP(RANDBETWEEN(1,20),'DBO Compras'!AA:AC,3,0)</f>
        <v>Comprador 13</v>
      </c>
      <c r="G815" t="s">
        <v>340</v>
      </c>
      <c r="H815" t="s">
        <v>341</v>
      </c>
      <c r="I815" t="s">
        <v>342</v>
      </c>
      <c r="J815" t="s">
        <v>244</v>
      </c>
      <c r="K815">
        <v>84264683</v>
      </c>
      <c r="L815" t="s">
        <v>40</v>
      </c>
      <c r="M815" t="s">
        <v>343</v>
      </c>
      <c r="N815">
        <v>4396184915</v>
      </c>
      <c r="O815">
        <v>0</v>
      </c>
      <c r="P815">
        <v>0</v>
      </c>
      <c r="R815" t="s">
        <v>302</v>
      </c>
      <c r="S815">
        <v>15016049144</v>
      </c>
      <c r="T815" t="str">
        <f ca="1">VLOOKUP(RANDBETWEEN(1,17),'Auxiliar Vendas'!D:G,2,0)</f>
        <v>Produto 16</v>
      </c>
      <c r="U815">
        <v>50</v>
      </c>
      <c r="V815">
        <v>8.3800000000000008</v>
      </c>
      <c r="W815">
        <v>0</v>
      </c>
      <c r="X815">
        <v>5.8620000000000001</v>
      </c>
      <c r="Y815">
        <v>419</v>
      </c>
      <c r="Z815">
        <v>144</v>
      </c>
      <c r="AA815" t="s">
        <v>267</v>
      </c>
      <c r="AB815">
        <v>0</v>
      </c>
      <c r="AC815">
        <v>0</v>
      </c>
      <c r="AD815" t="s">
        <v>51</v>
      </c>
      <c r="AI815">
        <v>0</v>
      </c>
      <c r="AJ815">
        <v>0</v>
      </c>
      <c r="AK815" s="30" t="str">
        <f ca="1">VLOOKUP(T815,'Auxiliar Vendas'!E:F,2,FALSE)</f>
        <v>Produto 16</v>
      </c>
      <c r="AL815" s="31">
        <f ca="1">U815*VLOOKUP(T815,'Auxiliar Vendas'!E:G,3,FALSE)</f>
        <v>63.5</v>
      </c>
    </row>
    <row r="816" spans="1:38">
      <c r="A816">
        <v>15667417087</v>
      </c>
      <c r="B816">
        <v>246</v>
      </c>
      <c r="D816" s="1">
        <v>44553</v>
      </c>
      <c r="E816">
        <v>15606024125</v>
      </c>
      <c r="F816" t="str">
        <f ca="1">VLOOKUP(RANDBETWEEN(1,20),'DBO Compras'!AA:AC,3,0)</f>
        <v>Comprador 01</v>
      </c>
      <c r="G816" t="s">
        <v>340</v>
      </c>
      <c r="H816" t="s">
        <v>341</v>
      </c>
      <c r="I816" t="s">
        <v>342</v>
      </c>
      <c r="J816" t="s">
        <v>244</v>
      </c>
      <c r="K816">
        <v>84264683</v>
      </c>
      <c r="L816" t="s">
        <v>40</v>
      </c>
      <c r="M816" t="s">
        <v>343</v>
      </c>
      <c r="N816">
        <v>4396184915</v>
      </c>
      <c r="O816">
        <v>0</v>
      </c>
      <c r="P816">
        <v>0</v>
      </c>
      <c r="R816" t="s">
        <v>302</v>
      </c>
      <c r="S816">
        <v>15016073255</v>
      </c>
      <c r="T816" t="str">
        <f ca="1">VLOOKUP(RANDBETWEEN(1,17),'Auxiliar Vendas'!D:G,2,0)</f>
        <v>Produto 05</v>
      </c>
      <c r="U816">
        <v>100</v>
      </c>
      <c r="V816">
        <v>16.7</v>
      </c>
      <c r="W816">
        <v>0</v>
      </c>
      <c r="X816">
        <v>10.747</v>
      </c>
      <c r="Y816" s="3">
        <v>1670</v>
      </c>
      <c r="Z816">
        <v>144</v>
      </c>
      <c r="AA816" t="s">
        <v>160</v>
      </c>
      <c r="AB816">
        <v>0</v>
      </c>
      <c r="AC816">
        <v>0</v>
      </c>
      <c r="AD816" t="s">
        <v>51</v>
      </c>
      <c r="AI816">
        <v>0</v>
      </c>
      <c r="AJ816">
        <v>0</v>
      </c>
      <c r="AK816" s="30" t="str">
        <f ca="1">VLOOKUP(T816,'Auxiliar Vendas'!E:F,2,FALSE)</f>
        <v>Produto 05</v>
      </c>
      <c r="AL816" s="31">
        <f ca="1">U816*VLOOKUP(T816,'Auxiliar Vendas'!E:G,3,FALSE)</f>
        <v>60</v>
      </c>
    </row>
    <row r="817" spans="1:38">
      <c r="A817">
        <v>15667417087</v>
      </c>
      <c r="B817">
        <v>246</v>
      </c>
      <c r="D817" s="1">
        <v>44553</v>
      </c>
      <c r="E817">
        <v>15606024125</v>
      </c>
      <c r="F817" t="str">
        <f ca="1">VLOOKUP(RANDBETWEEN(1,20),'DBO Compras'!AA:AC,3,0)</f>
        <v>Comprador 19</v>
      </c>
      <c r="G817" t="s">
        <v>340</v>
      </c>
      <c r="H817" t="s">
        <v>341</v>
      </c>
      <c r="I817" t="s">
        <v>342</v>
      </c>
      <c r="J817" t="s">
        <v>244</v>
      </c>
      <c r="K817">
        <v>84264683</v>
      </c>
      <c r="L817" t="s">
        <v>40</v>
      </c>
      <c r="M817" t="s">
        <v>343</v>
      </c>
      <c r="N817">
        <v>4396184915</v>
      </c>
      <c r="O817">
        <v>0</v>
      </c>
      <c r="P817">
        <v>0</v>
      </c>
      <c r="R817" t="s">
        <v>302</v>
      </c>
      <c r="S817">
        <v>15016093155</v>
      </c>
      <c r="T817" t="str">
        <f ca="1">VLOOKUP(RANDBETWEEN(1,17),'Auxiliar Vendas'!D:G,2,0)</f>
        <v>Produto 08</v>
      </c>
      <c r="U817">
        <v>80</v>
      </c>
      <c r="V817">
        <v>18.100000000000001</v>
      </c>
      <c r="W817">
        <v>0</v>
      </c>
      <c r="X817">
        <v>14.4596</v>
      </c>
      <c r="Y817" s="3">
        <v>1448</v>
      </c>
      <c r="Z817">
        <v>144</v>
      </c>
      <c r="AA817" t="s">
        <v>65</v>
      </c>
      <c r="AB817">
        <v>0</v>
      </c>
      <c r="AC817">
        <v>0</v>
      </c>
      <c r="AD817" t="s">
        <v>51</v>
      </c>
      <c r="AI817">
        <v>0</v>
      </c>
      <c r="AJ817">
        <v>0</v>
      </c>
      <c r="AK817" s="30" t="str">
        <f ca="1">VLOOKUP(T817,'Auxiliar Vendas'!E:F,2,FALSE)</f>
        <v>Produto 08</v>
      </c>
      <c r="AL817" s="31">
        <f ca="1">U817*VLOOKUP(T817,'Auxiliar Vendas'!E:G,3,FALSE)</f>
        <v>88</v>
      </c>
    </row>
    <row r="818" spans="1:38">
      <c r="A818">
        <v>15667417087</v>
      </c>
      <c r="B818">
        <v>246</v>
      </c>
      <c r="D818" s="1">
        <v>44553</v>
      </c>
      <c r="E818">
        <v>15606024125</v>
      </c>
      <c r="F818" t="str">
        <f ca="1">VLOOKUP(RANDBETWEEN(1,20),'DBO Compras'!AA:AC,3,0)</f>
        <v>Comprador 11</v>
      </c>
      <c r="G818" t="s">
        <v>340</v>
      </c>
      <c r="H818" t="s">
        <v>341</v>
      </c>
      <c r="I818" t="s">
        <v>342</v>
      </c>
      <c r="J818" t="s">
        <v>244</v>
      </c>
      <c r="K818">
        <v>84264683</v>
      </c>
      <c r="L818" t="s">
        <v>40</v>
      </c>
      <c r="M818" t="s">
        <v>343</v>
      </c>
      <c r="N818">
        <v>4396184915</v>
      </c>
      <c r="O818">
        <v>0</v>
      </c>
      <c r="P818">
        <v>0</v>
      </c>
      <c r="R818" t="s">
        <v>302</v>
      </c>
      <c r="S818">
        <v>15016080333</v>
      </c>
      <c r="T818" t="str">
        <f ca="1">VLOOKUP(RANDBETWEEN(1,17),'Auxiliar Vendas'!D:G,2,0)</f>
        <v>Produto 14</v>
      </c>
      <c r="U818">
        <v>20</v>
      </c>
      <c r="V818">
        <v>15.2</v>
      </c>
      <c r="W818">
        <v>0</v>
      </c>
      <c r="X818">
        <v>10.747</v>
      </c>
      <c r="Y818">
        <v>304</v>
      </c>
      <c r="Z818">
        <v>144</v>
      </c>
      <c r="AA818" t="s">
        <v>80</v>
      </c>
      <c r="AB818">
        <v>0</v>
      </c>
      <c r="AC818">
        <v>0</v>
      </c>
      <c r="AD818" t="s">
        <v>51</v>
      </c>
      <c r="AI818">
        <v>0</v>
      </c>
      <c r="AJ818">
        <v>0</v>
      </c>
      <c r="AK818" s="30" t="str">
        <f ca="1">VLOOKUP(T818,'Auxiliar Vendas'!E:F,2,FALSE)</f>
        <v>Produto 14</v>
      </c>
      <c r="AL818" s="31">
        <f ca="1">U818*VLOOKUP(T818,'Auxiliar Vendas'!E:G,3,FALSE)</f>
        <v>28</v>
      </c>
    </row>
    <row r="819" spans="1:38">
      <c r="A819">
        <v>15667417087</v>
      </c>
      <c r="B819">
        <v>246</v>
      </c>
      <c r="D819" s="1">
        <v>44553</v>
      </c>
      <c r="E819">
        <v>15606024125</v>
      </c>
      <c r="F819" t="str">
        <f ca="1">VLOOKUP(RANDBETWEEN(1,20),'DBO Compras'!AA:AC,3,0)</f>
        <v>Comprador 14</v>
      </c>
      <c r="G819" t="s">
        <v>340</v>
      </c>
      <c r="H819" t="s">
        <v>341</v>
      </c>
      <c r="I819" t="s">
        <v>342</v>
      </c>
      <c r="J819" t="s">
        <v>244</v>
      </c>
      <c r="K819">
        <v>84264683</v>
      </c>
      <c r="L819" t="s">
        <v>40</v>
      </c>
      <c r="M819" t="s">
        <v>343</v>
      </c>
      <c r="N819">
        <v>4396184915</v>
      </c>
      <c r="O819">
        <v>0</v>
      </c>
      <c r="P819">
        <v>0</v>
      </c>
      <c r="R819" t="s">
        <v>302</v>
      </c>
      <c r="S819">
        <v>15016043939</v>
      </c>
      <c r="T819" t="str">
        <f ca="1">VLOOKUP(RANDBETWEEN(1,17),'Auxiliar Vendas'!D:G,2,0)</f>
        <v>Produto 14</v>
      </c>
      <c r="U819">
        <v>250</v>
      </c>
      <c r="V819">
        <v>14</v>
      </c>
      <c r="W819">
        <v>0</v>
      </c>
      <c r="X819">
        <v>10.747</v>
      </c>
      <c r="Y819" s="3">
        <v>3500</v>
      </c>
      <c r="Z819">
        <v>144</v>
      </c>
      <c r="AA819" t="s">
        <v>50</v>
      </c>
      <c r="AB819">
        <v>0</v>
      </c>
      <c r="AC819">
        <v>0</v>
      </c>
      <c r="AD819" t="s">
        <v>51</v>
      </c>
      <c r="AI819">
        <v>0</v>
      </c>
      <c r="AJ819">
        <v>0</v>
      </c>
      <c r="AK819" s="30" t="str">
        <f ca="1">VLOOKUP(T819,'Auxiliar Vendas'!E:F,2,FALSE)</f>
        <v>Produto 14</v>
      </c>
      <c r="AL819" s="31">
        <f ca="1">U819*VLOOKUP(T819,'Auxiliar Vendas'!E:G,3,FALSE)</f>
        <v>350</v>
      </c>
    </row>
    <row r="820" spans="1:38">
      <c r="A820">
        <v>15680010474</v>
      </c>
      <c r="B820">
        <v>247</v>
      </c>
      <c r="D820" s="1">
        <v>44557</v>
      </c>
      <c r="E820">
        <v>15533104634</v>
      </c>
      <c r="F820" t="str">
        <f ca="1">VLOOKUP(RANDBETWEEN(1,20),'DBO Compras'!AA:AC,3,0)</f>
        <v>Comprador 12</v>
      </c>
      <c r="G820" t="s">
        <v>317</v>
      </c>
      <c r="H820" t="s">
        <v>318</v>
      </c>
      <c r="I820" t="s">
        <v>319</v>
      </c>
      <c r="J820" t="s">
        <v>320</v>
      </c>
      <c r="K820">
        <v>88115485</v>
      </c>
      <c r="L820" t="s">
        <v>92</v>
      </c>
      <c r="M820" t="s">
        <v>321</v>
      </c>
      <c r="N820">
        <v>48999385702</v>
      </c>
      <c r="O820">
        <v>0</v>
      </c>
      <c r="P820">
        <v>0</v>
      </c>
      <c r="R820" t="s">
        <v>302</v>
      </c>
      <c r="S820">
        <v>15016073255</v>
      </c>
      <c r="T820" t="str">
        <f ca="1">VLOOKUP(RANDBETWEEN(1,17),'Auxiliar Vendas'!D:G,2,0)</f>
        <v>Produto 13</v>
      </c>
      <c r="U820" s="3">
        <v>1200</v>
      </c>
      <c r="V820">
        <v>14.9</v>
      </c>
      <c r="W820">
        <v>0</v>
      </c>
      <c r="X820">
        <v>10.747</v>
      </c>
      <c r="Y820" s="3">
        <v>17880</v>
      </c>
      <c r="Z820">
        <v>126</v>
      </c>
      <c r="AA820" t="s">
        <v>160</v>
      </c>
      <c r="AB820">
        <v>0</v>
      </c>
      <c r="AC820">
        <v>0</v>
      </c>
      <c r="AD820" t="s">
        <v>189</v>
      </c>
      <c r="AI820">
        <v>0</v>
      </c>
      <c r="AJ820">
        <v>0</v>
      </c>
      <c r="AK820" s="30" t="str">
        <f ca="1">VLOOKUP(T820,'Auxiliar Vendas'!E:F,2,FALSE)</f>
        <v>Produto 13</v>
      </c>
      <c r="AL820" s="31">
        <f ca="1">U820*VLOOKUP(T820,'Auxiliar Vendas'!E:G,3,FALSE)</f>
        <v>1680</v>
      </c>
    </row>
    <row r="821" spans="1:38">
      <c r="A821">
        <v>15684502839</v>
      </c>
      <c r="B821">
        <v>248</v>
      </c>
      <c r="D821" s="1">
        <v>44557</v>
      </c>
      <c r="E821">
        <v>15295545217</v>
      </c>
      <c r="F821" t="str">
        <f ca="1">VLOOKUP(RANDBETWEEN(1,20),'DBO Compras'!AA:AC,3,0)</f>
        <v>Comprador 06</v>
      </c>
      <c r="G821" t="s">
        <v>136</v>
      </c>
      <c r="H821" t="s">
        <v>137</v>
      </c>
      <c r="I821" t="s">
        <v>138</v>
      </c>
      <c r="J821" t="s">
        <v>39</v>
      </c>
      <c r="K821">
        <v>81910000</v>
      </c>
      <c r="L821" t="s">
        <v>40</v>
      </c>
      <c r="M821" t="s">
        <v>139</v>
      </c>
      <c r="N821">
        <v>41998481264</v>
      </c>
      <c r="O821">
        <v>0</v>
      </c>
      <c r="P821">
        <v>0</v>
      </c>
      <c r="Q821" t="s">
        <v>344</v>
      </c>
      <c r="R821" t="s">
        <v>42</v>
      </c>
      <c r="S821">
        <v>15016080333</v>
      </c>
      <c r="T821" t="str">
        <f ca="1">VLOOKUP(RANDBETWEEN(1,17),'Auxiliar Vendas'!D:G,2,0)</f>
        <v>Produto 12</v>
      </c>
      <c r="U821">
        <v>200</v>
      </c>
      <c r="V821">
        <v>13.9</v>
      </c>
      <c r="W821">
        <v>9.15</v>
      </c>
      <c r="X821">
        <v>10.747</v>
      </c>
      <c r="Y821" s="3">
        <v>2780</v>
      </c>
      <c r="Z821">
        <v>78</v>
      </c>
      <c r="AA821" t="s">
        <v>80</v>
      </c>
      <c r="AB821">
        <v>0</v>
      </c>
      <c r="AC821">
        <v>0</v>
      </c>
      <c r="AD821" t="s">
        <v>58</v>
      </c>
      <c r="AH821" s="2">
        <v>44571.420138888891</v>
      </c>
      <c r="AI821">
        <v>0</v>
      </c>
      <c r="AJ821">
        <v>0</v>
      </c>
      <c r="AK821" s="30" t="str">
        <f ca="1">VLOOKUP(T821,'Auxiliar Vendas'!E:F,2,FALSE)</f>
        <v>Produto 12</v>
      </c>
      <c r="AL821" s="31">
        <f ca="1">U821*VLOOKUP(T821,'Auxiliar Vendas'!E:G,3,FALSE)</f>
        <v>280</v>
      </c>
    </row>
    <row r="822" spans="1:38">
      <c r="A822">
        <v>15684502839</v>
      </c>
      <c r="B822">
        <v>248</v>
      </c>
      <c r="D822" s="1">
        <v>44557</v>
      </c>
      <c r="E822">
        <v>15295545217</v>
      </c>
      <c r="F822" t="str">
        <f ca="1">VLOOKUP(RANDBETWEEN(1,20),'DBO Compras'!AA:AC,3,0)</f>
        <v>Comprador 16</v>
      </c>
      <c r="G822" t="s">
        <v>136</v>
      </c>
      <c r="H822" t="s">
        <v>137</v>
      </c>
      <c r="I822" t="s">
        <v>138</v>
      </c>
      <c r="J822" t="s">
        <v>39</v>
      </c>
      <c r="K822">
        <v>81910000</v>
      </c>
      <c r="L822" t="s">
        <v>40</v>
      </c>
      <c r="M822" t="s">
        <v>139</v>
      </c>
      <c r="N822">
        <v>41998481264</v>
      </c>
      <c r="O822">
        <v>0</v>
      </c>
      <c r="P822">
        <v>0</v>
      </c>
      <c r="Q822" t="s">
        <v>344</v>
      </c>
      <c r="R822" t="s">
        <v>42</v>
      </c>
      <c r="S822">
        <v>15016093155</v>
      </c>
      <c r="T822" t="str">
        <f ca="1">VLOOKUP(RANDBETWEEN(1,17),'Auxiliar Vendas'!D:G,2,0)</f>
        <v>Produto 04</v>
      </c>
      <c r="U822">
        <v>200</v>
      </c>
      <c r="V822">
        <v>17.899999999999999</v>
      </c>
      <c r="W822">
        <v>4.0199999999999996</v>
      </c>
      <c r="X822">
        <v>14.4596</v>
      </c>
      <c r="Y822" s="3">
        <v>3580</v>
      </c>
      <c r="Z822">
        <v>78</v>
      </c>
      <c r="AA822" t="s">
        <v>65</v>
      </c>
      <c r="AB822">
        <v>0</v>
      </c>
      <c r="AC822">
        <v>0</v>
      </c>
      <c r="AD822" t="s">
        <v>58</v>
      </c>
      <c r="AH822" s="2">
        <v>44571.420138888891</v>
      </c>
      <c r="AI822">
        <v>0</v>
      </c>
      <c r="AJ822">
        <v>0</v>
      </c>
      <c r="AK822" s="30" t="str">
        <f ca="1">VLOOKUP(T822,'Auxiliar Vendas'!E:F,2,FALSE)</f>
        <v>Produto 04</v>
      </c>
      <c r="AL822" s="31">
        <f ca="1">U822*VLOOKUP(T822,'Auxiliar Vendas'!E:G,3,FALSE)</f>
        <v>120</v>
      </c>
    </row>
    <row r="823" spans="1:38">
      <c r="A823">
        <v>15684502839</v>
      </c>
      <c r="B823">
        <v>248</v>
      </c>
      <c r="D823" s="1">
        <v>44557</v>
      </c>
      <c r="E823">
        <v>15295545217</v>
      </c>
      <c r="F823" t="str">
        <f ca="1">VLOOKUP(RANDBETWEEN(1,20),'DBO Compras'!AA:AC,3,0)</f>
        <v>Comprador 06</v>
      </c>
      <c r="G823" t="s">
        <v>136</v>
      </c>
      <c r="H823" t="s">
        <v>137</v>
      </c>
      <c r="I823" t="s">
        <v>138</v>
      </c>
      <c r="J823" t="s">
        <v>39</v>
      </c>
      <c r="K823">
        <v>81910000</v>
      </c>
      <c r="L823" t="s">
        <v>40</v>
      </c>
      <c r="M823" t="s">
        <v>139</v>
      </c>
      <c r="N823">
        <v>41998481264</v>
      </c>
      <c r="O823">
        <v>0</v>
      </c>
      <c r="P823">
        <v>0</v>
      </c>
      <c r="Q823" t="s">
        <v>344</v>
      </c>
      <c r="R823" t="s">
        <v>42</v>
      </c>
      <c r="S823">
        <v>15016073255</v>
      </c>
      <c r="T823" t="str">
        <f ca="1">VLOOKUP(RANDBETWEEN(1,17),'Auxiliar Vendas'!D:G,2,0)</f>
        <v>Produto 14</v>
      </c>
      <c r="U823">
        <v>200</v>
      </c>
      <c r="V823">
        <v>15.99</v>
      </c>
      <c r="W823">
        <v>3.67</v>
      </c>
      <c r="X823">
        <v>10.747</v>
      </c>
      <c r="Y823" s="3">
        <v>3198</v>
      </c>
      <c r="Z823">
        <v>78</v>
      </c>
      <c r="AA823" t="s">
        <v>160</v>
      </c>
      <c r="AB823">
        <v>0</v>
      </c>
      <c r="AC823">
        <v>0</v>
      </c>
      <c r="AD823" t="s">
        <v>58</v>
      </c>
      <c r="AH823" s="2">
        <v>44571.420138888891</v>
      </c>
      <c r="AI823">
        <v>0</v>
      </c>
      <c r="AJ823">
        <v>0</v>
      </c>
      <c r="AK823" s="30" t="str">
        <f ca="1">VLOOKUP(T823,'Auxiliar Vendas'!E:F,2,FALSE)</f>
        <v>Produto 14</v>
      </c>
      <c r="AL823" s="31">
        <f ca="1">U823*VLOOKUP(T823,'Auxiliar Vendas'!E:G,3,FALSE)</f>
        <v>280</v>
      </c>
    </row>
    <row r="824" spans="1:38">
      <c r="A824">
        <v>15684502839</v>
      </c>
      <c r="B824">
        <v>248</v>
      </c>
      <c r="D824" s="1">
        <v>44557</v>
      </c>
      <c r="E824">
        <v>15295545217</v>
      </c>
      <c r="F824" t="str">
        <f ca="1">VLOOKUP(RANDBETWEEN(1,20),'DBO Compras'!AA:AC,3,0)</f>
        <v>Comprador 09</v>
      </c>
      <c r="G824" t="s">
        <v>136</v>
      </c>
      <c r="H824" t="s">
        <v>137</v>
      </c>
      <c r="I824" t="s">
        <v>138</v>
      </c>
      <c r="J824" t="s">
        <v>39</v>
      </c>
      <c r="K824">
        <v>81910000</v>
      </c>
      <c r="L824" t="s">
        <v>40</v>
      </c>
      <c r="M824" t="s">
        <v>139</v>
      </c>
      <c r="N824">
        <v>41998481264</v>
      </c>
      <c r="O824">
        <v>0</v>
      </c>
      <c r="P824">
        <v>0</v>
      </c>
      <c r="Q824" t="s">
        <v>344</v>
      </c>
      <c r="R824" t="s">
        <v>42</v>
      </c>
      <c r="S824">
        <v>15016043939</v>
      </c>
      <c r="T824" t="str">
        <f ca="1">VLOOKUP(RANDBETWEEN(1,17),'Auxiliar Vendas'!D:G,2,0)</f>
        <v>Produto 10</v>
      </c>
      <c r="U824">
        <v>500</v>
      </c>
      <c r="V824">
        <v>13.19</v>
      </c>
      <c r="W824">
        <v>6.45</v>
      </c>
      <c r="X824">
        <v>10.747</v>
      </c>
      <c r="Y824" s="3">
        <v>6595</v>
      </c>
      <c r="Z824">
        <v>78</v>
      </c>
      <c r="AA824" t="s">
        <v>50</v>
      </c>
      <c r="AB824">
        <v>0</v>
      </c>
      <c r="AC824">
        <v>0</v>
      </c>
      <c r="AD824" t="s">
        <v>58</v>
      </c>
      <c r="AH824" s="2">
        <v>44571.420138888891</v>
      </c>
      <c r="AI824">
        <v>0</v>
      </c>
      <c r="AJ824">
        <v>0</v>
      </c>
      <c r="AK824" s="30" t="str">
        <f ca="1">VLOOKUP(T824,'Auxiliar Vendas'!E:F,2,FALSE)</f>
        <v>Produto 10</v>
      </c>
      <c r="AL824" s="31">
        <f ca="1">U824*VLOOKUP(T824,'Auxiliar Vendas'!E:G,3,FALSE)</f>
        <v>550</v>
      </c>
    </row>
    <row r="825" spans="1:38">
      <c r="A825">
        <v>15694103317</v>
      </c>
      <c r="B825">
        <v>249</v>
      </c>
      <c r="D825" s="1">
        <v>44558</v>
      </c>
      <c r="E825">
        <v>15020006032</v>
      </c>
      <c r="F825" t="str">
        <f ca="1">VLOOKUP(RANDBETWEEN(1,20),'DBO Compras'!AA:AC,3,0)</f>
        <v>Comprador 15</v>
      </c>
      <c r="G825" t="s">
        <v>36</v>
      </c>
      <c r="H825" t="s">
        <v>37</v>
      </c>
      <c r="I825" t="s">
        <v>38</v>
      </c>
      <c r="J825" t="s">
        <v>39</v>
      </c>
      <c r="K825">
        <v>82960015</v>
      </c>
      <c r="L825" t="s">
        <v>40</v>
      </c>
      <c r="M825" t="s">
        <v>41</v>
      </c>
      <c r="N825">
        <v>41996838559</v>
      </c>
      <c r="O825">
        <v>0</v>
      </c>
      <c r="P825">
        <v>0</v>
      </c>
      <c r="Q825" t="s">
        <v>345</v>
      </c>
      <c r="R825" t="s">
        <v>42</v>
      </c>
      <c r="S825">
        <v>15016049144</v>
      </c>
      <c r="T825" t="str">
        <f ca="1">VLOOKUP(RANDBETWEEN(1,17),'Auxiliar Vendas'!D:G,2,0)</f>
        <v>Produto 12</v>
      </c>
      <c r="U825" s="3">
        <v>2000</v>
      </c>
      <c r="V825">
        <v>7.6</v>
      </c>
      <c r="W825">
        <v>0</v>
      </c>
      <c r="X825">
        <v>5.8620000000000001</v>
      </c>
      <c r="Y825" s="3">
        <v>15200</v>
      </c>
      <c r="Z825">
        <v>16</v>
      </c>
      <c r="AA825" t="s">
        <v>267</v>
      </c>
      <c r="AB825">
        <v>0</v>
      </c>
      <c r="AC825">
        <v>0</v>
      </c>
      <c r="AD825" t="s">
        <v>58</v>
      </c>
      <c r="AH825" s="2">
        <v>44559.448611111111</v>
      </c>
      <c r="AI825">
        <v>0</v>
      </c>
      <c r="AJ825">
        <v>0</v>
      </c>
      <c r="AK825" s="30" t="str">
        <f ca="1">VLOOKUP(T825,'Auxiliar Vendas'!E:F,2,FALSE)</f>
        <v>Produto 12</v>
      </c>
      <c r="AL825" s="31">
        <f ca="1">U825*VLOOKUP(T825,'Auxiliar Vendas'!E:G,3,FALSE)</f>
        <v>2800</v>
      </c>
    </row>
    <row r="826" spans="1:38">
      <c r="A826">
        <v>15701149080</v>
      </c>
      <c r="B826">
        <v>250</v>
      </c>
      <c r="D826" s="1">
        <v>44559</v>
      </c>
      <c r="E826">
        <v>15609013409</v>
      </c>
      <c r="F826" t="str">
        <f ca="1">VLOOKUP(RANDBETWEEN(1,20),'DBO Compras'!AA:AC,3,0)</f>
        <v>Comprador 16</v>
      </c>
      <c r="G826" t="s">
        <v>346</v>
      </c>
      <c r="H826" t="s">
        <v>347</v>
      </c>
      <c r="I826" t="s">
        <v>348</v>
      </c>
      <c r="J826" t="s">
        <v>164</v>
      </c>
      <c r="K826">
        <v>83040570</v>
      </c>
      <c r="L826" t="s">
        <v>349</v>
      </c>
      <c r="M826" t="s">
        <v>350</v>
      </c>
      <c r="N826">
        <v>41991391617</v>
      </c>
      <c r="O826">
        <v>0</v>
      </c>
      <c r="P826">
        <v>0</v>
      </c>
      <c r="R826" t="s">
        <v>42</v>
      </c>
      <c r="S826">
        <v>15016043939</v>
      </c>
      <c r="T826" t="str">
        <f ca="1">VLOOKUP(RANDBETWEEN(1,17),'Auxiliar Vendas'!D:G,2,0)</f>
        <v>Produto 09</v>
      </c>
      <c r="U826">
        <v>30</v>
      </c>
      <c r="V826">
        <v>13.5</v>
      </c>
      <c r="W826">
        <v>0</v>
      </c>
      <c r="X826">
        <v>10.747</v>
      </c>
      <c r="Y826">
        <v>405</v>
      </c>
      <c r="Z826">
        <v>145</v>
      </c>
      <c r="AA826" t="s">
        <v>50</v>
      </c>
      <c r="AB826">
        <v>0</v>
      </c>
      <c r="AC826">
        <v>0</v>
      </c>
      <c r="AD826" t="s">
        <v>189</v>
      </c>
      <c r="AH826" s="2">
        <v>44559.606249999997</v>
      </c>
      <c r="AI826">
        <v>0</v>
      </c>
      <c r="AJ826">
        <v>0</v>
      </c>
      <c r="AK826" s="30" t="str">
        <f ca="1">VLOOKUP(T826,'Auxiliar Vendas'!E:F,2,FALSE)</f>
        <v>Produto 09</v>
      </c>
      <c r="AL826" s="31">
        <f ca="1">U826*VLOOKUP(T826,'Auxiliar Vendas'!E:G,3,FALSE)</f>
        <v>33</v>
      </c>
    </row>
    <row r="827" spans="1:38">
      <c r="A827">
        <v>15701149080</v>
      </c>
      <c r="B827">
        <v>250</v>
      </c>
      <c r="D827" s="1">
        <v>44559</v>
      </c>
      <c r="E827">
        <v>15609013409</v>
      </c>
      <c r="F827" t="str">
        <f ca="1">VLOOKUP(RANDBETWEEN(1,20),'DBO Compras'!AA:AC,3,0)</f>
        <v>Comprador 11</v>
      </c>
      <c r="G827" t="s">
        <v>346</v>
      </c>
      <c r="H827" t="s">
        <v>347</v>
      </c>
      <c r="I827" t="s">
        <v>348</v>
      </c>
      <c r="J827" t="s">
        <v>164</v>
      </c>
      <c r="K827">
        <v>83040570</v>
      </c>
      <c r="L827" t="s">
        <v>349</v>
      </c>
      <c r="M827" t="s">
        <v>350</v>
      </c>
      <c r="N827">
        <v>41991391617</v>
      </c>
      <c r="O827">
        <v>0</v>
      </c>
      <c r="P827">
        <v>0</v>
      </c>
      <c r="R827" t="s">
        <v>42</v>
      </c>
      <c r="S827">
        <v>15016049144</v>
      </c>
      <c r="T827" t="str">
        <f ca="1">VLOOKUP(RANDBETWEEN(1,17),'Auxiliar Vendas'!D:G,2,0)</f>
        <v>Produto 08</v>
      </c>
      <c r="U827">
        <v>20</v>
      </c>
      <c r="V827">
        <v>7.9</v>
      </c>
      <c r="W827">
        <v>0</v>
      </c>
      <c r="X827">
        <v>5.8620000000000001</v>
      </c>
      <c r="Y827">
        <v>158</v>
      </c>
      <c r="Z827">
        <v>145</v>
      </c>
      <c r="AA827" t="s">
        <v>267</v>
      </c>
      <c r="AB827">
        <v>0</v>
      </c>
      <c r="AC827">
        <v>0</v>
      </c>
      <c r="AD827" t="s">
        <v>189</v>
      </c>
      <c r="AH827" s="2">
        <v>44559.606249999997</v>
      </c>
      <c r="AI827">
        <v>0</v>
      </c>
      <c r="AJ827">
        <v>0</v>
      </c>
      <c r="AK827" s="30" t="str">
        <f ca="1">VLOOKUP(T827,'Auxiliar Vendas'!E:F,2,FALSE)</f>
        <v>Produto 08</v>
      </c>
      <c r="AL827" s="31">
        <f ca="1">U827*VLOOKUP(T827,'Auxiliar Vendas'!E:G,3,FALSE)</f>
        <v>22</v>
      </c>
    </row>
    <row r="828" spans="1:38">
      <c r="A828">
        <v>15701149080</v>
      </c>
      <c r="B828">
        <v>250</v>
      </c>
      <c r="D828" s="1">
        <v>44559</v>
      </c>
      <c r="E828">
        <v>15609013409</v>
      </c>
      <c r="F828" t="str">
        <f ca="1">VLOOKUP(RANDBETWEEN(1,20),'DBO Compras'!AA:AC,3,0)</f>
        <v>Comprador 12</v>
      </c>
      <c r="G828" t="s">
        <v>346</v>
      </c>
      <c r="H828" t="s">
        <v>347</v>
      </c>
      <c r="I828" t="s">
        <v>348</v>
      </c>
      <c r="J828" t="s">
        <v>164</v>
      </c>
      <c r="K828">
        <v>83040570</v>
      </c>
      <c r="L828" t="s">
        <v>349</v>
      </c>
      <c r="M828" t="s">
        <v>350</v>
      </c>
      <c r="N828">
        <v>41991391617</v>
      </c>
      <c r="O828">
        <v>0</v>
      </c>
      <c r="P828">
        <v>0</v>
      </c>
      <c r="R828" t="s">
        <v>42</v>
      </c>
      <c r="S828">
        <v>15016073255</v>
      </c>
      <c r="T828" t="str">
        <f ca="1">VLOOKUP(RANDBETWEEN(1,17),'Auxiliar Vendas'!D:G,2,0)</f>
        <v>Produto 06</v>
      </c>
      <c r="U828">
        <v>20</v>
      </c>
      <c r="V828">
        <v>16.100000000000001</v>
      </c>
      <c r="W828">
        <v>3.01</v>
      </c>
      <c r="X828">
        <v>10.747</v>
      </c>
      <c r="Y828">
        <v>322</v>
      </c>
      <c r="Z828">
        <v>145</v>
      </c>
      <c r="AA828" t="s">
        <v>160</v>
      </c>
      <c r="AB828">
        <v>0</v>
      </c>
      <c r="AC828">
        <v>0</v>
      </c>
      <c r="AD828" t="s">
        <v>189</v>
      </c>
      <c r="AH828" s="2">
        <v>44559.606249999997</v>
      </c>
      <c r="AI828">
        <v>0</v>
      </c>
      <c r="AJ828">
        <v>0</v>
      </c>
      <c r="AK828" s="30" t="str">
        <f ca="1">VLOOKUP(T828,'Auxiliar Vendas'!E:F,2,FALSE)</f>
        <v>Produto 06</v>
      </c>
      <c r="AL828" s="31">
        <f ca="1">U828*VLOOKUP(T828,'Auxiliar Vendas'!E:G,3,FALSE)</f>
        <v>10</v>
      </c>
    </row>
    <row r="829" spans="1:38">
      <c r="A829">
        <v>15719149850</v>
      </c>
      <c r="B829">
        <v>251</v>
      </c>
      <c r="D829" s="1">
        <v>44562</v>
      </c>
      <c r="E829">
        <v>15179581888</v>
      </c>
      <c r="F829" t="str">
        <f ca="1">VLOOKUP(RANDBETWEEN(1,20),'DBO Compras'!AA:AC,3,0)</f>
        <v>Comprador 06</v>
      </c>
      <c r="G829" t="s">
        <v>54</v>
      </c>
      <c r="H829" t="s">
        <v>55</v>
      </c>
      <c r="I829" t="s">
        <v>56</v>
      </c>
      <c r="J829" t="s">
        <v>39</v>
      </c>
      <c r="K829">
        <v>81350610</v>
      </c>
      <c r="L829" t="s">
        <v>40</v>
      </c>
      <c r="M829" t="s">
        <v>57</v>
      </c>
      <c r="N829">
        <v>41996849234</v>
      </c>
      <c r="O829">
        <v>0</v>
      </c>
      <c r="P829">
        <v>0</v>
      </c>
      <c r="R829" t="s">
        <v>42</v>
      </c>
      <c r="S829">
        <v>15016093155</v>
      </c>
      <c r="T829" t="str">
        <f ca="1">VLOOKUP(RANDBETWEEN(1,17),'Auxiliar Vendas'!D:G,2,0)</f>
        <v>Produto 15</v>
      </c>
      <c r="U829" s="3">
        <v>1000</v>
      </c>
      <c r="V829">
        <v>16.5</v>
      </c>
      <c r="W829">
        <v>0</v>
      </c>
      <c r="X829">
        <v>14.4596</v>
      </c>
      <c r="Y829" s="3">
        <v>16500</v>
      </c>
      <c r="Z829">
        <v>41</v>
      </c>
      <c r="AA829" t="s">
        <v>65</v>
      </c>
      <c r="AB829">
        <v>0</v>
      </c>
      <c r="AC829">
        <v>0</v>
      </c>
      <c r="AD829" t="s">
        <v>58</v>
      </c>
      <c r="AH829" s="2">
        <v>44571.438194444447</v>
      </c>
      <c r="AI829">
        <v>0</v>
      </c>
      <c r="AJ829">
        <v>0</v>
      </c>
      <c r="AK829" s="30" t="str">
        <f ca="1">VLOOKUP(T829,'Auxiliar Vendas'!E:F,2,FALSE)</f>
        <v>Produto 15</v>
      </c>
      <c r="AL829" s="31">
        <f ca="1">U829*VLOOKUP(T829,'Auxiliar Vendas'!E:G,3,FALSE)</f>
        <v>1420</v>
      </c>
    </row>
    <row r="830" spans="1:38">
      <c r="A830">
        <v>15719149850</v>
      </c>
      <c r="B830">
        <v>251</v>
      </c>
      <c r="D830" s="1">
        <v>44562</v>
      </c>
      <c r="E830">
        <v>15179581888</v>
      </c>
      <c r="F830" t="str">
        <f ca="1">VLOOKUP(RANDBETWEEN(1,20),'DBO Compras'!AA:AC,3,0)</f>
        <v>Comprador 12</v>
      </c>
      <c r="G830" t="s">
        <v>54</v>
      </c>
      <c r="H830" t="s">
        <v>55</v>
      </c>
      <c r="I830" t="s">
        <v>56</v>
      </c>
      <c r="J830" t="s">
        <v>39</v>
      </c>
      <c r="K830">
        <v>81350610</v>
      </c>
      <c r="L830" t="s">
        <v>40</v>
      </c>
      <c r="M830" t="s">
        <v>57</v>
      </c>
      <c r="N830">
        <v>41996849234</v>
      </c>
      <c r="O830">
        <v>0</v>
      </c>
      <c r="P830">
        <v>0</v>
      </c>
      <c r="R830" t="s">
        <v>42</v>
      </c>
      <c r="S830">
        <v>15016087271</v>
      </c>
      <c r="T830" t="str">
        <f ca="1">VLOOKUP(RANDBETWEEN(1,17),'Auxiliar Vendas'!D:G,2,0)</f>
        <v>Produto 16</v>
      </c>
      <c r="U830">
        <v>300</v>
      </c>
      <c r="V830">
        <v>16.5</v>
      </c>
      <c r="W830">
        <v>0</v>
      </c>
      <c r="X830">
        <v>14.4596</v>
      </c>
      <c r="Y830" s="3">
        <v>4950</v>
      </c>
      <c r="Z830">
        <v>41</v>
      </c>
      <c r="AA830" t="s">
        <v>64</v>
      </c>
      <c r="AB830">
        <v>0</v>
      </c>
      <c r="AC830">
        <v>0</v>
      </c>
      <c r="AD830" t="s">
        <v>58</v>
      </c>
      <c r="AH830" s="2">
        <v>44571.438194444447</v>
      </c>
      <c r="AI830">
        <v>0</v>
      </c>
      <c r="AJ830">
        <v>0</v>
      </c>
      <c r="AK830" s="30" t="str">
        <f ca="1">VLOOKUP(T830,'Auxiliar Vendas'!E:F,2,FALSE)</f>
        <v>Produto 16</v>
      </c>
      <c r="AL830" s="31">
        <f ca="1">U830*VLOOKUP(T830,'Auxiliar Vendas'!E:G,3,FALSE)</f>
        <v>381</v>
      </c>
    </row>
    <row r="831" spans="1:38">
      <c r="A831">
        <v>15719149850</v>
      </c>
      <c r="B831">
        <v>251</v>
      </c>
      <c r="D831" s="1">
        <v>44562</v>
      </c>
      <c r="E831">
        <v>15179581888</v>
      </c>
      <c r="F831" t="str">
        <f ca="1">VLOOKUP(RANDBETWEEN(1,20),'DBO Compras'!AA:AC,3,0)</f>
        <v>Comprador 13</v>
      </c>
      <c r="G831" t="s">
        <v>54</v>
      </c>
      <c r="H831" t="s">
        <v>55</v>
      </c>
      <c r="I831" t="s">
        <v>56</v>
      </c>
      <c r="J831" t="s">
        <v>39</v>
      </c>
      <c r="K831">
        <v>81350610</v>
      </c>
      <c r="L831" t="s">
        <v>40</v>
      </c>
      <c r="M831" t="s">
        <v>57</v>
      </c>
      <c r="N831">
        <v>41996849234</v>
      </c>
      <c r="O831">
        <v>0</v>
      </c>
      <c r="P831">
        <v>0</v>
      </c>
      <c r="R831" t="s">
        <v>42</v>
      </c>
      <c r="S831">
        <v>15016080333</v>
      </c>
      <c r="T831" t="str">
        <f ca="1">VLOOKUP(RANDBETWEEN(1,17),'Auxiliar Vendas'!D:G,2,0)</f>
        <v>Produto 02</v>
      </c>
      <c r="U831">
        <v>300</v>
      </c>
      <c r="V831">
        <v>13.4</v>
      </c>
      <c r="W831">
        <v>0</v>
      </c>
      <c r="X831">
        <v>10.747</v>
      </c>
      <c r="Y831" s="3">
        <v>4020</v>
      </c>
      <c r="Z831">
        <v>41</v>
      </c>
      <c r="AA831" t="s">
        <v>80</v>
      </c>
      <c r="AB831">
        <v>0</v>
      </c>
      <c r="AC831">
        <v>0</v>
      </c>
      <c r="AD831" t="s">
        <v>58</v>
      </c>
      <c r="AH831" s="2">
        <v>44571.438194444447</v>
      </c>
      <c r="AI831">
        <v>0</v>
      </c>
      <c r="AJ831">
        <v>0</v>
      </c>
      <c r="AK831" s="30" t="str">
        <f ca="1">VLOOKUP(T831,'Auxiliar Vendas'!E:F,2,FALSE)</f>
        <v>Produto 02</v>
      </c>
      <c r="AL831" s="31">
        <f ca="1">U831*VLOOKUP(T831,'Auxiliar Vendas'!E:G,3,FALSE)</f>
        <v>81</v>
      </c>
    </row>
    <row r="832" spans="1:38">
      <c r="A832">
        <v>15719149850</v>
      </c>
      <c r="B832">
        <v>251</v>
      </c>
      <c r="D832" s="1">
        <v>44562</v>
      </c>
      <c r="E832">
        <v>15179581888</v>
      </c>
      <c r="F832" t="str">
        <f ca="1">VLOOKUP(RANDBETWEEN(1,20),'DBO Compras'!AA:AC,3,0)</f>
        <v>Comprador 16</v>
      </c>
      <c r="G832" t="s">
        <v>54</v>
      </c>
      <c r="H832" t="s">
        <v>55</v>
      </c>
      <c r="I832" t="s">
        <v>56</v>
      </c>
      <c r="J832" t="s">
        <v>39</v>
      </c>
      <c r="K832">
        <v>81350610</v>
      </c>
      <c r="L832" t="s">
        <v>40</v>
      </c>
      <c r="M832" t="s">
        <v>57</v>
      </c>
      <c r="N832">
        <v>41996849234</v>
      </c>
      <c r="O832">
        <v>0</v>
      </c>
      <c r="P832">
        <v>0</v>
      </c>
      <c r="R832" t="s">
        <v>42</v>
      </c>
      <c r="S832">
        <v>15016043939</v>
      </c>
      <c r="T832" t="str">
        <f ca="1">VLOOKUP(RANDBETWEEN(1,17),'Auxiliar Vendas'!D:G,2,0)</f>
        <v>Produto 16</v>
      </c>
      <c r="U832">
        <v>750</v>
      </c>
      <c r="V832">
        <v>12.38</v>
      </c>
      <c r="W832">
        <v>0</v>
      </c>
      <c r="X832">
        <v>10.747</v>
      </c>
      <c r="Y832" s="3">
        <v>9285</v>
      </c>
      <c r="Z832">
        <v>41</v>
      </c>
      <c r="AA832" t="s">
        <v>50</v>
      </c>
      <c r="AB832">
        <v>0</v>
      </c>
      <c r="AC832">
        <v>0</v>
      </c>
      <c r="AD832" t="s">
        <v>58</v>
      </c>
      <c r="AH832" s="2">
        <v>44571.438194444447</v>
      </c>
      <c r="AI832">
        <v>0</v>
      </c>
      <c r="AJ832">
        <v>0</v>
      </c>
      <c r="AK832" s="30" t="str">
        <f ca="1">VLOOKUP(T832,'Auxiliar Vendas'!E:F,2,FALSE)</f>
        <v>Produto 16</v>
      </c>
      <c r="AL832" s="31">
        <f ca="1">U832*VLOOKUP(T832,'Auxiliar Vendas'!E:G,3,FALSE)</f>
        <v>952.5</v>
      </c>
    </row>
    <row r="833" spans="1:38">
      <c r="A833">
        <v>15719149850</v>
      </c>
      <c r="B833">
        <v>251</v>
      </c>
      <c r="D833" s="1">
        <v>44562</v>
      </c>
      <c r="E833">
        <v>15179581888</v>
      </c>
      <c r="F833" t="str">
        <f ca="1">VLOOKUP(RANDBETWEEN(1,20),'DBO Compras'!AA:AC,3,0)</f>
        <v>Comprador 07</v>
      </c>
      <c r="G833" t="s">
        <v>54</v>
      </c>
      <c r="H833" t="s">
        <v>55</v>
      </c>
      <c r="I833" t="s">
        <v>56</v>
      </c>
      <c r="J833" t="s">
        <v>39</v>
      </c>
      <c r="K833">
        <v>81350610</v>
      </c>
      <c r="L833" t="s">
        <v>40</v>
      </c>
      <c r="M833" t="s">
        <v>57</v>
      </c>
      <c r="N833">
        <v>41996849234</v>
      </c>
      <c r="O833">
        <v>0</v>
      </c>
      <c r="P833">
        <v>0</v>
      </c>
      <c r="R833" t="s">
        <v>42</v>
      </c>
      <c r="S833">
        <v>15016049144</v>
      </c>
      <c r="T833" t="str">
        <f ca="1">VLOOKUP(RANDBETWEEN(1,17),'Auxiliar Vendas'!D:G,2,0)</f>
        <v>Produto 15</v>
      </c>
      <c r="U833">
        <v>350</v>
      </c>
      <c r="V833">
        <v>7.04</v>
      </c>
      <c r="W833">
        <v>0</v>
      </c>
      <c r="X833">
        <v>5.8620000000000001</v>
      </c>
      <c r="Y833" s="3">
        <v>2464</v>
      </c>
      <c r="Z833">
        <v>41</v>
      </c>
      <c r="AA833" t="s">
        <v>267</v>
      </c>
      <c r="AB833">
        <v>0</v>
      </c>
      <c r="AC833">
        <v>0</v>
      </c>
      <c r="AD833" t="s">
        <v>58</v>
      </c>
      <c r="AH833" s="2">
        <v>44571.438194444447</v>
      </c>
      <c r="AI833">
        <v>0</v>
      </c>
      <c r="AJ833">
        <v>0</v>
      </c>
      <c r="AK833" s="30" t="str">
        <f ca="1">VLOOKUP(T833,'Auxiliar Vendas'!E:F,2,FALSE)</f>
        <v>Produto 15</v>
      </c>
      <c r="AL833" s="31">
        <f ca="1">U833*VLOOKUP(T833,'Auxiliar Vendas'!E:G,3,FALSE)</f>
        <v>497</v>
      </c>
    </row>
    <row r="834" spans="1:38">
      <c r="A834">
        <v>15719149850</v>
      </c>
      <c r="B834">
        <v>251</v>
      </c>
      <c r="D834" s="1">
        <v>44562</v>
      </c>
      <c r="E834">
        <v>15179581888</v>
      </c>
      <c r="F834" t="str">
        <f ca="1">VLOOKUP(RANDBETWEEN(1,20),'DBO Compras'!AA:AC,3,0)</f>
        <v>Comprador 06</v>
      </c>
      <c r="G834" t="s">
        <v>54</v>
      </c>
      <c r="H834" t="s">
        <v>55</v>
      </c>
      <c r="I834" t="s">
        <v>56</v>
      </c>
      <c r="J834" t="s">
        <v>39</v>
      </c>
      <c r="K834">
        <v>81350610</v>
      </c>
      <c r="L834" t="s">
        <v>40</v>
      </c>
      <c r="M834" t="s">
        <v>57</v>
      </c>
      <c r="N834">
        <v>41996849234</v>
      </c>
      <c r="O834">
        <v>0</v>
      </c>
      <c r="P834">
        <v>0</v>
      </c>
      <c r="R834" t="s">
        <v>42</v>
      </c>
      <c r="S834">
        <v>15016099089</v>
      </c>
      <c r="T834" t="str">
        <f ca="1">VLOOKUP(RANDBETWEEN(1,17),'Auxiliar Vendas'!D:G,2,0)</f>
        <v>Produto 13</v>
      </c>
      <c r="U834" s="3">
        <v>1000</v>
      </c>
      <c r="V834">
        <v>19.25</v>
      </c>
      <c r="W834">
        <v>11.09</v>
      </c>
      <c r="X834">
        <v>16.804400000000001</v>
      </c>
      <c r="Y834" s="3">
        <v>19250</v>
      </c>
      <c r="Z834">
        <v>41</v>
      </c>
      <c r="AA834" t="s">
        <v>79</v>
      </c>
      <c r="AB834">
        <v>0</v>
      </c>
      <c r="AC834">
        <v>0</v>
      </c>
      <c r="AD834" t="s">
        <v>58</v>
      </c>
      <c r="AH834" s="2">
        <v>44571.438194444447</v>
      </c>
      <c r="AI834">
        <v>0</v>
      </c>
      <c r="AJ834">
        <v>0</v>
      </c>
      <c r="AK834" s="30" t="str">
        <f ca="1">VLOOKUP(T834,'Auxiliar Vendas'!E:F,2,FALSE)</f>
        <v>Produto 13</v>
      </c>
      <c r="AL834" s="31">
        <f ca="1">U834*VLOOKUP(T834,'Auxiliar Vendas'!E:G,3,FALSE)</f>
        <v>1400</v>
      </c>
    </row>
    <row r="835" spans="1:38">
      <c r="A835">
        <v>15719149850</v>
      </c>
      <c r="B835">
        <v>251</v>
      </c>
      <c r="D835" s="1">
        <v>44562</v>
      </c>
      <c r="E835">
        <v>15179581888</v>
      </c>
      <c r="F835" t="str">
        <f ca="1">VLOOKUP(RANDBETWEEN(1,20),'DBO Compras'!AA:AC,3,0)</f>
        <v>Comprador 12</v>
      </c>
      <c r="G835" t="s">
        <v>54</v>
      </c>
      <c r="H835" t="s">
        <v>55</v>
      </c>
      <c r="I835" t="s">
        <v>56</v>
      </c>
      <c r="J835" t="s">
        <v>39</v>
      </c>
      <c r="K835">
        <v>81350610</v>
      </c>
      <c r="L835" t="s">
        <v>40</v>
      </c>
      <c r="M835" t="s">
        <v>57</v>
      </c>
      <c r="N835">
        <v>41996849234</v>
      </c>
      <c r="O835">
        <v>0</v>
      </c>
      <c r="P835">
        <v>0</v>
      </c>
      <c r="R835" t="s">
        <v>42</v>
      </c>
      <c r="S835">
        <v>15016073255</v>
      </c>
      <c r="T835" t="str">
        <f ca="1">VLOOKUP(RANDBETWEEN(1,17),'Auxiliar Vendas'!D:G,2,0)</f>
        <v>Produto 17</v>
      </c>
      <c r="U835">
        <v>300</v>
      </c>
      <c r="V835">
        <v>14.9</v>
      </c>
      <c r="W835">
        <v>10.24</v>
      </c>
      <c r="X835">
        <v>10.747</v>
      </c>
      <c r="Y835" s="3">
        <v>4470</v>
      </c>
      <c r="Z835">
        <v>41</v>
      </c>
      <c r="AA835" t="s">
        <v>160</v>
      </c>
      <c r="AB835">
        <v>0</v>
      </c>
      <c r="AC835">
        <v>0</v>
      </c>
      <c r="AD835" t="s">
        <v>58</v>
      </c>
      <c r="AH835" s="2">
        <v>44571.438194444447</v>
      </c>
      <c r="AI835">
        <v>0</v>
      </c>
      <c r="AJ835">
        <v>0</v>
      </c>
      <c r="AK835" s="30" t="str">
        <f ca="1">VLOOKUP(T835,'Auxiliar Vendas'!E:F,2,FALSE)</f>
        <v>Produto 17</v>
      </c>
      <c r="AL835" s="31">
        <f ca="1">U835*VLOOKUP(T835,'Auxiliar Vendas'!E:G,3,FALSE)</f>
        <v>426</v>
      </c>
    </row>
    <row r="836" spans="1:38">
      <c r="A836">
        <v>15719151454</v>
      </c>
      <c r="B836">
        <v>252</v>
      </c>
      <c r="D836" s="1">
        <v>44562</v>
      </c>
      <c r="E836">
        <v>15610518557</v>
      </c>
      <c r="F836" t="str">
        <f ca="1">VLOOKUP(RANDBETWEEN(1,20),'DBO Compras'!AA:AC,3,0)</f>
        <v>Comprador 14</v>
      </c>
      <c r="G836" t="s">
        <v>351</v>
      </c>
      <c r="H836" t="s">
        <v>352</v>
      </c>
      <c r="I836" t="s">
        <v>353</v>
      </c>
      <c r="J836" t="s">
        <v>175</v>
      </c>
      <c r="K836">
        <v>88390000</v>
      </c>
      <c r="L836" t="s">
        <v>92</v>
      </c>
      <c r="M836" t="s">
        <v>354</v>
      </c>
      <c r="N836">
        <v>41999473993</v>
      </c>
      <c r="O836">
        <v>0</v>
      </c>
      <c r="P836">
        <v>0</v>
      </c>
      <c r="R836" t="s">
        <v>42</v>
      </c>
      <c r="S836">
        <v>15016099089</v>
      </c>
      <c r="T836" t="str">
        <f ca="1">VLOOKUP(RANDBETWEEN(1,17),'Auxiliar Vendas'!D:G,2,0)</f>
        <v>Produto 08</v>
      </c>
      <c r="U836">
        <v>250</v>
      </c>
      <c r="V836">
        <v>19.45</v>
      </c>
      <c r="W836">
        <v>0</v>
      </c>
      <c r="X836">
        <v>16.804400000000001</v>
      </c>
      <c r="Y836" s="3">
        <v>4862.5</v>
      </c>
      <c r="Z836">
        <v>146</v>
      </c>
      <c r="AA836" t="s">
        <v>79</v>
      </c>
      <c r="AB836">
        <v>0</v>
      </c>
      <c r="AC836">
        <v>0</v>
      </c>
      <c r="AD836" t="s">
        <v>58</v>
      </c>
      <c r="AH836" s="2">
        <v>44567.407638888886</v>
      </c>
      <c r="AI836">
        <v>0</v>
      </c>
      <c r="AJ836">
        <v>0</v>
      </c>
      <c r="AK836" s="30" t="str">
        <f ca="1">VLOOKUP(T836,'Auxiliar Vendas'!E:F,2,FALSE)</f>
        <v>Produto 08</v>
      </c>
      <c r="AL836" s="31">
        <f ca="1">U836*VLOOKUP(T836,'Auxiliar Vendas'!E:G,3,FALSE)</f>
        <v>275</v>
      </c>
    </row>
    <row r="837" spans="1:38">
      <c r="A837">
        <v>15719151454</v>
      </c>
      <c r="B837">
        <v>252</v>
      </c>
      <c r="D837" s="1">
        <v>44562</v>
      </c>
      <c r="E837">
        <v>15610518557</v>
      </c>
      <c r="F837" t="str">
        <f ca="1">VLOOKUP(RANDBETWEEN(1,20),'DBO Compras'!AA:AC,3,0)</f>
        <v>Comprador 15</v>
      </c>
      <c r="G837" t="s">
        <v>351</v>
      </c>
      <c r="H837" t="s">
        <v>352</v>
      </c>
      <c r="I837" t="s">
        <v>353</v>
      </c>
      <c r="J837" t="s">
        <v>175</v>
      </c>
      <c r="K837">
        <v>88390000</v>
      </c>
      <c r="L837" t="s">
        <v>92</v>
      </c>
      <c r="M837" t="s">
        <v>354</v>
      </c>
      <c r="N837">
        <v>41999473993</v>
      </c>
      <c r="O837">
        <v>0</v>
      </c>
      <c r="P837">
        <v>0</v>
      </c>
      <c r="R837" t="s">
        <v>42</v>
      </c>
      <c r="S837">
        <v>15016093155</v>
      </c>
      <c r="T837" t="str">
        <f ca="1">VLOOKUP(RANDBETWEEN(1,17),'Auxiliar Vendas'!D:G,2,0)</f>
        <v>Produto 02</v>
      </c>
      <c r="U837">
        <v>200</v>
      </c>
      <c r="V837">
        <v>16.8</v>
      </c>
      <c r="W837">
        <v>0</v>
      </c>
      <c r="X837">
        <v>14.4596</v>
      </c>
      <c r="Y837" s="3">
        <v>3360</v>
      </c>
      <c r="Z837">
        <v>146</v>
      </c>
      <c r="AA837" t="s">
        <v>65</v>
      </c>
      <c r="AB837">
        <v>0</v>
      </c>
      <c r="AC837">
        <v>0</v>
      </c>
      <c r="AD837" t="s">
        <v>58</v>
      </c>
      <c r="AH837" s="2">
        <v>44567.407638888886</v>
      </c>
      <c r="AI837">
        <v>0</v>
      </c>
      <c r="AJ837">
        <v>0</v>
      </c>
      <c r="AK837" s="30" t="str">
        <f ca="1">VLOOKUP(T837,'Auxiliar Vendas'!E:F,2,FALSE)</f>
        <v>Produto 02</v>
      </c>
      <c r="AL837" s="31">
        <f ca="1">U837*VLOOKUP(T837,'Auxiliar Vendas'!E:G,3,FALSE)</f>
        <v>54</v>
      </c>
    </row>
    <row r="838" spans="1:38">
      <c r="A838">
        <v>15719151454</v>
      </c>
      <c r="B838">
        <v>252</v>
      </c>
      <c r="D838" s="1">
        <v>44562</v>
      </c>
      <c r="E838">
        <v>15610518557</v>
      </c>
      <c r="F838" t="str">
        <f ca="1">VLOOKUP(RANDBETWEEN(1,20),'DBO Compras'!AA:AC,3,0)</f>
        <v>Comprador 07</v>
      </c>
      <c r="G838" t="s">
        <v>351</v>
      </c>
      <c r="H838" t="s">
        <v>352</v>
      </c>
      <c r="I838" t="s">
        <v>353</v>
      </c>
      <c r="J838" t="s">
        <v>175</v>
      </c>
      <c r="K838">
        <v>88390000</v>
      </c>
      <c r="L838" t="s">
        <v>92</v>
      </c>
      <c r="M838" t="s">
        <v>354</v>
      </c>
      <c r="N838">
        <v>41999473993</v>
      </c>
      <c r="O838">
        <v>0</v>
      </c>
      <c r="P838">
        <v>0</v>
      </c>
      <c r="R838" t="s">
        <v>42</v>
      </c>
      <c r="S838">
        <v>15016049144</v>
      </c>
      <c r="T838" t="str">
        <f ca="1">VLOOKUP(RANDBETWEEN(1,17),'Auxiliar Vendas'!D:G,2,0)</f>
        <v>Produto 16</v>
      </c>
      <c r="U838">
        <v>150</v>
      </c>
      <c r="V838">
        <v>7.2</v>
      </c>
      <c r="W838">
        <v>0</v>
      </c>
      <c r="X838">
        <v>5.8620000000000001</v>
      </c>
      <c r="Y838" s="3">
        <v>1080</v>
      </c>
      <c r="Z838">
        <v>146</v>
      </c>
      <c r="AA838" t="s">
        <v>267</v>
      </c>
      <c r="AB838">
        <v>0</v>
      </c>
      <c r="AC838">
        <v>0</v>
      </c>
      <c r="AD838" t="s">
        <v>58</v>
      </c>
      <c r="AH838" s="2">
        <v>44567.407638888886</v>
      </c>
      <c r="AI838">
        <v>0</v>
      </c>
      <c r="AJ838">
        <v>0</v>
      </c>
      <c r="AK838" s="30" t="str">
        <f ca="1">VLOOKUP(T838,'Auxiliar Vendas'!E:F,2,FALSE)</f>
        <v>Produto 16</v>
      </c>
      <c r="AL838" s="31">
        <f ca="1">U838*VLOOKUP(T838,'Auxiliar Vendas'!E:G,3,FALSE)</f>
        <v>190.5</v>
      </c>
    </row>
    <row r="839" spans="1:38">
      <c r="A839">
        <v>15719151454</v>
      </c>
      <c r="B839">
        <v>252</v>
      </c>
      <c r="D839" s="1">
        <v>44562</v>
      </c>
      <c r="E839">
        <v>15610518557</v>
      </c>
      <c r="F839" t="str">
        <f ca="1">VLOOKUP(RANDBETWEEN(1,20),'DBO Compras'!AA:AC,3,0)</f>
        <v>Comprador 20</v>
      </c>
      <c r="G839" t="s">
        <v>351</v>
      </c>
      <c r="H839" t="s">
        <v>352</v>
      </c>
      <c r="I839" t="s">
        <v>353</v>
      </c>
      <c r="J839" t="s">
        <v>175</v>
      </c>
      <c r="K839">
        <v>88390000</v>
      </c>
      <c r="L839" t="s">
        <v>92</v>
      </c>
      <c r="M839" t="s">
        <v>354</v>
      </c>
      <c r="N839">
        <v>41999473993</v>
      </c>
      <c r="O839">
        <v>0</v>
      </c>
      <c r="P839">
        <v>0</v>
      </c>
      <c r="R839" t="s">
        <v>42</v>
      </c>
      <c r="S839">
        <v>15016043939</v>
      </c>
      <c r="T839" t="str">
        <f ca="1">VLOOKUP(RANDBETWEEN(1,17),'Auxiliar Vendas'!D:G,2,0)</f>
        <v>Produto 11</v>
      </c>
      <c r="U839">
        <v>150</v>
      </c>
      <c r="V839">
        <v>12.8</v>
      </c>
      <c r="W839">
        <v>0</v>
      </c>
      <c r="X839">
        <v>10.747</v>
      </c>
      <c r="Y839" s="3">
        <v>1920</v>
      </c>
      <c r="Z839">
        <v>146</v>
      </c>
      <c r="AA839" t="s">
        <v>50</v>
      </c>
      <c r="AB839">
        <v>0</v>
      </c>
      <c r="AC839">
        <v>0</v>
      </c>
      <c r="AD839" t="s">
        <v>58</v>
      </c>
      <c r="AH839" s="2">
        <v>44567.407638888886</v>
      </c>
      <c r="AI839">
        <v>0</v>
      </c>
      <c r="AJ839">
        <v>0</v>
      </c>
      <c r="AK839" s="30" t="str">
        <f ca="1">VLOOKUP(T839,'Auxiliar Vendas'!E:F,2,FALSE)</f>
        <v>Produto 11</v>
      </c>
      <c r="AL839" s="31">
        <f ca="1">U839*VLOOKUP(T839,'Auxiliar Vendas'!E:G,3,FALSE)</f>
        <v>165</v>
      </c>
    </row>
    <row r="840" spans="1:38">
      <c r="A840">
        <v>15719151454</v>
      </c>
      <c r="B840">
        <v>252</v>
      </c>
      <c r="D840" s="1">
        <v>44562</v>
      </c>
      <c r="E840">
        <v>15610518557</v>
      </c>
      <c r="F840" t="str">
        <f ca="1">VLOOKUP(RANDBETWEEN(1,20),'DBO Compras'!AA:AC,3,0)</f>
        <v>Comprador 16</v>
      </c>
      <c r="G840" t="s">
        <v>351</v>
      </c>
      <c r="H840" t="s">
        <v>352</v>
      </c>
      <c r="I840" t="s">
        <v>353</v>
      </c>
      <c r="J840" t="s">
        <v>175</v>
      </c>
      <c r="K840">
        <v>88390000</v>
      </c>
      <c r="L840" t="s">
        <v>92</v>
      </c>
      <c r="M840" t="s">
        <v>354</v>
      </c>
      <c r="N840">
        <v>41999473993</v>
      </c>
      <c r="O840">
        <v>0</v>
      </c>
      <c r="P840">
        <v>0</v>
      </c>
      <c r="R840" t="s">
        <v>42</v>
      </c>
      <c r="S840">
        <v>15016087271</v>
      </c>
      <c r="T840" t="str">
        <f ca="1">VLOOKUP(RANDBETWEEN(1,17),'Auxiliar Vendas'!D:G,2,0)</f>
        <v>Produto 09</v>
      </c>
      <c r="U840">
        <v>150</v>
      </c>
      <c r="V840">
        <v>16.8</v>
      </c>
      <c r="W840">
        <v>9.43</v>
      </c>
      <c r="X840">
        <v>14.4596</v>
      </c>
      <c r="Y840" s="3">
        <v>2520</v>
      </c>
      <c r="Z840">
        <v>146</v>
      </c>
      <c r="AA840" t="s">
        <v>64</v>
      </c>
      <c r="AB840">
        <v>0</v>
      </c>
      <c r="AC840">
        <v>0</v>
      </c>
      <c r="AD840" t="s">
        <v>58</v>
      </c>
      <c r="AH840" s="2">
        <v>44567.407638888886</v>
      </c>
      <c r="AI840">
        <v>0</v>
      </c>
      <c r="AJ840">
        <v>0</v>
      </c>
      <c r="AK840" s="30" t="str">
        <f ca="1">VLOOKUP(T840,'Auxiliar Vendas'!E:F,2,FALSE)</f>
        <v>Produto 09</v>
      </c>
      <c r="AL840" s="31">
        <f ca="1">U840*VLOOKUP(T840,'Auxiliar Vendas'!E:G,3,FALSE)</f>
        <v>165</v>
      </c>
    </row>
    <row r="841" spans="1:38">
      <c r="A841">
        <v>15719151454</v>
      </c>
      <c r="B841">
        <v>252</v>
      </c>
      <c r="D841" s="1">
        <v>44562</v>
      </c>
      <c r="E841">
        <v>15610518557</v>
      </c>
      <c r="F841" t="str">
        <f ca="1">VLOOKUP(RANDBETWEEN(1,20),'DBO Compras'!AA:AC,3,0)</f>
        <v>Comprador 01</v>
      </c>
      <c r="G841" t="s">
        <v>351</v>
      </c>
      <c r="H841" t="s">
        <v>352</v>
      </c>
      <c r="I841" t="s">
        <v>353</v>
      </c>
      <c r="J841" t="s">
        <v>175</v>
      </c>
      <c r="K841">
        <v>88390000</v>
      </c>
      <c r="L841" t="s">
        <v>92</v>
      </c>
      <c r="M841" t="s">
        <v>354</v>
      </c>
      <c r="N841">
        <v>41999473993</v>
      </c>
      <c r="O841">
        <v>0</v>
      </c>
      <c r="P841">
        <v>0</v>
      </c>
      <c r="R841" t="s">
        <v>42</v>
      </c>
      <c r="S841">
        <v>15016080333</v>
      </c>
      <c r="T841" t="str">
        <f ca="1">VLOOKUP(RANDBETWEEN(1,17),'Auxiliar Vendas'!D:G,2,0)</f>
        <v>Produto 13</v>
      </c>
      <c r="U841">
        <v>150</v>
      </c>
      <c r="V841">
        <v>13.5</v>
      </c>
      <c r="W841">
        <v>11.76</v>
      </c>
      <c r="X841">
        <v>10.747</v>
      </c>
      <c r="Y841" s="3">
        <v>2025</v>
      </c>
      <c r="Z841">
        <v>146</v>
      </c>
      <c r="AA841" t="s">
        <v>80</v>
      </c>
      <c r="AB841">
        <v>0</v>
      </c>
      <c r="AC841">
        <v>0</v>
      </c>
      <c r="AD841" t="s">
        <v>58</v>
      </c>
      <c r="AH841" s="2">
        <v>44567.407638888886</v>
      </c>
      <c r="AI841">
        <v>0</v>
      </c>
      <c r="AJ841">
        <v>0</v>
      </c>
      <c r="AK841" s="30" t="str">
        <f ca="1">VLOOKUP(T841,'Auxiliar Vendas'!E:F,2,FALSE)</f>
        <v>Produto 13</v>
      </c>
      <c r="AL841" s="31">
        <f ca="1">U841*VLOOKUP(T841,'Auxiliar Vendas'!E:G,3,FALSE)</f>
        <v>210</v>
      </c>
    </row>
    <row r="842" spans="1:38">
      <c r="A842">
        <v>15628103533</v>
      </c>
      <c r="B842">
        <v>233</v>
      </c>
      <c r="D842" s="1">
        <v>44564</v>
      </c>
      <c r="E842">
        <v>15602941129</v>
      </c>
      <c r="F842" t="str">
        <f ca="1">VLOOKUP(RANDBETWEEN(1,20),'DBO Compras'!AA:AC,3,0)</f>
        <v>Comprador 19</v>
      </c>
      <c r="G842" t="s">
        <v>355</v>
      </c>
      <c r="H842" t="s">
        <v>356</v>
      </c>
      <c r="I842" t="s">
        <v>357</v>
      </c>
      <c r="J842" t="s">
        <v>358</v>
      </c>
      <c r="K842" t="s">
        <v>359</v>
      </c>
      <c r="L842" t="s">
        <v>40</v>
      </c>
      <c r="O842">
        <v>0</v>
      </c>
      <c r="P842">
        <v>0</v>
      </c>
      <c r="R842" t="s">
        <v>302</v>
      </c>
      <c r="S842">
        <v>15016043939</v>
      </c>
      <c r="T842" t="str">
        <f ca="1">VLOOKUP(RANDBETWEEN(1,17),'Auxiliar Vendas'!D:G,2,0)</f>
        <v>Produto 02</v>
      </c>
      <c r="U842">
        <v>50</v>
      </c>
      <c r="V842">
        <v>13.9</v>
      </c>
      <c r="W842">
        <v>1.42</v>
      </c>
      <c r="X842">
        <v>10.747</v>
      </c>
      <c r="Y842">
        <v>695</v>
      </c>
      <c r="Z842">
        <v>134</v>
      </c>
      <c r="AA842" t="s">
        <v>50</v>
      </c>
      <c r="AB842">
        <v>0</v>
      </c>
      <c r="AC842">
        <v>0</v>
      </c>
      <c r="AD842" t="s">
        <v>58</v>
      </c>
      <c r="AH842" s="2">
        <v>44564.458333333336</v>
      </c>
      <c r="AI842">
        <v>0</v>
      </c>
      <c r="AJ842">
        <v>0</v>
      </c>
      <c r="AK842" s="30" t="str">
        <f ca="1">VLOOKUP(T842,'Auxiliar Vendas'!E:F,2,FALSE)</f>
        <v>Produto 02</v>
      </c>
      <c r="AL842" s="31">
        <f ca="1">U842*VLOOKUP(T842,'Auxiliar Vendas'!E:G,3,FALSE)</f>
        <v>13.5</v>
      </c>
    </row>
    <row r="843" spans="1:38">
      <c r="A843">
        <v>15628103533</v>
      </c>
      <c r="B843">
        <v>233</v>
      </c>
      <c r="D843" s="1">
        <v>44564</v>
      </c>
      <c r="E843">
        <v>15602941129</v>
      </c>
      <c r="F843" t="str">
        <f ca="1">VLOOKUP(RANDBETWEEN(1,20),'DBO Compras'!AA:AC,3,0)</f>
        <v>Comprador 19</v>
      </c>
      <c r="G843" t="s">
        <v>355</v>
      </c>
      <c r="H843" t="s">
        <v>356</v>
      </c>
      <c r="I843" t="s">
        <v>357</v>
      </c>
      <c r="J843" t="s">
        <v>358</v>
      </c>
      <c r="K843" t="s">
        <v>359</v>
      </c>
      <c r="L843" t="s">
        <v>40</v>
      </c>
      <c r="O843">
        <v>0</v>
      </c>
      <c r="P843">
        <v>0</v>
      </c>
      <c r="R843" t="s">
        <v>302</v>
      </c>
      <c r="S843">
        <v>15016049144</v>
      </c>
      <c r="T843" t="str">
        <f ca="1">VLOOKUP(RANDBETWEEN(1,17),'Auxiliar Vendas'!D:G,2,0)</f>
        <v>Produto 13</v>
      </c>
      <c r="U843">
        <v>60</v>
      </c>
      <c r="V843">
        <v>8.1999999999999993</v>
      </c>
      <c r="W843">
        <v>0.97</v>
      </c>
      <c r="X843">
        <v>5.8620000000000001</v>
      </c>
      <c r="Y843">
        <v>492</v>
      </c>
      <c r="Z843">
        <v>134</v>
      </c>
      <c r="AA843" t="s">
        <v>267</v>
      </c>
      <c r="AB843">
        <v>0</v>
      </c>
      <c r="AC843">
        <v>0</v>
      </c>
      <c r="AD843" t="s">
        <v>58</v>
      </c>
      <c r="AH843" s="2">
        <v>44564.458333333336</v>
      </c>
      <c r="AI843">
        <v>0</v>
      </c>
      <c r="AJ843">
        <v>0</v>
      </c>
      <c r="AK843" s="30" t="str">
        <f ca="1">VLOOKUP(T843,'Auxiliar Vendas'!E:F,2,FALSE)</f>
        <v>Produto 13</v>
      </c>
      <c r="AL843" s="31">
        <f ca="1">U843*VLOOKUP(T843,'Auxiliar Vendas'!E:G,3,FALSE)</f>
        <v>84</v>
      </c>
    </row>
    <row r="844" spans="1:38">
      <c r="A844">
        <v>15628103533</v>
      </c>
      <c r="B844">
        <v>233</v>
      </c>
      <c r="D844" s="1">
        <v>44564</v>
      </c>
      <c r="E844">
        <v>15602941129</v>
      </c>
      <c r="F844" t="str">
        <f ca="1">VLOOKUP(RANDBETWEEN(1,20),'DBO Compras'!AA:AC,3,0)</f>
        <v>Comprador 02</v>
      </c>
      <c r="G844" t="s">
        <v>355</v>
      </c>
      <c r="H844" t="s">
        <v>356</v>
      </c>
      <c r="I844" t="s">
        <v>357</v>
      </c>
      <c r="J844" t="s">
        <v>358</v>
      </c>
      <c r="K844" t="s">
        <v>359</v>
      </c>
      <c r="L844" t="s">
        <v>40</v>
      </c>
      <c r="O844">
        <v>0</v>
      </c>
      <c r="P844">
        <v>0</v>
      </c>
      <c r="R844" t="s">
        <v>302</v>
      </c>
      <c r="S844">
        <v>15016073255</v>
      </c>
      <c r="T844" t="str">
        <f ca="1">VLOOKUP(RANDBETWEEN(1,17),'Auxiliar Vendas'!D:G,2,0)</f>
        <v>Produto 14</v>
      </c>
      <c r="U844">
        <v>30</v>
      </c>
      <c r="V844">
        <v>16.2</v>
      </c>
      <c r="W844">
        <v>2.41</v>
      </c>
      <c r="X844">
        <v>10.747</v>
      </c>
      <c r="Y844">
        <v>486</v>
      </c>
      <c r="Z844">
        <v>134</v>
      </c>
      <c r="AA844" t="s">
        <v>160</v>
      </c>
      <c r="AB844">
        <v>0</v>
      </c>
      <c r="AC844">
        <v>0</v>
      </c>
      <c r="AD844" t="s">
        <v>58</v>
      </c>
      <c r="AH844" s="2">
        <v>44564.458333333336</v>
      </c>
      <c r="AI844">
        <v>0</v>
      </c>
      <c r="AJ844">
        <v>0</v>
      </c>
      <c r="AK844" s="30" t="str">
        <f ca="1">VLOOKUP(T844,'Auxiliar Vendas'!E:F,2,FALSE)</f>
        <v>Produto 14</v>
      </c>
      <c r="AL844" s="31">
        <f ca="1">U844*VLOOKUP(T844,'Auxiliar Vendas'!E:G,3,FALSE)</f>
        <v>42</v>
      </c>
    </row>
    <row r="845" spans="1:38">
      <c r="A845">
        <v>15628103533</v>
      </c>
      <c r="B845">
        <v>233</v>
      </c>
      <c r="D845" s="1">
        <v>44564</v>
      </c>
      <c r="E845">
        <v>15602941129</v>
      </c>
      <c r="F845" t="str">
        <f ca="1">VLOOKUP(RANDBETWEEN(1,20),'DBO Compras'!AA:AC,3,0)</f>
        <v>Comprador 15</v>
      </c>
      <c r="G845" t="s">
        <v>355</v>
      </c>
      <c r="H845" t="s">
        <v>356</v>
      </c>
      <c r="I845" t="s">
        <v>357</v>
      </c>
      <c r="J845" t="s">
        <v>358</v>
      </c>
      <c r="K845" t="s">
        <v>359</v>
      </c>
      <c r="L845" t="s">
        <v>40</v>
      </c>
      <c r="O845">
        <v>0</v>
      </c>
      <c r="P845">
        <v>0</v>
      </c>
      <c r="R845" t="s">
        <v>302</v>
      </c>
      <c r="S845">
        <v>15016080333</v>
      </c>
      <c r="T845" t="str">
        <f ca="1">VLOOKUP(RANDBETWEEN(1,17),'Auxiliar Vendas'!D:G,2,0)</f>
        <v>Produto 05</v>
      </c>
      <c r="U845">
        <v>30</v>
      </c>
      <c r="V845">
        <v>15.2</v>
      </c>
      <c r="W845">
        <v>0.65</v>
      </c>
      <c r="X845">
        <v>10.747</v>
      </c>
      <c r="Y845">
        <v>456</v>
      </c>
      <c r="Z845">
        <v>134</v>
      </c>
      <c r="AA845" t="s">
        <v>80</v>
      </c>
      <c r="AB845">
        <v>0</v>
      </c>
      <c r="AC845">
        <v>0</v>
      </c>
      <c r="AD845" t="s">
        <v>58</v>
      </c>
      <c r="AH845" s="2">
        <v>44564.458333333336</v>
      </c>
      <c r="AI845">
        <v>0</v>
      </c>
      <c r="AJ845">
        <v>0</v>
      </c>
      <c r="AK845" s="30" t="str">
        <f ca="1">VLOOKUP(T845,'Auxiliar Vendas'!E:F,2,FALSE)</f>
        <v>Produto 05</v>
      </c>
      <c r="AL845" s="31">
        <f ca="1">U845*VLOOKUP(T845,'Auxiliar Vendas'!E:G,3,FALSE)</f>
        <v>18</v>
      </c>
    </row>
    <row r="846" spans="1:38">
      <c r="A846">
        <v>15728399805</v>
      </c>
      <c r="B846">
        <v>253</v>
      </c>
      <c r="D846" s="1">
        <v>44564</v>
      </c>
      <c r="E846">
        <v>15611534708</v>
      </c>
      <c r="F846" t="str">
        <f ca="1">VLOOKUP(RANDBETWEEN(1,20),'DBO Compras'!AA:AC,3,0)</f>
        <v>Comprador 08</v>
      </c>
      <c r="G846" t="s">
        <v>360</v>
      </c>
      <c r="H846" t="s">
        <v>361</v>
      </c>
      <c r="I846" t="s">
        <v>362</v>
      </c>
      <c r="J846" t="s">
        <v>39</v>
      </c>
      <c r="K846">
        <v>0</v>
      </c>
      <c r="L846" t="s">
        <v>40</v>
      </c>
      <c r="M846" t="s">
        <v>363</v>
      </c>
      <c r="N846">
        <v>4196366479</v>
      </c>
      <c r="O846">
        <v>0</v>
      </c>
      <c r="P846">
        <v>0</v>
      </c>
      <c r="R846" t="s">
        <v>42</v>
      </c>
      <c r="S846">
        <v>15016087271</v>
      </c>
      <c r="T846" t="str">
        <f ca="1">VLOOKUP(RANDBETWEEN(1,17),'Auxiliar Vendas'!D:G,2,0)</f>
        <v>Produto 08</v>
      </c>
      <c r="U846">
        <v>20</v>
      </c>
      <c r="V846">
        <v>18.27</v>
      </c>
      <c r="W846">
        <v>0</v>
      </c>
      <c r="X846">
        <v>14.4596</v>
      </c>
      <c r="Y846">
        <v>365.4</v>
      </c>
      <c r="Z846">
        <v>147</v>
      </c>
      <c r="AA846" t="s">
        <v>64</v>
      </c>
      <c r="AB846">
        <v>0</v>
      </c>
      <c r="AC846">
        <v>0</v>
      </c>
      <c r="AD846" t="s">
        <v>51</v>
      </c>
      <c r="AH846" s="2">
        <v>44566.71597222222</v>
      </c>
      <c r="AI846">
        <v>0</v>
      </c>
      <c r="AJ846">
        <v>0</v>
      </c>
      <c r="AK846" s="30" t="str">
        <f ca="1">VLOOKUP(T846,'Auxiliar Vendas'!E:F,2,FALSE)</f>
        <v>Produto 08</v>
      </c>
      <c r="AL846" s="31">
        <f ca="1">U846*VLOOKUP(T846,'Auxiliar Vendas'!E:G,3,FALSE)</f>
        <v>22</v>
      </c>
    </row>
    <row r="847" spans="1:38">
      <c r="A847">
        <v>15728399805</v>
      </c>
      <c r="B847">
        <v>253</v>
      </c>
      <c r="D847" s="1">
        <v>44564</v>
      </c>
      <c r="E847">
        <v>15611534708</v>
      </c>
      <c r="F847" t="str">
        <f ca="1">VLOOKUP(RANDBETWEEN(1,20),'DBO Compras'!AA:AC,3,0)</f>
        <v>Comprador 11</v>
      </c>
      <c r="G847" t="s">
        <v>360</v>
      </c>
      <c r="H847" t="s">
        <v>361</v>
      </c>
      <c r="I847" t="s">
        <v>362</v>
      </c>
      <c r="J847" t="s">
        <v>39</v>
      </c>
      <c r="K847">
        <v>0</v>
      </c>
      <c r="L847" t="s">
        <v>40</v>
      </c>
      <c r="M847" t="s">
        <v>363</v>
      </c>
      <c r="N847">
        <v>4196366479</v>
      </c>
      <c r="O847">
        <v>0</v>
      </c>
      <c r="P847">
        <v>0</v>
      </c>
      <c r="R847" t="s">
        <v>42</v>
      </c>
      <c r="S847">
        <v>15016099089</v>
      </c>
      <c r="T847" t="str">
        <f ca="1">VLOOKUP(RANDBETWEEN(1,17),'Auxiliar Vendas'!D:G,2,0)</f>
        <v>Produto 16</v>
      </c>
      <c r="U847">
        <v>50</v>
      </c>
      <c r="V847">
        <v>21.14</v>
      </c>
      <c r="W847">
        <v>0</v>
      </c>
      <c r="X847">
        <v>16.804400000000001</v>
      </c>
      <c r="Y847" s="3">
        <v>1057</v>
      </c>
      <c r="Z847">
        <v>147</v>
      </c>
      <c r="AA847" t="s">
        <v>79</v>
      </c>
      <c r="AB847">
        <v>0</v>
      </c>
      <c r="AC847">
        <v>0</v>
      </c>
      <c r="AD847" t="s">
        <v>51</v>
      </c>
      <c r="AH847" s="2">
        <v>44566.71597222222</v>
      </c>
      <c r="AI847">
        <v>0</v>
      </c>
      <c r="AJ847">
        <v>0</v>
      </c>
      <c r="AK847" s="30" t="str">
        <f ca="1">VLOOKUP(T847,'Auxiliar Vendas'!E:F,2,FALSE)</f>
        <v>Produto 16</v>
      </c>
      <c r="AL847" s="31">
        <f ca="1">U847*VLOOKUP(T847,'Auxiliar Vendas'!E:G,3,FALSE)</f>
        <v>63.5</v>
      </c>
    </row>
    <row r="848" spans="1:38">
      <c r="A848">
        <v>15728690197</v>
      </c>
      <c r="B848">
        <v>254</v>
      </c>
      <c r="D848" s="1">
        <v>44564</v>
      </c>
      <c r="E848">
        <v>15582141432</v>
      </c>
      <c r="F848" t="str">
        <f ca="1">VLOOKUP(RANDBETWEEN(1,20),'DBO Compras'!AA:AC,3,0)</f>
        <v>Comprador 08</v>
      </c>
      <c r="G848" t="s">
        <v>315</v>
      </c>
      <c r="K848">
        <v>0</v>
      </c>
      <c r="M848" t="s">
        <v>316</v>
      </c>
      <c r="N848">
        <v>4184727286</v>
      </c>
      <c r="O848">
        <v>0</v>
      </c>
      <c r="P848">
        <v>0</v>
      </c>
      <c r="R848" t="s">
        <v>42</v>
      </c>
      <c r="S848">
        <v>15016093155</v>
      </c>
      <c r="T848" t="str">
        <f ca="1">VLOOKUP(RANDBETWEEN(1,17),'Auxiliar Vendas'!D:G,2,0)</f>
        <v>Produto 02</v>
      </c>
      <c r="U848">
        <v>30</v>
      </c>
      <c r="V848">
        <v>18.649999999999999</v>
      </c>
      <c r="W848">
        <v>0</v>
      </c>
      <c r="X848">
        <v>14.4596</v>
      </c>
      <c r="Y848">
        <v>559.5</v>
      </c>
      <c r="Z848">
        <v>130</v>
      </c>
      <c r="AA848" t="s">
        <v>65</v>
      </c>
      <c r="AB848">
        <v>0</v>
      </c>
      <c r="AC848">
        <v>0</v>
      </c>
      <c r="AD848" t="s">
        <v>58</v>
      </c>
      <c r="AH848" s="2">
        <v>44565.368750000001</v>
      </c>
      <c r="AI848">
        <v>0</v>
      </c>
      <c r="AJ848">
        <v>0</v>
      </c>
      <c r="AK848" s="30" t="str">
        <f ca="1">VLOOKUP(T848,'Auxiliar Vendas'!E:F,2,FALSE)</f>
        <v>Produto 02</v>
      </c>
      <c r="AL848" s="31">
        <f ca="1">U848*VLOOKUP(T848,'Auxiliar Vendas'!E:G,3,FALSE)</f>
        <v>8.1000000000000014</v>
      </c>
    </row>
    <row r="849" spans="1:38">
      <c r="A849">
        <v>15728708202</v>
      </c>
      <c r="B849">
        <v>255</v>
      </c>
      <c r="D849" s="1">
        <v>44564</v>
      </c>
      <c r="E849">
        <v>15179608501</v>
      </c>
      <c r="F849" t="str">
        <f ca="1">VLOOKUP(RANDBETWEEN(1,20),'DBO Compras'!AA:AC,3,0)</f>
        <v>Comprador 18</v>
      </c>
      <c r="G849" t="s">
        <v>60</v>
      </c>
      <c r="H849" t="s">
        <v>61</v>
      </c>
      <c r="I849" t="s">
        <v>62</v>
      </c>
      <c r="J849" t="s">
        <v>39</v>
      </c>
      <c r="K849">
        <v>82720070</v>
      </c>
      <c r="L849" t="s">
        <v>40</v>
      </c>
      <c r="M849" t="s">
        <v>63</v>
      </c>
      <c r="N849">
        <v>41992354686</v>
      </c>
      <c r="O849">
        <v>0</v>
      </c>
      <c r="P849">
        <v>0</v>
      </c>
      <c r="R849" t="s">
        <v>42</v>
      </c>
      <c r="S849">
        <v>15016043939</v>
      </c>
      <c r="T849" t="str">
        <f ca="1">VLOOKUP(RANDBETWEEN(1,17),'Auxiliar Vendas'!D:G,2,0)</f>
        <v>Produto 16</v>
      </c>
      <c r="U849">
        <v>300</v>
      </c>
      <c r="V849">
        <v>3.9990000000000001</v>
      </c>
      <c r="W849">
        <v>71.64</v>
      </c>
      <c r="X849">
        <v>10.747</v>
      </c>
      <c r="Y849" s="3">
        <v>1199.7</v>
      </c>
      <c r="Z849">
        <v>42</v>
      </c>
      <c r="AA849" t="s">
        <v>50</v>
      </c>
      <c r="AB849">
        <v>0</v>
      </c>
      <c r="AC849">
        <v>0</v>
      </c>
      <c r="AD849" t="s">
        <v>58</v>
      </c>
      <c r="AI849">
        <v>0</v>
      </c>
      <c r="AJ849">
        <v>0</v>
      </c>
      <c r="AK849" s="30" t="str">
        <f ca="1">VLOOKUP(T849,'Auxiliar Vendas'!E:F,2,FALSE)</f>
        <v>Produto 16</v>
      </c>
      <c r="AL849" s="31">
        <f ca="1">U849*VLOOKUP(T849,'Auxiliar Vendas'!E:G,3,FALSE)</f>
        <v>381</v>
      </c>
    </row>
    <row r="850" spans="1:38">
      <c r="A850">
        <v>15729107972</v>
      </c>
      <c r="B850">
        <v>256</v>
      </c>
      <c r="D850" s="1">
        <v>44564</v>
      </c>
      <c r="E850">
        <v>15179581888</v>
      </c>
      <c r="F850" t="str">
        <f ca="1">VLOOKUP(RANDBETWEEN(1,20),'DBO Compras'!AA:AC,3,0)</f>
        <v>Comprador 14</v>
      </c>
      <c r="G850" t="s">
        <v>54</v>
      </c>
      <c r="H850" t="s">
        <v>55</v>
      </c>
      <c r="I850" t="s">
        <v>56</v>
      </c>
      <c r="J850" t="s">
        <v>39</v>
      </c>
      <c r="K850">
        <v>81350610</v>
      </c>
      <c r="L850" t="s">
        <v>40</v>
      </c>
      <c r="M850" t="s">
        <v>57</v>
      </c>
      <c r="N850">
        <v>41996849234</v>
      </c>
      <c r="O850">
        <v>0</v>
      </c>
      <c r="P850">
        <v>0</v>
      </c>
      <c r="R850" t="s">
        <v>42</v>
      </c>
      <c r="S850">
        <v>15016049144</v>
      </c>
      <c r="T850" t="str">
        <f ca="1">VLOOKUP(RANDBETWEEN(1,17),'Auxiliar Vendas'!D:G,2,0)</f>
        <v>Produto 10</v>
      </c>
      <c r="U850">
        <v>700</v>
      </c>
      <c r="V850">
        <v>7.04</v>
      </c>
      <c r="W850">
        <v>14.98</v>
      </c>
      <c r="X850">
        <v>5.8620000000000001</v>
      </c>
      <c r="Y850" s="3">
        <v>4928</v>
      </c>
      <c r="Z850">
        <v>41</v>
      </c>
      <c r="AA850" t="s">
        <v>267</v>
      </c>
      <c r="AB850">
        <v>0</v>
      </c>
      <c r="AC850">
        <v>0</v>
      </c>
      <c r="AD850" t="s">
        <v>58</v>
      </c>
      <c r="AI850">
        <v>0</v>
      </c>
      <c r="AJ850">
        <v>0</v>
      </c>
      <c r="AK850" s="30" t="str">
        <f ca="1">VLOOKUP(T850,'Auxiliar Vendas'!E:F,2,FALSE)</f>
        <v>Produto 10</v>
      </c>
      <c r="AL850" s="31">
        <f ca="1">U850*VLOOKUP(T850,'Auxiliar Vendas'!E:G,3,FALSE)</f>
        <v>770.00000000000011</v>
      </c>
    </row>
    <row r="851" spans="1:38">
      <c r="A851">
        <v>15729107972</v>
      </c>
      <c r="B851">
        <v>256</v>
      </c>
      <c r="D851" s="1">
        <v>44564</v>
      </c>
      <c r="E851">
        <v>15179581888</v>
      </c>
      <c r="F851" t="str">
        <f ca="1">VLOOKUP(RANDBETWEEN(1,20),'DBO Compras'!AA:AC,3,0)</f>
        <v>Comprador 17</v>
      </c>
      <c r="G851" t="s">
        <v>54</v>
      </c>
      <c r="H851" t="s">
        <v>55</v>
      </c>
      <c r="I851" t="s">
        <v>56</v>
      </c>
      <c r="J851" t="s">
        <v>39</v>
      </c>
      <c r="K851">
        <v>81350610</v>
      </c>
      <c r="L851" t="s">
        <v>40</v>
      </c>
      <c r="M851" t="s">
        <v>57</v>
      </c>
      <c r="N851">
        <v>41996849234</v>
      </c>
      <c r="O851">
        <v>0</v>
      </c>
      <c r="P851">
        <v>0</v>
      </c>
      <c r="R851" t="s">
        <v>42</v>
      </c>
      <c r="S851">
        <v>15016043939</v>
      </c>
      <c r="T851" t="str">
        <f ca="1">VLOOKUP(RANDBETWEEN(1,17),'Auxiliar Vendas'!D:G,2,0)</f>
        <v>Produto 09</v>
      </c>
      <c r="U851">
        <v>600</v>
      </c>
      <c r="V851">
        <v>12.38</v>
      </c>
      <c r="W851">
        <v>12.2</v>
      </c>
      <c r="X851">
        <v>10.747</v>
      </c>
      <c r="Y851" s="3">
        <v>7428</v>
      </c>
      <c r="Z851">
        <v>41</v>
      </c>
      <c r="AA851" t="s">
        <v>50</v>
      </c>
      <c r="AB851">
        <v>0</v>
      </c>
      <c r="AC851">
        <v>0</v>
      </c>
      <c r="AD851" t="s">
        <v>58</v>
      </c>
      <c r="AI851">
        <v>0</v>
      </c>
      <c r="AJ851">
        <v>0</v>
      </c>
      <c r="AK851" s="30" t="str">
        <f ca="1">VLOOKUP(T851,'Auxiliar Vendas'!E:F,2,FALSE)</f>
        <v>Produto 09</v>
      </c>
      <c r="AL851" s="31">
        <f ca="1">U851*VLOOKUP(T851,'Auxiliar Vendas'!E:G,3,FALSE)</f>
        <v>660</v>
      </c>
    </row>
    <row r="852" spans="1:38">
      <c r="A852">
        <v>15729107972</v>
      </c>
      <c r="B852">
        <v>256</v>
      </c>
      <c r="D852" s="1">
        <v>44564</v>
      </c>
      <c r="E852">
        <v>15179581888</v>
      </c>
      <c r="F852" t="str">
        <f ca="1">VLOOKUP(RANDBETWEEN(1,20),'DBO Compras'!AA:AC,3,0)</f>
        <v>Comprador 06</v>
      </c>
      <c r="G852" t="s">
        <v>54</v>
      </c>
      <c r="H852" t="s">
        <v>55</v>
      </c>
      <c r="I852" t="s">
        <v>56</v>
      </c>
      <c r="J852" t="s">
        <v>39</v>
      </c>
      <c r="K852">
        <v>81350610</v>
      </c>
      <c r="L852" t="s">
        <v>40</v>
      </c>
      <c r="M852" t="s">
        <v>57</v>
      </c>
      <c r="N852">
        <v>41996849234</v>
      </c>
      <c r="O852">
        <v>0</v>
      </c>
      <c r="P852">
        <v>0</v>
      </c>
      <c r="R852" t="s">
        <v>42</v>
      </c>
      <c r="S852">
        <v>15016073255</v>
      </c>
      <c r="T852" t="str">
        <f ca="1">VLOOKUP(RANDBETWEEN(1,17),'Auxiliar Vendas'!D:G,2,0)</f>
        <v>Produto 15</v>
      </c>
      <c r="U852">
        <v>50</v>
      </c>
      <c r="V852">
        <v>14.9</v>
      </c>
      <c r="W852">
        <v>10.24</v>
      </c>
      <c r="X852">
        <v>10.747</v>
      </c>
      <c r="Y852">
        <v>745</v>
      </c>
      <c r="Z852">
        <v>41</v>
      </c>
      <c r="AA852" t="s">
        <v>160</v>
      </c>
      <c r="AB852">
        <v>0</v>
      </c>
      <c r="AC852">
        <v>0</v>
      </c>
      <c r="AD852" t="s">
        <v>58</v>
      </c>
      <c r="AI852">
        <v>0</v>
      </c>
      <c r="AJ852">
        <v>0</v>
      </c>
      <c r="AK852" s="30" t="str">
        <f ca="1">VLOOKUP(T852,'Auxiliar Vendas'!E:F,2,FALSE)</f>
        <v>Produto 15</v>
      </c>
      <c r="AL852" s="31">
        <f ca="1">U852*VLOOKUP(T852,'Auxiliar Vendas'!E:G,3,FALSE)</f>
        <v>71</v>
      </c>
    </row>
    <row r="853" spans="1:38">
      <c r="A853">
        <v>15730527844</v>
      </c>
      <c r="B853">
        <v>257</v>
      </c>
      <c r="D853" s="1">
        <v>44564</v>
      </c>
      <c r="E853">
        <v>15059073318</v>
      </c>
      <c r="F853" t="str">
        <f ca="1">VLOOKUP(RANDBETWEEN(1,20),'DBO Compras'!AA:AC,3,0)</f>
        <v>Comprador 19</v>
      </c>
      <c r="G853" t="s">
        <v>174</v>
      </c>
      <c r="H853" t="s">
        <v>473</v>
      </c>
      <c r="I853" t="s">
        <v>474</v>
      </c>
      <c r="J853" t="s">
        <v>175</v>
      </c>
      <c r="K853">
        <v>88390000</v>
      </c>
      <c r="L853" t="s">
        <v>92</v>
      </c>
      <c r="M853" t="s">
        <v>176</v>
      </c>
      <c r="N853">
        <v>47999669374</v>
      </c>
      <c r="O853">
        <v>0</v>
      </c>
      <c r="P853">
        <v>0</v>
      </c>
      <c r="R853" t="s">
        <v>302</v>
      </c>
      <c r="S853">
        <v>15016073255</v>
      </c>
      <c r="T853" t="str">
        <f ca="1">VLOOKUP(RANDBETWEEN(1,17),'Auxiliar Vendas'!D:G,2,0)</f>
        <v>Produto 17</v>
      </c>
      <c r="U853">
        <v>150</v>
      </c>
      <c r="V853">
        <v>15.9</v>
      </c>
      <c r="W853">
        <v>0</v>
      </c>
      <c r="X853">
        <v>10.747</v>
      </c>
      <c r="Y853" s="3">
        <v>2385</v>
      </c>
      <c r="Z853">
        <v>30</v>
      </c>
      <c r="AA853" t="s">
        <v>160</v>
      </c>
      <c r="AB853">
        <v>0</v>
      </c>
      <c r="AC853">
        <v>0</v>
      </c>
      <c r="AD853" t="s">
        <v>189</v>
      </c>
      <c r="AI853">
        <v>0</v>
      </c>
      <c r="AJ853">
        <v>0</v>
      </c>
      <c r="AK853" s="30" t="str">
        <f ca="1">VLOOKUP(T853,'Auxiliar Vendas'!E:F,2,FALSE)</f>
        <v>Produto 17</v>
      </c>
      <c r="AL853" s="31">
        <f ca="1">U853*VLOOKUP(T853,'Auxiliar Vendas'!E:G,3,FALSE)</f>
        <v>213</v>
      </c>
    </row>
    <row r="854" spans="1:38">
      <c r="A854">
        <v>15730527844</v>
      </c>
      <c r="B854">
        <v>257</v>
      </c>
      <c r="D854" s="1">
        <v>44564</v>
      </c>
      <c r="E854">
        <v>15059073318</v>
      </c>
      <c r="F854" t="str">
        <f ca="1">VLOOKUP(RANDBETWEEN(1,20),'DBO Compras'!AA:AC,3,0)</f>
        <v>Comprador 10</v>
      </c>
      <c r="G854" t="s">
        <v>174</v>
      </c>
      <c r="H854" t="s">
        <v>473</v>
      </c>
      <c r="I854" t="s">
        <v>474</v>
      </c>
      <c r="J854" t="s">
        <v>175</v>
      </c>
      <c r="K854">
        <v>88390000</v>
      </c>
      <c r="L854" t="s">
        <v>92</v>
      </c>
      <c r="M854" t="s">
        <v>176</v>
      </c>
      <c r="N854">
        <v>47999669374</v>
      </c>
      <c r="O854">
        <v>0</v>
      </c>
      <c r="P854">
        <v>0</v>
      </c>
      <c r="R854" t="s">
        <v>302</v>
      </c>
      <c r="S854">
        <v>15016043939</v>
      </c>
      <c r="T854" t="str">
        <f ca="1">VLOOKUP(RANDBETWEEN(1,17),'Auxiliar Vendas'!D:G,2,0)</f>
        <v>Produto 03</v>
      </c>
      <c r="U854">
        <v>150</v>
      </c>
      <c r="V854">
        <v>13.5</v>
      </c>
      <c r="W854">
        <v>0</v>
      </c>
      <c r="X854">
        <v>10.747</v>
      </c>
      <c r="Y854" s="3">
        <v>2025</v>
      </c>
      <c r="Z854">
        <v>30</v>
      </c>
      <c r="AA854" t="s">
        <v>50</v>
      </c>
      <c r="AB854">
        <v>0</v>
      </c>
      <c r="AC854">
        <v>0</v>
      </c>
      <c r="AD854" t="s">
        <v>189</v>
      </c>
      <c r="AI854">
        <v>0</v>
      </c>
      <c r="AJ854">
        <v>0</v>
      </c>
      <c r="AK854" s="30" t="str">
        <f ca="1">VLOOKUP(T854,'Auxiliar Vendas'!E:F,2,FALSE)</f>
        <v>Produto 03</v>
      </c>
      <c r="AL854" s="31">
        <f ca="1">U854*VLOOKUP(T854,'Auxiliar Vendas'!E:G,3,FALSE)</f>
        <v>90</v>
      </c>
    </row>
    <row r="855" spans="1:38">
      <c r="A855">
        <v>15730527844</v>
      </c>
      <c r="B855">
        <v>257</v>
      </c>
      <c r="D855" s="1">
        <v>44564</v>
      </c>
      <c r="E855">
        <v>15059073318</v>
      </c>
      <c r="F855" t="str">
        <f ca="1">VLOOKUP(RANDBETWEEN(1,20),'DBO Compras'!AA:AC,3,0)</f>
        <v>Comprador 02</v>
      </c>
      <c r="G855" t="s">
        <v>174</v>
      </c>
      <c r="H855" t="s">
        <v>473</v>
      </c>
      <c r="I855" t="s">
        <v>474</v>
      </c>
      <c r="J855" t="s">
        <v>175</v>
      </c>
      <c r="K855">
        <v>88390000</v>
      </c>
      <c r="L855" t="s">
        <v>92</v>
      </c>
      <c r="M855" t="s">
        <v>176</v>
      </c>
      <c r="N855">
        <v>47999669374</v>
      </c>
      <c r="O855">
        <v>0</v>
      </c>
      <c r="P855">
        <v>0</v>
      </c>
      <c r="R855" t="s">
        <v>302</v>
      </c>
      <c r="S855">
        <v>15016049144</v>
      </c>
      <c r="T855" t="str">
        <f ca="1">VLOOKUP(RANDBETWEEN(1,17),'Auxiliar Vendas'!D:G,2,0)</f>
        <v>Produto 16</v>
      </c>
      <c r="U855">
        <v>100</v>
      </c>
      <c r="V855">
        <v>7.9</v>
      </c>
      <c r="W855">
        <v>0</v>
      </c>
      <c r="X855">
        <v>5.8620000000000001</v>
      </c>
      <c r="Y855">
        <v>790</v>
      </c>
      <c r="Z855">
        <v>30</v>
      </c>
      <c r="AA855" t="s">
        <v>267</v>
      </c>
      <c r="AB855">
        <v>0</v>
      </c>
      <c r="AC855">
        <v>0</v>
      </c>
      <c r="AD855" t="s">
        <v>189</v>
      </c>
      <c r="AI855">
        <v>0</v>
      </c>
      <c r="AJ855">
        <v>0</v>
      </c>
      <c r="AK855" s="30" t="str">
        <f ca="1">VLOOKUP(T855,'Auxiliar Vendas'!E:F,2,FALSE)</f>
        <v>Produto 16</v>
      </c>
      <c r="AL855" s="31">
        <f ca="1">U855*VLOOKUP(T855,'Auxiliar Vendas'!E:G,3,FALSE)</f>
        <v>127</v>
      </c>
    </row>
    <row r="856" spans="1:38">
      <c r="A856">
        <v>15730527844</v>
      </c>
      <c r="B856">
        <v>257</v>
      </c>
      <c r="D856" s="1">
        <v>44564</v>
      </c>
      <c r="E856">
        <v>15059073318</v>
      </c>
      <c r="F856" t="str">
        <f ca="1">VLOOKUP(RANDBETWEEN(1,20),'DBO Compras'!AA:AC,3,0)</f>
        <v>Comprador 17</v>
      </c>
      <c r="G856" t="s">
        <v>174</v>
      </c>
      <c r="H856" t="s">
        <v>473</v>
      </c>
      <c r="I856" t="s">
        <v>474</v>
      </c>
      <c r="J856" t="s">
        <v>175</v>
      </c>
      <c r="K856">
        <v>88390000</v>
      </c>
      <c r="L856" t="s">
        <v>92</v>
      </c>
      <c r="M856" t="s">
        <v>176</v>
      </c>
      <c r="N856">
        <v>47999669374</v>
      </c>
      <c r="O856">
        <v>0</v>
      </c>
      <c r="P856">
        <v>0</v>
      </c>
      <c r="R856" t="s">
        <v>302</v>
      </c>
      <c r="S856">
        <v>15395751673</v>
      </c>
      <c r="T856" t="str">
        <f ca="1">VLOOKUP(RANDBETWEEN(1,17),'Auxiliar Vendas'!D:G,2,0)</f>
        <v>Produto 05</v>
      </c>
      <c r="U856">
        <v>50</v>
      </c>
      <c r="V856">
        <v>7.9</v>
      </c>
      <c r="W856">
        <v>0</v>
      </c>
      <c r="X856">
        <v>5.8620000000000001</v>
      </c>
      <c r="Y856">
        <v>395</v>
      </c>
      <c r="Z856">
        <v>30</v>
      </c>
      <c r="AA856" t="s">
        <v>268</v>
      </c>
      <c r="AB856">
        <v>0</v>
      </c>
      <c r="AC856">
        <v>0</v>
      </c>
      <c r="AD856" t="s">
        <v>189</v>
      </c>
      <c r="AI856">
        <v>0</v>
      </c>
      <c r="AJ856">
        <v>0</v>
      </c>
      <c r="AK856" s="30" t="str">
        <f ca="1">VLOOKUP(T856,'Auxiliar Vendas'!E:F,2,FALSE)</f>
        <v>Produto 05</v>
      </c>
      <c r="AL856" s="31">
        <f ca="1">U856*VLOOKUP(T856,'Auxiliar Vendas'!E:G,3,FALSE)</f>
        <v>30</v>
      </c>
    </row>
    <row r="857" spans="1:38">
      <c r="A857">
        <v>15730527844</v>
      </c>
      <c r="B857">
        <v>257</v>
      </c>
      <c r="D857" s="1">
        <v>44564</v>
      </c>
      <c r="E857">
        <v>15059073318</v>
      </c>
      <c r="F857" t="str">
        <f ca="1">VLOOKUP(RANDBETWEEN(1,20),'DBO Compras'!AA:AC,3,0)</f>
        <v>Comprador 17</v>
      </c>
      <c r="G857" t="s">
        <v>174</v>
      </c>
      <c r="H857" t="s">
        <v>473</v>
      </c>
      <c r="I857" t="s">
        <v>474</v>
      </c>
      <c r="J857" t="s">
        <v>175</v>
      </c>
      <c r="K857">
        <v>88390000</v>
      </c>
      <c r="L857" t="s">
        <v>92</v>
      </c>
      <c r="M857" t="s">
        <v>176</v>
      </c>
      <c r="N857">
        <v>47999669374</v>
      </c>
      <c r="O857">
        <v>0</v>
      </c>
      <c r="P857">
        <v>0</v>
      </c>
      <c r="R857" t="s">
        <v>302</v>
      </c>
      <c r="S857">
        <v>15016087271</v>
      </c>
      <c r="T857" t="str">
        <f ca="1">VLOOKUP(RANDBETWEEN(1,17),'Auxiliar Vendas'!D:G,2,0)</f>
        <v>Produto 04</v>
      </c>
      <c r="U857">
        <v>50</v>
      </c>
      <c r="V857">
        <v>17.899999999999999</v>
      </c>
      <c r="W857">
        <v>0</v>
      </c>
      <c r="X857">
        <v>14.4596</v>
      </c>
      <c r="Y857">
        <v>895</v>
      </c>
      <c r="Z857">
        <v>30</v>
      </c>
      <c r="AA857" t="s">
        <v>64</v>
      </c>
      <c r="AB857">
        <v>0</v>
      </c>
      <c r="AC857">
        <v>0</v>
      </c>
      <c r="AD857" t="s">
        <v>189</v>
      </c>
      <c r="AI857">
        <v>0</v>
      </c>
      <c r="AJ857">
        <v>0</v>
      </c>
      <c r="AK857" s="30" t="str">
        <f ca="1">VLOOKUP(T857,'Auxiliar Vendas'!E:F,2,FALSE)</f>
        <v>Produto 04</v>
      </c>
      <c r="AL857" s="31">
        <f ca="1">U857*VLOOKUP(T857,'Auxiliar Vendas'!E:G,3,FALSE)</f>
        <v>30</v>
      </c>
    </row>
    <row r="858" spans="1:38">
      <c r="A858">
        <v>15730527844</v>
      </c>
      <c r="B858">
        <v>257</v>
      </c>
      <c r="D858" s="1">
        <v>44564</v>
      </c>
      <c r="E858">
        <v>15059073318</v>
      </c>
      <c r="F858" t="str">
        <f ca="1">VLOOKUP(RANDBETWEEN(1,20),'DBO Compras'!AA:AC,3,0)</f>
        <v>Comprador 09</v>
      </c>
      <c r="G858" t="s">
        <v>174</v>
      </c>
      <c r="H858" t="s">
        <v>473</v>
      </c>
      <c r="I858" t="s">
        <v>474</v>
      </c>
      <c r="J858" t="s">
        <v>175</v>
      </c>
      <c r="K858">
        <v>88390000</v>
      </c>
      <c r="L858" t="s">
        <v>92</v>
      </c>
      <c r="M858" t="s">
        <v>176</v>
      </c>
      <c r="N858">
        <v>47999669374</v>
      </c>
      <c r="O858">
        <v>0</v>
      </c>
      <c r="P858">
        <v>0</v>
      </c>
      <c r="R858" t="s">
        <v>302</v>
      </c>
      <c r="S858">
        <v>15016099089</v>
      </c>
      <c r="T858" t="str">
        <f ca="1">VLOOKUP(RANDBETWEEN(1,17),'Auxiliar Vendas'!D:G,2,0)</f>
        <v>Produto 14</v>
      </c>
      <c r="U858">
        <v>100</v>
      </c>
      <c r="V858">
        <v>20.9</v>
      </c>
      <c r="W858">
        <v>0</v>
      </c>
      <c r="X858">
        <v>16.804400000000001</v>
      </c>
      <c r="Y858" s="3">
        <v>2090</v>
      </c>
      <c r="Z858">
        <v>30</v>
      </c>
      <c r="AA858" t="s">
        <v>79</v>
      </c>
      <c r="AB858">
        <v>0</v>
      </c>
      <c r="AC858">
        <v>0</v>
      </c>
      <c r="AD858" t="s">
        <v>189</v>
      </c>
      <c r="AI858">
        <v>0</v>
      </c>
      <c r="AJ858">
        <v>0</v>
      </c>
      <c r="AK858" s="30" t="str">
        <f ca="1">VLOOKUP(T858,'Auxiliar Vendas'!E:F,2,FALSE)</f>
        <v>Produto 14</v>
      </c>
      <c r="AL858" s="31">
        <f ca="1">U858*VLOOKUP(T858,'Auxiliar Vendas'!E:G,3,FALSE)</f>
        <v>140</v>
      </c>
    </row>
    <row r="859" spans="1:38">
      <c r="A859">
        <v>15730527844</v>
      </c>
      <c r="B859">
        <v>257</v>
      </c>
      <c r="D859" s="1">
        <v>44564</v>
      </c>
      <c r="E859">
        <v>15059073318</v>
      </c>
      <c r="F859" t="str">
        <f ca="1">VLOOKUP(RANDBETWEEN(1,20),'DBO Compras'!AA:AC,3,0)</f>
        <v>Comprador 16</v>
      </c>
      <c r="G859" t="s">
        <v>174</v>
      </c>
      <c r="H859" t="s">
        <v>473</v>
      </c>
      <c r="I859" t="s">
        <v>474</v>
      </c>
      <c r="J859" t="s">
        <v>175</v>
      </c>
      <c r="K859">
        <v>88390000</v>
      </c>
      <c r="L859" t="s">
        <v>92</v>
      </c>
      <c r="M859" t="s">
        <v>176</v>
      </c>
      <c r="N859">
        <v>47999669374</v>
      </c>
      <c r="O859">
        <v>0</v>
      </c>
      <c r="P859">
        <v>0</v>
      </c>
      <c r="R859" t="s">
        <v>302</v>
      </c>
      <c r="S859">
        <v>15016093155</v>
      </c>
      <c r="T859" t="str">
        <f ca="1">VLOOKUP(RANDBETWEEN(1,17),'Auxiliar Vendas'!D:G,2,0)</f>
        <v>Produto 12</v>
      </c>
      <c r="U859">
        <v>100</v>
      </c>
      <c r="V859">
        <v>17.899999999999999</v>
      </c>
      <c r="W859">
        <v>0</v>
      </c>
      <c r="X859">
        <v>14.4596</v>
      </c>
      <c r="Y859" s="3">
        <v>1790</v>
      </c>
      <c r="Z859">
        <v>30</v>
      </c>
      <c r="AA859" t="s">
        <v>65</v>
      </c>
      <c r="AB859">
        <v>0</v>
      </c>
      <c r="AC859">
        <v>0</v>
      </c>
      <c r="AD859" t="s">
        <v>189</v>
      </c>
      <c r="AI859">
        <v>0</v>
      </c>
      <c r="AJ859">
        <v>0</v>
      </c>
      <c r="AK859" s="30" t="str">
        <f ca="1">VLOOKUP(T859,'Auxiliar Vendas'!E:F,2,FALSE)</f>
        <v>Produto 12</v>
      </c>
      <c r="AL859" s="31">
        <f ca="1">U859*VLOOKUP(T859,'Auxiliar Vendas'!E:G,3,FALSE)</f>
        <v>140</v>
      </c>
    </row>
    <row r="860" spans="1:38">
      <c r="A860">
        <v>15731497021</v>
      </c>
      <c r="B860">
        <v>258</v>
      </c>
      <c r="D860" s="1">
        <v>44564</v>
      </c>
      <c r="E860">
        <v>15611778558</v>
      </c>
      <c r="F860" t="str">
        <f ca="1">VLOOKUP(RANDBETWEEN(1,20),'DBO Compras'!AA:AC,3,0)</f>
        <v>Comprador 03</v>
      </c>
      <c r="G860" t="s">
        <v>364</v>
      </c>
      <c r="H860" t="s">
        <v>365</v>
      </c>
      <c r="I860" t="s">
        <v>366</v>
      </c>
      <c r="J860" t="s">
        <v>193</v>
      </c>
      <c r="K860">
        <v>89228000</v>
      </c>
      <c r="L860" t="s">
        <v>92</v>
      </c>
      <c r="M860" t="s">
        <v>367</v>
      </c>
      <c r="N860">
        <v>47999797166</v>
      </c>
      <c r="O860">
        <v>0</v>
      </c>
      <c r="P860">
        <v>0</v>
      </c>
      <c r="R860" t="s">
        <v>42</v>
      </c>
      <c r="S860">
        <v>15738247292</v>
      </c>
      <c r="T860" t="str">
        <f ca="1">VLOOKUP(RANDBETWEEN(1,17),'Auxiliar Vendas'!D:G,2,0)</f>
        <v>Produto 09</v>
      </c>
      <c r="U860">
        <v>232</v>
      </c>
      <c r="V860">
        <v>32.57</v>
      </c>
      <c r="W860">
        <v>0</v>
      </c>
      <c r="X860">
        <v>0</v>
      </c>
      <c r="Y860" s="3">
        <v>7556.24</v>
      </c>
      <c r="Z860">
        <v>148</v>
      </c>
      <c r="AA860" t="s">
        <v>478</v>
      </c>
      <c r="AB860">
        <v>0</v>
      </c>
      <c r="AC860">
        <v>0</v>
      </c>
      <c r="AD860" t="s">
        <v>189</v>
      </c>
      <c r="AH860" s="2">
        <v>44567.406944444447</v>
      </c>
      <c r="AI860">
        <v>0</v>
      </c>
      <c r="AJ860">
        <v>0</v>
      </c>
      <c r="AK860" s="30" t="str">
        <f ca="1">VLOOKUP(T860,'Auxiliar Vendas'!E:F,2,FALSE)</f>
        <v>Produto 09</v>
      </c>
      <c r="AL860" s="31">
        <f ca="1">U860*VLOOKUP(T860,'Auxiliar Vendas'!E:G,3,FALSE)</f>
        <v>255.20000000000002</v>
      </c>
    </row>
    <row r="861" spans="1:38">
      <c r="A861">
        <v>15732138180</v>
      </c>
      <c r="B861">
        <v>259</v>
      </c>
      <c r="D861" s="1">
        <v>44564</v>
      </c>
      <c r="E861">
        <v>15058698393</v>
      </c>
      <c r="F861" t="str">
        <f ca="1">VLOOKUP(RANDBETWEEN(1,20),'DBO Compras'!AA:AC,3,0)</f>
        <v>Comprador 19</v>
      </c>
      <c r="G861" t="s">
        <v>67</v>
      </c>
      <c r="H861" t="s">
        <v>68</v>
      </c>
      <c r="I861" t="s">
        <v>69</v>
      </c>
      <c r="J861" t="s">
        <v>70</v>
      </c>
      <c r="K861">
        <v>83320382</v>
      </c>
      <c r="L861" t="s">
        <v>40</v>
      </c>
      <c r="M861" t="s">
        <v>71</v>
      </c>
      <c r="N861">
        <v>41998972354</v>
      </c>
      <c r="O861">
        <v>0</v>
      </c>
      <c r="P861">
        <v>0</v>
      </c>
      <c r="R861" t="s">
        <v>42</v>
      </c>
      <c r="S861">
        <v>15016043939</v>
      </c>
      <c r="T861" t="str">
        <f ca="1">VLOOKUP(RANDBETWEEN(1,17),'Auxiliar Vendas'!D:G,2,0)</f>
        <v>Produto 03</v>
      </c>
      <c r="U861">
        <v>100</v>
      </c>
      <c r="V861">
        <v>12.45</v>
      </c>
      <c r="W861">
        <v>0</v>
      </c>
      <c r="X861">
        <v>10.747</v>
      </c>
      <c r="Y861" s="3">
        <v>1245</v>
      </c>
      <c r="Z861">
        <v>18</v>
      </c>
      <c r="AA861" t="s">
        <v>50</v>
      </c>
      <c r="AB861">
        <v>0</v>
      </c>
      <c r="AC861">
        <v>0</v>
      </c>
      <c r="AD861" t="s">
        <v>58</v>
      </c>
      <c r="AH861" s="2">
        <v>44565.589583333334</v>
      </c>
      <c r="AI861">
        <v>0</v>
      </c>
      <c r="AJ861">
        <v>0</v>
      </c>
      <c r="AK861" s="30" t="str">
        <f ca="1">VLOOKUP(T861,'Auxiliar Vendas'!E:F,2,FALSE)</f>
        <v>Produto 03</v>
      </c>
      <c r="AL861" s="31">
        <f ca="1">U861*VLOOKUP(T861,'Auxiliar Vendas'!E:G,3,FALSE)</f>
        <v>60</v>
      </c>
    </row>
    <row r="862" spans="1:38">
      <c r="A862">
        <v>15732138180</v>
      </c>
      <c r="B862">
        <v>259</v>
      </c>
      <c r="D862" s="1">
        <v>44564</v>
      </c>
      <c r="E862">
        <v>15058698393</v>
      </c>
      <c r="F862" t="str">
        <f ca="1">VLOOKUP(RANDBETWEEN(1,20),'DBO Compras'!AA:AC,3,0)</f>
        <v>Comprador 16</v>
      </c>
      <c r="G862" t="s">
        <v>67</v>
      </c>
      <c r="H862" t="s">
        <v>68</v>
      </c>
      <c r="I862" t="s">
        <v>69</v>
      </c>
      <c r="J862" t="s">
        <v>70</v>
      </c>
      <c r="K862">
        <v>83320382</v>
      </c>
      <c r="L862" t="s">
        <v>40</v>
      </c>
      <c r="M862" t="s">
        <v>71</v>
      </c>
      <c r="N862">
        <v>41998972354</v>
      </c>
      <c r="O862">
        <v>0</v>
      </c>
      <c r="P862">
        <v>0</v>
      </c>
      <c r="R862" t="s">
        <v>42</v>
      </c>
      <c r="S862">
        <v>15016066088</v>
      </c>
      <c r="T862" t="str">
        <f ca="1">VLOOKUP(RANDBETWEEN(1,17),'Auxiliar Vendas'!D:G,2,0)</f>
        <v>Produto 02</v>
      </c>
      <c r="U862">
        <v>50</v>
      </c>
      <c r="V862">
        <v>14.65</v>
      </c>
      <c r="W862">
        <v>0</v>
      </c>
      <c r="X862">
        <v>10.747</v>
      </c>
      <c r="Y862">
        <v>732.5</v>
      </c>
      <c r="Z862">
        <v>18</v>
      </c>
      <c r="AA862" t="s">
        <v>126</v>
      </c>
      <c r="AB862">
        <v>0</v>
      </c>
      <c r="AC862">
        <v>0</v>
      </c>
      <c r="AD862" t="s">
        <v>58</v>
      </c>
      <c r="AH862" s="2">
        <v>44565.589583333334</v>
      </c>
      <c r="AI862">
        <v>0</v>
      </c>
      <c r="AJ862">
        <v>0</v>
      </c>
      <c r="AK862" s="30" t="str">
        <f ca="1">VLOOKUP(T862,'Auxiliar Vendas'!E:F,2,FALSE)</f>
        <v>Produto 02</v>
      </c>
      <c r="AL862" s="31">
        <f ca="1">U862*VLOOKUP(T862,'Auxiliar Vendas'!E:G,3,FALSE)</f>
        <v>13.5</v>
      </c>
    </row>
    <row r="863" spans="1:38">
      <c r="A863">
        <v>15732138180</v>
      </c>
      <c r="B863">
        <v>259</v>
      </c>
      <c r="D863" s="1">
        <v>44564</v>
      </c>
      <c r="E863">
        <v>15058698393</v>
      </c>
      <c r="F863" t="str">
        <f ca="1">VLOOKUP(RANDBETWEEN(1,20),'DBO Compras'!AA:AC,3,0)</f>
        <v>Comprador 06</v>
      </c>
      <c r="G863" t="s">
        <v>67</v>
      </c>
      <c r="H863" t="s">
        <v>68</v>
      </c>
      <c r="I863" t="s">
        <v>69</v>
      </c>
      <c r="J863" t="s">
        <v>70</v>
      </c>
      <c r="K863">
        <v>83320382</v>
      </c>
      <c r="L863" t="s">
        <v>40</v>
      </c>
      <c r="M863" t="s">
        <v>71</v>
      </c>
      <c r="N863">
        <v>41998972354</v>
      </c>
      <c r="O863">
        <v>0</v>
      </c>
      <c r="P863">
        <v>0</v>
      </c>
      <c r="R863" t="s">
        <v>42</v>
      </c>
      <c r="S863">
        <v>15016093155</v>
      </c>
      <c r="T863" t="str">
        <f ca="1">VLOOKUP(RANDBETWEEN(1,17),'Auxiliar Vendas'!D:G,2,0)</f>
        <v>Produto 08</v>
      </c>
      <c r="U863">
        <v>200</v>
      </c>
      <c r="V863">
        <v>16.7</v>
      </c>
      <c r="W863">
        <v>0</v>
      </c>
      <c r="X863">
        <v>14.4596</v>
      </c>
      <c r="Y863" s="3">
        <v>3340</v>
      </c>
      <c r="Z863">
        <v>18</v>
      </c>
      <c r="AA863" t="s">
        <v>65</v>
      </c>
      <c r="AB863">
        <v>0</v>
      </c>
      <c r="AC863">
        <v>0</v>
      </c>
      <c r="AD863" t="s">
        <v>58</v>
      </c>
      <c r="AH863" s="2">
        <v>44565.589583333334</v>
      </c>
      <c r="AI863">
        <v>0</v>
      </c>
      <c r="AJ863">
        <v>0</v>
      </c>
      <c r="AK863" s="30" t="str">
        <f ca="1">VLOOKUP(T863,'Auxiliar Vendas'!E:F,2,FALSE)</f>
        <v>Produto 08</v>
      </c>
      <c r="AL863" s="31">
        <f ca="1">U863*VLOOKUP(T863,'Auxiliar Vendas'!E:G,3,FALSE)</f>
        <v>220.00000000000003</v>
      </c>
    </row>
    <row r="864" spans="1:38">
      <c r="A864">
        <v>15732138180</v>
      </c>
      <c r="B864">
        <v>259</v>
      </c>
      <c r="D864" s="1">
        <v>44564</v>
      </c>
      <c r="E864">
        <v>15058698393</v>
      </c>
      <c r="F864" t="str">
        <f ca="1">VLOOKUP(RANDBETWEEN(1,20),'DBO Compras'!AA:AC,3,0)</f>
        <v>Comprador 10</v>
      </c>
      <c r="G864" t="s">
        <v>67</v>
      </c>
      <c r="H864" t="s">
        <v>68</v>
      </c>
      <c r="I864" t="s">
        <v>69</v>
      </c>
      <c r="J864" t="s">
        <v>70</v>
      </c>
      <c r="K864">
        <v>83320382</v>
      </c>
      <c r="L864" t="s">
        <v>40</v>
      </c>
      <c r="M864" t="s">
        <v>71</v>
      </c>
      <c r="N864">
        <v>41998972354</v>
      </c>
      <c r="O864">
        <v>0</v>
      </c>
      <c r="P864">
        <v>0</v>
      </c>
      <c r="R864" t="s">
        <v>42</v>
      </c>
      <c r="S864">
        <v>15016099089</v>
      </c>
      <c r="T864" t="str">
        <f ca="1">VLOOKUP(RANDBETWEEN(1,17),'Auxiliar Vendas'!D:G,2,0)</f>
        <v>Produto 07</v>
      </c>
      <c r="U864">
        <v>120</v>
      </c>
      <c r="V864">
        <v>19.3</v>
      </c>
      <c r="W864">
        <v>0</v>
      </c>
      <c r="X864">
        <v>16.804400000000001</v>
      </c>
      <c r="Y864" s="3">
        <v>2316</v>
      </c>
      <c r="Z864">
        <v>18</v>
      </c>
      <c r="AA864" t="s">
        <v>79</v>
      </c>
      <c r="AB864">
        <v>0</v>
      </c>
      <c r="AC864">
        <v>0</v>
      </c>
      <c r="AD864" t="s">
        <v>58</v>
      </c>
      <c r="AH864" s="2">
        <v>44565.589583333334</v>
      </c>
      <c r="AI864">
        <v>0</v>
      </c>
      <c r="AJ864">
        <v>0</v>
      </c>
      <c r="AK864" s="30" t="str">
        <f ca="1">VLOOKUP(T864,'Auxiliar Vendas'!E:F,2,FALSE)</f>
        <v>Produto 07</v>
      </c>
      <c r="AL864" s="31">
        <f ca="1">U864*VLOOKUP(T864,'Auxiliar Vendas'!E:G,3,FALSE)</f>
        <v>132</v>
      </c>
    </row>
    <row r="865" spans="1:38">
      <c r="A865">
        <v>15732138180</v>
      </c>
      <c r="B865">
        <v>259</v>
      </c>
      <c r="D865" s="1">
        <v>44564</v>
      </c>
      <c r="E865">
        <v>15058698393</v>
      </c>
      <c r="F865" t="str">
        <f ca="1">VLOOKUP(RANDBETWEEN(1,20),'DBO Compras'!AA:AC,3,0)</f>
        <v>Comprador 02</v>
      </c>
      <c r="G865" t="s">
        <v>67</v>
      </c>
      <c r="H865" t="s">
        <v>68</v>
      </c>
      <c r="I865" t="s">
        <v>69</v>
      </c>
      <c r="J865" t="s">
        <v>70</v>
      </c>
      <c r="K865">
        <v>83320382</v>
      </c>
      <c r="L865" t="s">
        <v>40</v>
      </c>
      <c r="M865" t="s">
        <v>71</v>
      </c>
      <c r="N865">
        <v>41998972354</v>
      </c>
      <c r="O865">
        <v>0</v>
      </c>
      <c r="P865">
        <v>0</v>
      </c>
      <c r="R865" t="s">
        <v>42</v>
      </c>
      <c r="S865">
        <v>15395751673</v>
      </c>
      <c r="T865" t="str">
        <f ca="1">VLOOKUP(RANDBETWEEN(1,17),'Auxiliar Vendas'!D:G,2,0)</f>
        <v>Produto 15</v>
      </c>
      <c r="U865">
        <v>20</v>
      </c>
      <c r="V865">
        <v>7.2</v>
      </c>
      <c r="W865">
        <v>0</v>
      </c>
      <c r="X865">
        <v>5.8620000000000001</v>
      </c>
      <c r="Y865">
        <v>144</v>
      </c>
      <c r="Z865">
        <v>18</v>
      </c>
      <c r="AA865" t="s">
        <v>268</v>
      </c>
      <c r="AB865">
        <v>0</v>
      </c>
      <c r="AC865">
        <v>0</v>
      </c>
      <c r="AD865" t="s">
        <v>58</v>
      </c>
      <c r="AH865" s="2">
        <v>44565.589583333334</v>
      </c>
      <c r="AI865">
        <v>0</v>
      </c>
      <c r="AJ865">
        <v>0</v>
      </c>
      <c r="AK865" s="30" t="str">
        <f ca="1">VLOOKUP(T865,'Auxiliar Vendas'!E:F,2,FALSE)</f>
        <v>Produto 15</v>
      </c>
      <c r="AL865" s="31">
        <f ca="1">U865*VLOOKUP(T865,'Auxiliar Vendas'!E:G,3,FALSE)</f>
        <v>28.4</v>
      </c>
    </row>
    <row r="866" spans="1:38">
      <c r="A866">
        <v>15732262638</v>
      </c>
      <c r="B866">
        <v>260</v>
      </c>
      <c r="D866" s="1">
        <v>44564</v>
      </c>
      <c r="E866">
        <v>15611856791</v>
      </c>
      <c r="F866" t="str">
        <f ca="1">VLOOKUP(RANDBETWEEN(1,20),'DBO Compras'!AA:AC,3,0)</f>
        <v>Comprador 03</v>
      </c>
      <c r="G866" t="s">
        <v>368</v>
      </c>
      <c r="H866" t="s">
        <v>369</v>
      </c>
      <c r="I866" t="s">
        <v>353</v>
      </c>
      <c r="J866" t="s">
        <v>175</v>
      </c>
      <c r="K866">
        <v>88390000</v>
      </c>
      <c r="L866" t="s">
        <v>92</v>
      </c>
      <c r="M866" t="s">
        <v>370</v>
      </c>
      <c r="N866">
        <v>41999473993</v>
      </c>
      <c r="O866">
        <v>0</v>
      </c>
      <c r="P866">
        <v>0</v>
      </c>
      <c r="R866" t="s">
        <v>42</v>
      </c>
      <c r="S866">
        <v>15016099089</v>
      </c>
      <c r="T866" t="str">
        <f ca="1">VLOOKUP(RANDBETWEEN(1,17),'Auxiliar Vendas'!D:G,2,0)</f>
        <v>Produto 03</v>
      </c>
      <c r="U866">
        <v>300</v>
      </c>
      <c r="V866">
        <v>20.9</v>
      </c>
      <c r="W866">
        <v>0</v>
      </c>
      <c r="X866">
        <v>16.804400000000001</v>
      </c>
      <c r="Y866" s="3">
        <v>6270</v>
      </c>
      <c r="Z866">
        <v>149</v>
      </c>
      <c r="AA866" t="s">
        <v>79</v>
      </c>
      <c r="AB866">
        <v>0</v>
      </c>
      <c r="AC866">
        <v>0</v>
      </c>
      <c r="AD866" t="s">
        <v>58</v>
      </c>
      <c r="AH866" s="2">
        <v>44567.406944444447</v>
      </c>
      <c r="AI866">
        <v>0</v>
      </c>
      <c r="AJ866">
        <v>0</v>
      </c>
      <c r="AK866" s="30" t="str">
        <f ca="1">VLOOKUP(T866,'Auxiliar Vendas'!E:F,2,FALSE)</f>
        <v>Produto 03</v>
      </c>
      <c r="AL866" s="31">
        <f ca="1">U866*VLOOKUP(T866,'Auxiliar Vendas'!E:G,3,FALSE)</f>
        <v>180</v>
      </c>
    </row>
    <row r="867" spans="1:38">
      <c r="A867">
        <v>15732262638</v>
      </c>
      <c r="B867">
        <v>260</v>
      </c>
      <c r="D867" s="1">
        <v>44564</v>
      </c>
      <c r="E867">
        <v>15611856791</v>
      </c>
      <c r="F867" t="str">
        <f ca="1">VLOOKUP(RANDBETWEEN(1,20),'DBO Compras'!AA:AC,3,0)</f>
        <v>Comprador 15</v>
      </c>
      <c r="G867" t="s">
        <v>368</v>
      </c>
      <c r="H867" t="s">
        <v>369</v>
      </c>
      <c r="I867" t="s">
        <v>353</v>
      </c>
      <c r="J867" t="s">
        <v>175</v>
      </c>
      <c r="K867">
        <v>88390000</v>
      </c>
      <c r="L867" t="s">
        <v>92</v>
      </c>
      <c r="M867" t="s">
        <v>370</v>
      </c>
      <c r="N867">
        <v>41999473993</v>
      </c>
      <c r="O867">
        <v>0</v>
      </c>
      <c r="P867">
        <v>0</v>
      </c>
      <c r="R867" t="s">
        <v>42</v>
      </c>
      <c r="S867">
        <v>15016087271</v>
      </c>
      <c r="T867" t="str">
        <f ca="1">VLOOKUP(RANDBETWEEN(1,17),'Auxiliar Vendas'!D:G,2,0)</f>
        <v>Produto 16</v>
      </c>
      <c r="U867">
        <v>200</v>
      </c>
      <c r="V867">
        <v>17.899999999999999</v>
      </c>
      <c r="W867">
        <v>3.5</v>
      </c>
      <c r="X867">
        <v>14.4596</v>
      </c>
      <c r="Y867" s="3">
        <v>3580</v>
      </c>
      <c r="Z867">
        <v>149</v>
      </c>
      <c r="AA867" t="s">
        <v>64</v>
      </c>
      <c r="AB867">
        <v>0</v>
      </c>
      <c r="AC867">
        <v>0</v>
      </c>
      <c r="AD867" t="s">
        <v>58</v>
      </c>
      <c r="AH867" s="2">
        <v>44567.406944444447</v>
      </c>
      <c r="AI867">
        <v>0</v>
      </c>
      <c r="AJ867">
        <v>0</v>
      </c>
      <c r="AK867" s="30" t="str">
        <f ca="1">VLOOKUP(T867,'Auxiliar Vendas'!E:F,2,FALSE)</f>
        <v>Produto 16</v>
      </c>
      <c r="AL867" s="31">
        <f ca="1">U867*VLOOKUP(T867,'Auxiliar Vendas'!E:G,3,FALSE)</f>
        <v>254</v>
      </c>
    </row>
    <row r="868" spans="1:38">
      <c r="A868">
        <v>15732285132</v>
      </c>
      <c r="B868">
        <v>261</v>
      </c>
      <c r="D868" s="1">
        <v>44564</v>
      </c>
      <c r="E868">
        <v>15265449061</v>
      </c>
      <c r="F868" t="str">
        <f ca="1">VLOOKUP(RANDBETWEEN(1,20),'DBO Compras'!AA:AC,3,0)</f>
        <v>Comprador 04</v>
      </c>
      <c r="G868" t="s">
        <v>231</v>
      </c>
      <c r="H868" t="s">
        <v>232</v>
      </c>
      <c r="I868" t="s">
        <v>233</v>
      </c>
      <c r="J868" t="s">
        <v>234</v>
      </c>
      <c r="K868">
        <v>89249000</v>
      </c>
      <c r="L868" t="s">
        <v>235</v>
      </c>
      <c r="M868" t="s">
        <v>236</v>
      </c>
      <c r="N868">
        <v>47996022520</v>
      </c>
      <c r="O868">
        <v>0</v>
      </c>
      <c r="P868">
        <v>0</v>
      </c>
      <c r="R868" t="s">
        <v>42</v>
      </c>
      <c r="S868">
        <v>15016049144</v>
      </c>
      <c r="T868" t="str">
        <f ca="1">VLOOKUP(RANDBETWEEN(1,17),'Auxiliar Vendas'!D:G,2,0)</f>
        <v>Produto 04</v>
      </c>
      <c r="U868">
        <v>500</v>
      </c>
      <c r="V868">
        <v>7.2</v>
      </c>
      <c r="W868">
        <v>0</v>
      </c>
      <c r="X868">
        <v>5.8620000000000001</v>
      </c>
      <c r="Y868" s="3">
        <v>3600</v>
      </c>
      <c r="Z868">
        <v>60</v>
      </c>
      <c r="AA868" t="s">
        <v>267</v>
      </c>
      <c r="AB868">
        <v>0</v>
      </c>
      <c r="AC868">
        <v>0</v>
      </c>
      <c r="AD868" t="s">
        <v>58</v>
      </c>
      <c r="AH868" s="2">
        <v>44567.406944444447</v>
      </c>
      <c r="AI868">
        <v>0</v>
      </c>
      <c r="AJ868">
        <v>0</v>
      </c>
      <c r="AK868" s="30" t="str">
        <f ca="1">VLOOKUP(T868,'Auxiliar Vendas'!E:F,2,FALSE)</f>
        <v>Produto 04</v>
      </c>
      <c r="AL868" s="31">
        <f ca="1">U868*VLOOKUP(T868,'Auxiliar Vendas'!E:G,3,FALSE)</f>
        <v>300</v>
      </c>
    </row>
    <row r="869" spans="1:38">
      <c r="A869">
        <v>15732285132</v>
      </c>
      <c r="B869">
        <v>261</v>
      </c>
      <c r="D869" s="1">
        <v>44564</v>
      </c>
      <c r="E869">
        <v>15265449061</v>
      </c>
      <c r="F869" t="str">
        <f ca="1">VLOOKUP(RANDBETWEEN(1,20),'DBO Compras'!AA:AC,3,0)</f>
        <v>Comprador 09</v>
      </c>
      <c r="G869" t="s">
        <v>231</v>
      </c>
      <c r="H869" t="s">
        <v>232</v>
      </c>
      <c r="I869" t="s">
        <v>233</v>
      </c>
      <c r="J869" t="s">
        <v>234</v>
      </c>
      <c r="K869">
        <v>89249000</v>
      </c>
      <c r="L869" t="s">
        <v>235</v>
      </c>
      <c r="M869" t="s">
        <v>236</v>
      </c>
      <c r="N869">
        <v>47996022520</v>
      </c>
      <c r="O869">
        <v>0</v>
      </c>
      <c r="P869">
        <v>0</v>
      </c>
      <c r="R869" t="s">
        <v>42</v>
      </c>
      <c r="S869">
        <v>15016043939</v>
      </c>
      <c r="T869" t="str">
        <f ca="1">VLOOKUP(RANDBETWEEN(1,17),'Auxiliar Vendas'!D:G,2,0)</f>
        <v>Produto 17</v>
      </c>
      <c r="U869">
        <v>200</v>
      </c>
      <c r="V869">
        <v>12.8</v>
      </c>
      <c r="W869">
        <v>0</v>
      </c>
      <c r="X869">
        <v>10.747</v>
      </c>
      <c r="Y869" s="3">
        <v>2560</v>
      </c>
      <c r="Z869">
        <v>60</v>
      </c>
      <c r="AA869" t="s">
        <v>50</v>
      </c>
      <c r="AB869">
        <v>0</v>
      </c>
      <c r="AC869">
        <v>0</v>
      </c>
      <c r="AD869" t="s">
        <v>58</v>
      </c>
      <c r="AH869" s="2">
        <v>44567.406944444447</v>
      </c>
      <c r="AI869">
        <v>0</v>
      </c>
      <c r="AJ869">
        <v>0</v>
      </c>
      <c r="AK869" s="30" t="str">
        <f ca="1">VLOOKUP(T869,'Auxiliar Vendas'!E:F,2,FALSE)</f>
        <v>Produto 17</v>
      </c>
      <c r="AL869" s="31">
        <f ca="1">U869*VLOOKUP(T869,'Auxiliar Vendas'!E:G,3,FALSE)</f>
        <v>284</v>
      </c>
    </row>
    <row r="870" spans="1:38">
      <c r="A870">
        <v>15781956191</v>
      </c>
      <c r="B870">
        <v>287</v>
      </c>
      <c r="D870" s="1">
        <v>44564</v>
      </c>
      <c r="E870">
        <v>15602903347</v>
      </c>
      <c r="F870" t="str">
        <f ca="1">VLOOKUP(RANDBETWEEN(1,20),'DBO Compras'!AA:AC,3,0)</f>
        <v>Comprador 13</v>
      </c>
      <c r="G870" t="s">
        <v>327</v>
      </c>
      <c r="L870" t="s">
        <v>328</v>
      </c>
      <c r="O870">
        <v>0</v>
      </c>
      <c r="P870">
        <v>0</v>
      </c>
      <c r="R870" t="s">
        <v>42</v>
      </c>
      <c r="S870">
        <v>15016043939</v>
      </c>
      <c r="T870" t="str">
        <f ca="1">VLOOKUP(RANDBETWEEN(1,17),'Auxiliar Vendas'!D:G,2,0)</f>
        <v>Produto 14</v>
      </c>
      <c r="U870">
        <v>155</v>
      </c>
      <c r="V870">
        <v>14</v>
      </c>
      <c r="W870">
        <v>0.71</v>
      </c>
      <c r="X870">
        <v>10.747</v>
      </c>
      <c r="Y870" s="3">
        <v>2170</v>
      </c>
      <c r="Z870">
        <v>132</v>
      </c>
      <c r="AA870" t="s">
        <v>50</v>
      </c>
      <c r="AB870">
        <v>0</v>
      </c>
      <c r="AC870">
        <v>0</v>
      </c>
      <c r="AD870" t="s">
        <v>58</v>
      </c>
      <c r="AH870" s="2">
        <v>44564.363888888889</v>
      </c>
      <c r="AI870">
        <v>0</v>
      </c>
      <c r="AJ870">
        <v>0</v>
      </c>
      <c r="AK870" s="30" t="str">
        <f ca="1">VLOOKUP(T870,'Auxiliar Vendas'!E:F,2,FALSE)</f>
        <v>Produto 14</v>
      </c>
      <c r="AL870" s="31">
        <f ca="1">U870*VLOOKUP(T870,'Auxiliar Vendas'!E:G,3,FALSE)</f>
        <v>217</v>
      </c>
    </row>
    <row r="871" spans="1:38">
      <c r="A871">
        <v>15781956191</v>
      </c>
      <c r="B871">
        <v>287</v>
      </c>
      <c r="D871" s="1">
        <v>44564</v>
      </c>
      <c r="E871">
        <v>15602903347</v>
      </c>
      <c r="F871" t="str">
        <f ca="1">VLOOKUP(RANDBETWEEN(1,20),'DBO Compras'!AA:AC,3,0)</f>
        <v>Comprador 03</v>
      </c>
      <c r="G871" t="s">
        <v>327</v>
      </c>
      <c r="L871" t="s">
        <v>328</v>
      </c>
      <c r="O871">
        <v>0</v>
      </c>
      <c r="P871">
        <v>0</v>
      </c>
      <c r="R871" t="s">
        <v>42</v>
      </c>
      <c r="S871">
        <v>15016073255</v>
      </c>
      <c r="T871" t="str">
        <f ca="1">VLOOKUP(RANDBETWEEN(1,17),'Auxiliar Vendas'!D:G,2,0)</f>
        <v>Produto 02</v>
      </c>
      <c r="U871">
        <v>40</v>
      </c>
      <c r="V871">
        <v>15</v>
      </c>
      <c r="W871">
        <v>9.64</v>
      </c>
      <c r="X871">
        <v>10.747</v>
      </c>
      <c r="Y871">
        <v>600</v>
      </c>
      <c r="Z871">
        <v>132</v>
      </c>
      <c r="AA871" t="s">
        <v>160</v>
      </c>
      <c r="AB871">
        <v>0</v>
      </c>
      <c r="AC871">
        <v>0</v>
      </c>
      <c r="AD871" t="s">
        <v>58</v>
      </c>
      <c r="AH871" s="2">
        <v>44564.363888888889</v>
      </c>
      <c r="AI871">
        <v>0</v>
      </c>
      <c r="AJ871">
        <v>0</v>
      </c>
      <c r="AK871" s="30" t="str">
        <f ca="1">VLOOKUP(T871,'Auxiliar Vendas'!E:F,2,FALSE)</f>
        <v>Produto 02</v>
      </c>
      <c r="AL871" s="31">
        <f ca="1">U871*VLOOKUP(T871,'Auxiliar Vendas'!E:G,3,FALSE)</f>
        <v>10.8</v>
      </c>
    </row>
    <row r="872" spans="1:38">
      <c r="A872">
        <v>15781956191</v>
      </c>
      <c r="B872">
        <v>287</v>
      </c>
      <c r="D872" s="1">
        <v>44564</v>
      </c>
      <c r="E872">
        <v>15602903347</v>
      </c>
      <c r="F872" t="str">
        <f ca="1">VLOOKUP(RANDBETWEEN(1,20),'DBO Compras'!AA:AC,3,0)</f>
        <v>Comprador 16</v>
      </c>
      <c r="G872" t="s">
        <v>327</v>
      </c>
      <c r="L872" t="s">
        <v>328</v>
      </c>
      <c r="O872">
        <v>0</v>
      </c>
      <c r="P872">
        <v>0</v>
      </c>
      <c r="R872" t="s">
        <v>42</v>
      </c>
      <c r="S872">
        <v>15016049144</v>
      </c>
      <c r="T872" t="str">
        <f ca="1">VLOOKUP(RANDBETWEEN(1,17),'Auxiliar Vendas'!D:G,2,0)</f>
        <v>Produto 01</v>
      </c>
      <c r="U872">
        <v>40</v>
      </c>
      <c r="V872">
        <v>7.6437499999999998</v>
      </c>
      <c r="W872">
        <v>7.68</v>
      </c>
      <c r="X872">
        <v>5.8620000000000001</v>
      </c>
      <c r="Y872">
        <v>305.75</v>
      </c>
      <c r="Z872">
        <v>132</v>
      </c>
      <c r="AA872" t="s">
        <v>267</v>
      </c>
      <c r="AB872">
        <v>0</v>
      </c>
      <c r="AC872">
        <v>0</v>
      </c>
      <c r="AD872" t="s">
        <v>58</v>
      </c>
      <c r="AH872" s="2">
        <v>44564.363888888889</v>
      </c>
      <c r="AI872">
        <v>0</v>
      </c>
      <c r="AJ872">
        <v>0</v>
      </c>
      <c r="AK872" s="30" t="str">
        <f ca="1">VLOOKUP(T872,'Auxiliar Vendas'!E:F,2,FALSE)</f>
        <v>Produto 01</v>
      </c>
      <c r="AL872" s="31">
        <f ca="1">U872*VLOOKUP(T872,'Auxiliar Vendas'!E:G,3,FALSE)</f>
        <v>16</v>
      </c>
    </row>
    <row r="873" spans="1:38">
      <c r="A873">
        <v>15739556106</v>
      </c>
      <c r="B873">
        <v>262</v>
      </c>
      <c r="D873" s="1">
        <v>44565</v>
      </c>
      <c r="E873">
        <v>15058669306</v>
      </c>
      <c r="F873" t="str">
        <f ca="1">VLOOKUP(RANDBETWEEN(1,20),'DBO Compras'!AA:AC,3,0)</f>
        <v>Comprador 15</v>
      </c>
      <c r="G873" t="s">
        <v>45</v>
      </c>
      <c r="H873" t="s">
        <v>46</v>
      </c>
      <c r="I873" t="s">
        <v>47</v>
      </c>
      <c r="J873" t="s">
        <v>39</v>
      </c>
      <c r="K873">
        <v>82200430</v>
      </c>
      <c r="L873" t="s">
        <v>40</v>
      </c>
      <c r="M873" t="s">
        <v>472</v>
      </c>
      <c r="N873">
        <v>4191036801</v>
      </c>
      <c r="O873">
        <v>0</v>
      </c>
      <c r="P873">
        <v>0</v>
      </c>
      <c r="Q873" t="s">
        <v>479</v>
      </c>
      <c r="R873" t="s">
        <v>42</v>
      </c>
      <c r="S873">
        <v>15016049144</v>
      </c>
      <c r="T873" t="str">
        <f ca="1">VLOOKUP(RANDBETWEEN(1,17),'Auxiliar Vendas'!D:G,2,0)</f>
        <v>Produto 17</v>
      </c>
      <c r="U873">
        <v>500</v>
      </c>
      <c r="V873">
        <v>7.3</v>
      </c>
      <c r="W873">
        <v>0</v>
      </c>
      <c r="X873">
        <v>5.8620000000000001</v>
      </c>
      <c r="Y873" s="3">
        <v>3650</v>
      </c>
      <c r="Z873">
        <v>17</v>
      </c>
      <c r="AA873" t="s">
        <v>267</v>
      </c>
      <c r="AB873">
        <v>0</v>
      </c>
      <c r="AC873">
        <v>0</v>
      </c>
      <c r="AD873" t="s">
        <v>51</v>
      </c>
      <c r="AH873" s="2">
        <v>44566.71597222222</v>
      </c>
      <c r="AI873">
        <v>0</v>
      </c>
      <c r="AJ873">
        <v>0</v>
      </c>
      <c r="AK873" s="30" t="str">
        <f ca="1">VLOOKUP(T873,'Auxiliar Vendas'!E:F,2,FALSE)</f>
        <v>Produto 17</v>
      </c>
      <c r="AL873" s="31">
        <f ca="1">U873*VLOOKUP(T873,'Auxiliar Vendas'!E:G,3,FALSE)</f>
        <v>710</v>
      </c>
    </row>
    <row r="874" spans="1:38">
      <c r="A874">
        <v>15739556106</v>
      </c>
      <c r="B874">
        <v>262</v>
      </c>
      <c r="D874" s="1">
        <v>44565</v>
      </c>
      <c r="E874">
        <v>15058669306</v>
      </c>
      <c r="F874" t="str">
        <f ca="1">VLOOKUP(RANDBETWEEN(1,20),'DBO Compras'!AA:AC,3,0)</f>
        <v>Comprador 05</v>
      </c>
      <c r="G874" t="s">
        <v>45</v>
      </c>
      <c r="H874" t="s">
        <v>46</v>
      </c>
      <c r="I874" t="s">
        <v>47</v>
      </c>
      <c r="J874" t="s">
        <v>39</v>
      </c>
      <c r="K874">
        <v>82200430</v>
      </c>
      <c r="L874" t="s">
        <v>40</v>
      </c>
      <c r="M874" t="s">
        <v>472</v>
      </c>
      <c r="N874">
        <v>4191036801</v>
      </c>
      <c r="O874">
        <v>0</v>
      </c>
      <c r="P874">
        <v>0</v>
      </c>
      <c r="Q874" t="s">
        <v>479</v>
      </c>
      <c r="R874" t="s">
        <v>42</v>
      </c>
      <c r="S874">
        <v>15016093155</v>
      </c>
      <c r="T874" t="str">
        <f ca="1">VLOOKUP(RANDBETWEEN(1,17),'Auxiliar Vendas'!D:G,2,0)</f>
        <v>Produto 08</v>
      </c>
      <c r="U874">
        <v>150</v>
      </c>
      <c r="V874">
        <v>17.3</v>
      </c>
      <c r="W874">
        <v>0</v>
      </c>
      <c r="X874">
        <v>14.4596</v>
      </c>
      <c r="Y874" s="3">
        <v>2595</v>
      </c>
      <c r="Z874">
        <v>17</v>
      </c>
      <c r="AA874" t="s">
        <v>65</v>
      </c>
      <c r="AB874">
        <v>0</v>
      </c>
      <c r="AC874">
        <v>0</v>
      </c>
      <c r="AD874" t="s">
        <v>51</v>
      </c>
      <c r="AH874" s="2">
        <v>44566.71597222222</v>
      </c>
      <c r="AI874">
        <v>0</v>
      </c>
      <c r="AJ874">
        <v>0</v>
      </c>
      <c r="AK874" s="30" t="str">
        <f ca="1">VLOOKUP(T874,'Auxiliar Vendas'!E:F,2,FALSE)</f>
        <v>Produto 08</v>
      </c>
      <c r="AL874" s="31">
        <f ca="1">U874*VLOOKUP(T874,'Auxiliar Vendas'!E:G,3,FALSE)</f>
        <v>165</v>
      </c>
    </row>
    <row r="875" spans="1:38">
      <c r="A875">
        <v>15739657776</v>
      </c>
      <c r="B875">
        <v>263</v>
      </c>
      <c r="D875" s="1">
        <v>44565</v>
      </c>
      <c r="E875">
        <v>15179581888</v>
      </c>
      <c r="F875" t="str">
        <f ca="1">VLOOKUP(RANDBETWEEN(1,20),'DBO Compras'!AA:AC,3,0)</f>
        <v>Comprador 16</v>
      </c>
      <c r="G875" t="s">
        <v>54</v>
      </c>
      <c r="H875" t="s">
        <v>55</v>
      </c>
      <c r="I875" t="s">
        <v>56</v>
      </c>
      <c r="J875" t="s">
        <v>39</v>
      </c>
      <c r="K875">
        <v>81350610</v>
      </c>
      <c r="L875" t="s">
        <v>40</v>
      </c>
      <c r="M875" t="s">
        <v>57</v>
      </c>
      <c r="N875">
        <v>41996849234</v>
      </c>
      <c r="O875">
        <v>0</v>
      </c>
      <c r="P875">
        <v>0</v>
      </c>
      <c r="R875" t="s">
        <v>42</v>
      </c>
      <c r="S875">
        <v>15740168582</v>
      </c>
      <c r="T875" t="str">
        <f ca="1">VLOOKUP(RANDBETWEEN(1,17),'Auxiliar Vendas'!D:G,2,0)</f>
        <v>Produto 03</v>
      </c>
      <c r="U875">
        <v>200</v>
      </c>
      <c r="V875">
        <v>27.5</v>
      </c>
      <c r="W875">
        <v>0</v>
      </c>
      <c r="X875">
        <v>12.9941</v>
      </c>
      <c r="Y875" s="3">
        <v>5500</v>
      </c>
      <c r="Z875">
        <v>41</v>
      </c>
      <c r="AA875" t="s">
        <v>480</v>
      </c>
      <c r="AB875">
        <v>0</v>
      </c>
      <c r="AC875">
        <v>0</v>
      </c>
      <c r="AD875" t="s">
        <v>58</v>
      </c>
      <c r="AH875" s="2">
        <v>44571.438888888886</v>
      </c>
      <c r="AI875">
        <v>0</v>
      </c>
      <c r="AJ875">
        <v>0</v>
      </c>
      <c r="AK875" s="30" t="str">
        <f ca="1">VLOOKUP(T875,'Auxiliar Vendas'!E:F,2,FALSE)</f>
        <v>Produto 03</v>
      </c>
      <c r="AL875" s="31">
        <f ca="1">U875*VLOOKUP(T875,'Auxiliar Vendas'!E:G,3,FALSE)</f>
        <v>120</v>
      </c>
    </row>
    <row r="876" spans="1:38">
      <c r="A876">
        <v>15740238289</v>
      </c>
      <c r="B876">
        <v>264</v>
      </c>
      <c r="D876" s="1">
        <v>44565</v>
      </c>
      <c r="E876">
        <v>15501401501</v>
      </c>
      <c r="F876" t="str">
        <f ca="1">VLOOKUP(RANDBETWEEN(1,20),'DBO Compras'!AA:AC,3,0)</f>
        <v>Comprador 12</v>
      </c>
      <c r="G876" t="s">
        <v>292</v>
      </c>
      <c r="H876" t="s">
        <v>293</v>
      </c>
      <c r="I876" t="s">
        <v>294</v>
      </c>
      <c r="J876" t="s">
        <v>295</v>
      </c>
      <c r="K876">
        <v>88508395</v>
      </c>
      <c r="L876" t="s">
        <v>92</v>
      </c>
      <c r="M876" t="s">
        <v>296</v>
      </c>
      <c r="N876">
        <v>49999519233</v>
      </c>
      <c r="O876">
        <v>0</v>
      </c>
      <c r="P876">
        <v>0</v>
      </c>
      <c r="Q876" t="s">
        <v>481</v>
      </c>
      <c r="R876" t="s">
        <v>42</v>
      </c>
      <c r="S876">
        <v>15016099089</v>
      </c>
      <c r="T876" t="str">
        <f ca="1">VLOOKUP(RANDBETWEEN(1,17),'Auxiliar Vendas'!D:G,2,0)</f>
        <v>Produto 03</v>
      </c>
      <c r="U876">
        <v>150</v>
      </c>
      <c r="V876">
        <v>20.5</v>
      </c>
      <c r="W876">
        <v>0</v>
      </c>
      <c r="X876">
        <v>16.804400000000001</v>
      </c>
      <c r="Y876" s="3">
        <v>3075</v>
      </c>
      <c r="Z876">
        <v>110</v>
      </c>
      <c r="AA876" t="s">
        <v>79</v>
      </c>
      <c r="AB876">
        <v>0</v>
      </c>
      <c r="AC876">
        <v>0</v>
      </c>
      <c r="AD876" t="s">
        <v>189</v>
      </c>
      <c r="AH876" s="2">
        <v>44568.387499999997</v>
      </c>
      <c r="AI876">
        <v>0</v>
      </c>
      <c r="AJ876">
        <v>0</v>
      </c>
      <c r="AK876" s="30" t="str">
        <f ca="1">VLOOKUP(T876,'Auxiliar Vendas'!E:F,2,FALSE)</f>
        <v>Produto 03</v>
      </c>
      <c r="AL876" s="31">
        <f ca="1">U876*VLOOKUP(T876,'Auxiliar Vendas'!E:G,3,FALSE)</f>
        <v>90</v>
      </c>
    </row>
    <row r="877" spans="1:38">
      <c r="A877">
        <v>15740238289</v>
      </c>
      <c r="B877">
        <v>264</v>
      </c>
      <c r="D877" s="1">
        <v>44565</v>
      </c>
      <c r="E877">
        <v>15501401501</v>
      </c>
      <c r="F877" t="str">
        <f ca="1">VLOOKUP(RANDBETWEEN(1,20),'DBO Compras'!AA:AC,3,0)</f>
        <v>Comprador 15</v>
      </c>
      <c r="G877" t="s">
        <v>292</v>
      </c>
      <c r="H877" t="s">
        <v>293</v>
      </c>
      <c r="I877" t="s">
        <v>294</v>
      </c>
      <c r="J877" t="s">
        <v>295</v>
      </c>
      <c r="K877">
        <v>88508395</v>
      </c>
      <c r="L877" t="s">
        <v>92</v>
      </c>
      <c r="M877" t="s">
        <v>296</v>
      </c>
      <c r="N877">
        <v>49999519233</v>
      </c>
      <c r="O877">
        <v>0</v>
      </c>
      <c r="P877">
        <v>0</v>
      </c>
      <c r="Q877" t="s">
        <v>481</v>
      </c>
      <c r="R877" t="s">
        <v>42</v>
      </c>
      <c r="S877">
        <v>15016087271</v>
      </c>
      <c r="T877" t="str">
        <f ca="1">VLOOKUP(RANDBETWEEN(1,17),'Auxiliar Vendas'!D:G,2,0)</f>
        <v>Produto 09</v>
      </c>
      <c r="U877">
        <v>60</v>
      </c>
      <c r="V877">
        <v>17.5</v>
      </c>
      <c r="W877">
        <v>0</v>
      </c>
      <c r="X877">
        <v>14.4596</v>
      </c>
      <c r="Y877" s="3">
        <v>1050</v>
      </c>
      <c r="Z877">
        <v>110</v>
      </c>
      <c r="AA877" t="s">
        <v>64</v>
      </c>
      <c r="AB877">
        <v>0</v>
      </c>
      <c r="AC877">
        <v>0</v>
      </c>
      <c r="AD877" t="s">
        <v>189</v>
      </c>
      <c r="AH877" s="2">
        <v>44568.387499999997</v>
      </c>
      <c r="AI877">
        <v>0</v>
      </c>
      <c r="AJ877">
        <v>0</v>
      </c>
      <c r="AK877" s="30" t="str">
        <f ca="1">VLOOKUP(T877,'Auxiliar Vendas'!E:F,2,FALSE)</f>
        <v>Produto 09</v>
      </c>
      <c r="AL877" s="31">
        <f ca="1">U877*VLOOKUP(T877,'Auxiliar Vendas'!E:G,3,FALSE)</f>
        <v>66</v>
      </c>
    </row>
    <row r="878" spans="1:38">
      <c r="A878">
        <v>15740238289</v>
      </c>
      <c r="B878">
        <v>264</v>
      </c>
      <c r="D878" s="1">
        <v>44565</v>
      </c>
      <c r="E878">
        <v>15501401501</v>
      </c>
      <c r="F878" t="str">
        <f ca="1">VLOOKUP(RANDBETWEEN(1,20),'DBO Compras'!AA:AC,3,0)</f>
        <v>Comprador 13</v>
      </c>
      <c r="G878" t="s">
        <v>292</v>
      </c>
      <c r="H878" t="s">
        <v>293</v>
      </c>
      <c r="I878" t="s">
        <v>294</v>
      </c>
      <c r="J878" t="s">
        <v>295</v>
      </c>
      <c r="K878">
        <v>88508395</v>
      </c>
      <c r="L878" t="s">
        <v>92</v>
      </c>
      <c r="M878" t="s">
        <v>296</v>
      </c>
      <c r="N878">
        <v>49999519233</v>
      </c>
      <c r="O878">
        <v>0</v>
      </c>
      <c r="P878">
        <v>0</v>
      </c>
      <c r="Q878" t="s">
        <v>481</v>
      </c>
      <c r="R878" t="s">
        <v>42</v>
      </c>
      <c r="S878">
        <v>15016043939</v>
      </c>
      <c r="T878" t="str">
        <f ca="1">VLOOKUP(RANDBETWEEN(1,17),'Auxiliar Vendas'!D:G,2,0)</f>
        <v>Produto 17</v>
      </c>
      <c r="U878">
        <v>100</v>
      </c>
      <c r="V878">
        <v>12.95</v>
      </c>
      <c r="W878">
        <v>0</v>
      </c>
      <c r="X878">
        <v>10.747</v>
      </c>
      <c r="Y878" s="3">
        <v>1295</v>
      </c>
      <c r="Z878">
        <v>110</v>
      </c>
      <c r="AA878" t="s">
        <v>50</v>
      </c>
      <c r="AB878">
        <v>0</v>
      </c>
      <c r="AC878">
        <v>0</v>
      </c>
      <c r="AD878" t="s">
        <v>189</v>
      </c>
      <c r="AH878" s="2">
        <v>44568.387499999997</v>
      </c>
      <c r="AI878">
        <v>0</v>
      </c>
      <c r="AJ878">
        <v>0</v>
      </c>
      <c r="AK878" s="30" t="str">
        <f ca="1">VLOOKUP(T878,'Auxiliar Vendas'!E:F,2,FALSE)</f>
        <v>Produto 17</v>
      </c>
      <c r="AL878" s="31">
        <f ca="1">U878*VLOOKUP(T878,'Auxiliar Vendas'!E:G,3,FALSE)</f>
        <v>142</v>
      </c>
    </row>
    <row r="879" spans="1:38">
      <c r="A879">
        <v>15747604215</v>
      </c>
      <c r="B879">
        <v>267</v>
      </c>
      <c r="D879" s="1">
        <v>44566</v>
      </c>
      <c r="E879">
        <v>15611534708</v>
      </c>
      <c r="F879" t="str">
        <f ca="1">VLOOKUP(RANDBETWEEN(1,20),'DBO Compras'!AA:AC,3,0)</f>
        <v>Comprador 05</v>
      </c>
      <c r="G879" t="s">
        <v>360</v>
      </c>
      <c r="H879" t="s">
        <v>361</v>
      </c>
      <c r="I879" t="s">
        <v>362</v>
      </c>
      <c r="J879" t="s">
        <v>39</v>
      </c>
      <c r="K879">
        <v>0</v>
      </c>
      <c r="L879" t="s">
        <v>40</v>
      </c>
      <c r="M879" t="s">
        <v>363</v>
      </c>
      <c r="N879">
        <v>4196366479</v>
      </c>
      <c r="O879">
        <v>0</v>
      </c>
      <c r="P879">
        <v>0</v>
      </c>
      <c r="R879" t="s">
        <v>42</v>
      </c>
      <c r="S879">
        <v>15016099089</v>
      </c>
      <c r="T879" t="str">
        <f ca="1">VLOOKUP(RANDBETWEEN(1,17),'Auxiliar Vendas'!D:G,2,0)</f>
        <v>Produto 12</v>
      </c>
      <c r="U879">
        <v>41</v>
      </c>
      <c r="V879">
        <v>21.14</v>
      </c>
      <c r="W879">
        <v>0</v>
      </c>
      <c r="X879">
        <v>16.804400000000001</v>
      </c>
      <c r="Y879">
        <v>866.74</v>
      </c>
      <c r="Z879">
        <v>147</v>
      </c>
      <c r="AA879" t="s">
        <v>79</v>
      </c>
      <c r="AB879">
        <v>0</v>
      </c>
      <c r="AC879">
        <v>0</v>
      </c>
      <c r="AD879" t="s">
        <v>58</v>
      </c>
      <c r="AH879" s="2">
        <v>44566.71597222222</v>
      </c>
      <c r="AI879">
        <v>0</v>
      </c>
      <c r="AJ879">
        <v>0</v>
      </c>
      <c r="AK879" s="30" t="str">
        <f ca="1">VLOOKUP(T879,'Auxiliar Vendas'!E:F,2,FALSE)</f>
        <v>Produto 12</v>
      </c>
      <c r="AL879" s="31">
        <f ca="1">U879*VLOOKUP(T879,'Auxiliar Vendas'!E:G,3,FALSE)</f>
        <v>57.4</v>
      </c>
    </row>
    <row r="880" spans="1:38">
      <c r="A880">
        <v>15747604215</v>
      </c>
      <c r="B880">
        <v>267</v>
      </c>
      <c r="D880" s="1">
        <v>44566</v>
      </c>
      <c r="E880">
        <v>15611534708</v>
      </c>
      <c r="F880" t="str">
        <f ca="1">VLOOKUP(RANDBETWEEN(1,20),'DBO Compras'!AA:AC,3,0)</f>
        <v>Comprador 14</v>
      </c>
      <c r="G880" t="s">
        <v>360</v>
      </c>
      <c r="H880" t="s">
        <v>361</v>
      </c>
      <c r="I880" t="s">
        <v>362</v>
      </c>
      <c r="J880" t="s">
        <v>39</v>
      </c>
      <c r="K880">
        <v>0</v>
      </c>
      <c r="L880" t="s">
        <v>40</v>
      </c>
      <c r="M880" t="s">
        <v>363</v>
      </c>
      <c r="N880">
        <v>4196366479</v>
      </c>
      <c r="O880">
        <v>0</v>
      </c>
      <c r="P880">
        <v>0</v>
      </c>
      <c r="R880" t="s">
        <v>42</v>
      </c>
      <c r="S880">
        <v>15016087271</v>
      </c>
      <c r="T880" t="str">
        <f ca="1">VLOOKUP(RANDBETWEEN(1,17),'Auxiliar Vendas'!D:G,2,0)</f>
        <v>Produto 09</v>
      </c>
      <c r="U880">
        <v>9</v>
      </c>
      <c r="V880">
        <v>18.27</v>
      </c>
      <c r="W880">
        <v>0</v>
      </c>
      <c r="X880">
        <v>14.4596</v>
      </c>
      <c r="Y880">
        <v>164.43</v>
      </c>
      <c r="Z880">
        <v>147</v>
      </c>
      <c r="AA880" t="s">
        <v>64</v>
      </c>
      <c r="AB880">
        <v>0</v>
      </c>
      <c r="AC880">
        <v>0</v>
      </c>
      <c r="AD880" t="s">
        <v>58</v>
      </c>
      <c r="AH880" s="2">
        <v>44566.71597222222</v>
      </c>
      <c r="AI880">
        <v>0</v>
      </c>
      <c r="AJ880">
        <v>0</v>
      </c>
      <c r="AK880" s="30" t="str">
        <f ca="1">VLOOKUP(T880,'Auxiliar Vendas'!E:F,2,FALSE)</f>
        <v>Produto 09</v>
      </c>
      <c r="AL880" s="31">
        <f ca="1">U880*VLOOKUP(T880,'Auxiliar Vendas'!E:G,3,FALSE)</f>
        <v>9.9</v>
      </c>
    </row>
    <row r="881" spans="1:38">
      <c r="A881">
        <v>15750195092</v>
      </c>
      <c r="B881">
        <v>271</v>
      </c>
      <c r="D881" s="1">
        <v>44566</v>
      </c>
      <c r="E881">
        <v>15279322250</v>
      </c>
      <c r="F881" t="str">
        <f ca="1">VLOOKUP(RANDBETWEEN(1,20),'DBO Compras'!AA:AC,3,0)</f>
        <v>Comprador 06</v>
      </c>
      <c r="G881" t="s">
        <v>83</v>
      </c>
      <c r="H881" t="s">
        <v>84</v>
      </c>
      <c r="I881" t="s">
        <v>85</v>
      </c>
      <c r="J881" t="s">
        <v>39</v>
      </c>
      <c r="K881">
        <v>80220100</v>
      </c>
      <c r="L881" t="s">
        <v>40</v>
      </c>
      <c r="M881" t="s">
        <v>86</v>
      </c>
      <c r="N881">
        <v>41993330017</v>
      </c>
      <c r="O881">
        <v>0</v>
      </c>
      <c r="P881">
        <v>0</v>
      </c>
      <c r="R881" t="s">
        <v>42</v>
      </c>
      <c r="S881">
        <v>15016043939</v>
      </c>
      <c r="T881" t="str">
        <f ca="1">VLOOKUP(RANDBETWEEN(1,17),'Auxiliar Vendas'!D:G,2,0)</f>
        <v>Produto 11</v>
      </c>
      <c r="U881">
        <v>500</v>
      </c>
      <c r="V881">
        <v>12.45</v>
      </c>
      <c r="W881">
        <v>0</v>
      </c>
      <c r="X881">
        <v>10.747</v>
      </c>
      <c r="Y881" s="3">
        <v>6225</v>
      </c>
      <c r="Z881">
        <v>68</v>
      </c>
      <c r="AA881" t="s">
        <v>50</v>
      </c>
      <c r="AB881">
        <v>0</v>
      </c>
      <c r="AC881">
        <v>0</v>
      </c>
      <c r="AD881" t="s">
        <v>58</v>
      </c>
      <c r="AH881" s="2">
        <v>44567.407638888886</v>
      </c>
      <c r="AI881">
        <v>0</v>
      </c>
      <c r="AJ881">
        <v>0</v>
      </c>
      <c r="AK881" s="30" t="str">
        <f ca="1">VLOOKUP(T881,'Auxiliar Vendas'!E:F,2,FALSE)</f>
        <v>Produto 11</v>
      </c>
      <c r="AL881" s="31">
        <f ca="1">U881*VLOOKUP(T881,'Auxiliar Vendas'!E:G,3,FALSE)</f>
        <v>550</v>
      </c>
    </row>
    <row r="882" spans="1:38">
      <c r="A882">
        <v>15750195092</v>
      </c>
      <c r="B882">
        <v>271</v>
      </c>
      <c r="D882" s="1">
        <v>44566</v>
      </c>
      <c r="E882">
        <v>15279322250</v>
      </c>
      <c r="F882" t="str">
        <f ca="1">VLOOKUP(RANDBETWEEN(1,20),'DBO Compras'!AA:AC,3,0)</f>
        <v>Comprador 06</v>
      </c>
      <c r="G882" t="s">
        <v>83</v>
      </c>
      <c r="H882" t="s">
        <v>84</v>
      </c>
      <c r="I882" t="s">
        <v>85</v>
      </c>
      <c r="J882" t="s">
        <v>39</v>
      </c>
      <c r="K882">
        <v>80220100</v>
      </c>
      <c r="L882" t="s">
        <v>40</v>
      </c>
      <c r="M882" t="s">
        <v>86</v>
      </c>
      <c r="N882">
        <v>41993330017</v>
      </c>
      <c r="O882">
        <v>0</v>
      </c>
      <c r="P882">
        <v>0</v>
      </c>
      <c r="R882" t="s">
        <v>42</v>
      </c>
      <c r="S882">
        <v>15016049144</v>
      </c>
      <c r="T882" t="str">
        <f ca="1">VLOOKUP(RANDBETWEEN(1,17),'Auxiliar Vendas'!D:G,2,0)</f>
        <v>Produto 04</v>
      </c>
      <c r="U882">
        <v>300</v>
      </c>
      <c r="V882">
        <v>7.2</v>
      </c>
      <c r="W882">
        <v>0</v>
      </c>
      <c r="X882">
        <v>5.8620000000000001</v>
      </c>
      <c r="Y882" s="3">
        <v>2160</v>
      </c>
      <c r="Z882">
        <v>68</v>
      </c>
      <c r="AA882" t="s">
        <v>267</v>
      </c>
      <c r="AB882">
        <v>0</v>
      </c>
      <c r="AC882">
        <v>0</v>
      </c>
      <c r="AD882" t="s">
        <v>58</v>
      </c>
      <c r="AH882" s="2">
        <v>44567.407638888886</v>
      </c>
      <c r="AI882">
        <v>0</v>
      </c>
      <c r="AJ882">
        <v>0</v>
      </c>
      <c r="AK882" s="30" t="str">
        <f ca="1">VLOOKUP(T882,'Auxiliar Vendas'!E:F,2,FALSE)</f>
        <v>Produto 04</v>
      </c>
      <c r="AL882" s="31">
        <f ca="1">U882*VLOOKUP(T882,'Auxiliar Vendas'!E:G,3,FALSE)</f>
        <v>180</v>
      </c>
    </row>
    <row r="883" spans="1:38">
      <c r="A883">
        <v>15750195092</v>
      </c>
      <c r="B883">
        <v>271</v>
      </c>
      <c r="D883" s="1">
        <v>44566</v>
      </c>
      <c r="E883">
        <v>15279322250</v>
      </c>
      <c r="F883" t="str">
        <f ca="1">VLOOKUP(RANDBETWEEN(1,20),'DBO Compras'!AA:AC,3,0)</f>
        <v>Comprador 06</v>
      </c>
      <c r="G883" t="s">
        <v>83</v>
      </c>
      <c r="H883" t="s">
        <v>84</v>
      </c>
      <c r="I883" t="s">
        <v>85</v>
      </c>
      <c r="J883" t="s">
        <v>39</v>
      </c>
      <c r="K883">
        <v>80220100</v>
      </c>
      <c r="L883" t="s">
        <v>40</v>
      </c>
      <c r="M883" t="s">
        <v>86</v>
      </c>
      <c r="N883">
        <v>41993330017</v>
      </c>
      <c r="O883">
        <v>0</v>
      </c>
      <c r="P883">
        <v>0</v>
      </c>
      <c r="R883" t="s">
        <v>42</v>
      </c>
      <c r="S883">
        <v>15016099089</v>
      </c>
      <c r="T883" t="str">
        <f ca="1">VLOOKUP(RANDBETWEEN(1,17),'Auxiliar Vendas'!D:G,2,0)</f>
        <v>Produto 12</v>
      </c>
      <c r="U883">
        <v>200</v>
      </c>
      <c r="V883">
        <v>19.3</v>
      </c>
      <c r="W883">
        <v>0</v>
      </c>
      <c r="X883">
        <v>16.804400000000001</v>
      </c>
      <c r="Y883" s="3">
        <v>3860</v>
      </c>
      <c r="Z883">
        <v>68</v>
      </c>
      <c r="AA883" t="s">
        <v>79</v>
      </c>
      <c r="AB883">
        <v>0</v>
      </c>
      <c r="AC883">
        <v>0</v>
      </c>
      <c r="AD883" t="s">
        <v>58</v>
      </c>
      <c r="AH883" s="2">
        <v>44567.407638888886</v>
      </c>
      <c r="AI883">
        <v>0</v>
      </c>
      <c r="AJ883">
        <v>0</v>
      </c>
      <c r="AK883" s="30" t="str">
        <f ca="1">VLOOKUP(T883,'Auxiliar Vendas'!E:F,2,FALSE)</f>
        <v>Produto 12</v>
      </c>
      <c r="AL883" s="31">
        <f ca="1">U883*VLOOKUP(T883,'Auxiliar Vendas'!E:G,3,FALSE)</f>
        <v>280</v>
      </c>
    </row>
    <row r="884" spans="1:38">
      <c r="A884">
        <v>15750342406</v>
      </c>
      <c r="B884">
        <v>272</v>
      </c>
      <c r="D884" s="1">
        <v>44566</v>
      </c>
      <c r="E884">
        <v>15611856791</v>
      </c>
      <c r="F884" t="str">
        <f ca="1">VLOOKUP(RANDBETWEEN(1,20),'DBO Compras'!AA:AC,3,0)</f>
        <v>Comprador 20</v>
      </c>
      <c r="G884" t="s">
        <v>368</v>
      </c>
      <c r="H884" t="s">
        <v>369</v>
      </c>
      <c r="I884" t="s">
        <v>353</v>
      </c>
      <c r="J884" t="s">
        <v>175</v>
      </c>
      <c r="K884">
        <v>88390000</v>
      </c>
      <c r="L884" t="s">
        <v>92</v>
      </c>
      <c r="M884" t="s">
        <v>370</v>
      </c>
      <c r="N884">
        <v>41999473993</v>
      </c>
      <c r="O884">
        <v>0</v>
      </c>
      <c r="P884">
        <v>0</v>
      </c>
      <c r="R884" t="s">
        <v>42</v>
      </c>
      <c r="S884">
        <v>15016099089</v>
      </c>
      <c r="T884" t="str">
        <f ca="1">VLOOKUP(RANDBETWEEN(1,17),'Auxiliar Vendas'!D:G,2,0)</f>
        <v>Produto 15</v>
      </c>
      <c r="U884">
        <v>200</v>
      </c>
      <c r="V884">
        <v>20.9</v>
      </c>
      <c r="W884">
        <v>0</v>
      </c>
      <c r="X884">
        <v>16.804400000000001</v>
      </c>
      <c r="Y884" s="3">
        <v>4180</v>
      </c>
      <c r="Z884">
        <v>149</v>
      </c>
      <c r="AA884" t="s">
        <v>79</v>
      </c>
      <c r="AB884">
        <v>0</v>
      </c>
      <c r="AC884">
        <v>0</v>
      </c>
      <c r="AD884" t="s">
        <v>58</v>
      </c>
      <c r="AH884" s="2">
        <v>44567.407638888886</v>
      </c>
      <c r="AI884">
        <v>0</v>
      </c>
      <c r="AJ884">
        <v>0</v>
      </c>
      <c r="AK884" s="30" t="str">
        <f ca="1">VLOOKUP(T884,'Auxiliar Vendas'!E:F,2,FALSE)</f>
        <v>Produto 15</v>
      </c>
      <c r="AL884" s="31">
        <f ca="1">U884*VLOOKUP(T884,'Auxiliar Vendas'!E:G,3,FALSE)</f>
        <v>284</v>
      </c>
    </row>
    <row r="885" spans="1:38">
      <c r="A885">
        <v>15750342406</v>
      </c>
      <c r="B885">
        <v>272</v>
      </c>
      <c r="D885" s="1">
        <v>44566</v>
      </c>
      <c r="E885">
        <v>15611856791</v>
      </c>
      <c r="F885" t="str">
        <f ca="1">VLOOKUP(RANDBETWEEN(1,20),'DBO Compras'!AA:AC,3,0)</f>
        <v>Comprador 10</v>
      </c>
      <c r="G885" t="s">
        <v>368</v>
      </c>
      <c r="H885" t="s">
        <v>369</v>
      </c>
      <c r="I885" t="s">
        <v>353</v>
      </c>
      <c r="J885" t="s">
        <v>175</v>
      </c>
      <c r="K885">
        <v>88390000</v>
      </c>
      <c r="L885" t="s">
        <v>92</v>
      </c>
      <c r="M885" t="s">
        <v>370</v>
      </c>
      <c r="N885">
        <v>41999473993</v>
      </c>
      <c r="O885">
        <v>0</v>
      </c>
      <c r="P885">
        <v>0</v>
      </c>
      <c r="R885" t="s">
        <v>42</v>
      </c>
      <c r="S885">
        <v>15016087271</v>
      </c>
      <c r="T885" t="str">
        <f ca="1">VLOOKUP(RANDBETWEEN(1,17),'Auxiliar Vendas'!D:G,2,0)</f>
        <v>Produto 11</v>
      </c>
      <c r="U885">
        <v>100</v>
      </c>
      <c r="V885">
        <v>17.899999999999999</v>
      </c>
      <c r="W885">
        <v>0</v>
      </c>
      <c r="X885">
        <v>14.4596</v>
      </c>
      <c r="Y885" s="3">
        <v>1790</v>
      </c>
      <c r="Z885">
        <v>149</v>
      </c>
      <c r="AA885" t="s">
        <v>64</v>
      </c>
      <c r="AB885">
        <v>0</v>
      </c>
      <c r="AC885">
        <v>0</v>
      </c>
      <c r="AD885" t="s">
        <v>58</v>
      </c>
      <c r="AH885" s="2">
        <v>44567.407638888886</v>
      </c>
      <c r="AI885">
        <v>0</v>
      </c>
      <c r="AJ885">
        <v>0</v>
      </c>
      <c r="AK885" s="30" t="str">
        <f ca="1">VLOOKUP(T885,'Auxiliar Vendas'!E:F,2,FALSE)</f>
        <v>Produto 11</v>
      </c>
      <c r="AL885" s="31">
        <f ca="1">U885*VLOOKUP(T885,'Auxiliar Vendas'!E:G,3,FALSE)</f>
        <v>110.00000000000001</v>
      </c>
    </row>
    <row r="886" spans="1:38">
      <c r="A886">
        <v>15760863362</v>
      </c>
      <c r="B886">
        <v>275</v>
      </c>
      <c r="D886" s="1">
        <v>44567</v>
      </c>
      <c r="E886">
        <v>15179581888</v>
      </c>
      <c r="F886" t="str">
        <f ca="1">VLOOKUP(RANDBETWEEN(1,20),'DBO Compras'!AA:AC,3,0)</f>
        <v>Comprador 12</v>
      </c>
      <c r="G886" t="s">
        <v>54</v>
      </c>
      <c r="H886" t="s">
        <v>55</v>
      </c>
      <c r="I886" t="s">
        <v>56</v>
      </c>
      <c r="J886" t="s">
        <v>39</v>
      </c>
      <c r="K886">
        <v>81350610</v>
      </c>
      <c r="L886" t="s">
        <v>40</v>
      </c>
      <c r="M886" t="s">
        <v>57</v>
      </c>
      <c r="N886">
        <v>41996849234</v>
      </c>
      <c r="O886">
        <v>0</v>
      </c>
      <c r="P886">
        <v>0</v>
      </c>
      <c r="R886" t="s">
        <v>42</v>
      </c>
      <c r="S886">
        <v>15016073255</v>
      </c>
      <c r="T886" t="str">
        <f ca="1">VLOOKUP(RANDBETWEEN(1,17),'Auxiliar Vendas'!D:G,2,0)</f>
        <v>Produto 05</v>
      </c>
      <c r="U886">
        <v>600</v>
      </c>
      <c r="V886">
        <v>14.9</v>
      </c>
      <c r="W886">
        <v>0</v>
      </c>
      <c r="X886">
        <v>10.747</v>
      </c>
      <c r="Y886" s="3">
        <v>8940</v>
      </c>
      <c r="Z886">
        <v>41</v>
      </c>
      <c r="AA886" t="s">
        <v>160</v>
      </c>
      <c r="AB886">
        <v>0</v>
      </c>
      <c r="AC886">
        <v>0</v>
      </c>
      <c r="AH886" s="2">
        <v>44568.662499999999</v>
      </c>
      <c r="AI886">
        <v>0</v>
      </c>
      <c r="AJ886">
        <v>0</v>
      </c>
      <c r="AK886" s="30" t="str">
        <f ca="1">VLOOKUP(T886,'Auxiliar Vendas'!E:F,2,FALSE)</f>
        <v>Produto 05</v>
      </c>
      <c r="AL886" s="31">
        <f ca="1">U886*VLOOKUP(T886,'Auxiliar Vendas'!E:G,3,FALSE)</f>
        <v>360</v>
      </c>
    </row>
    <row r="887" spans="1:38">
      <c r="A887">
        <v>15760863362</v>
      </c>
      <c r="B887">
        <v>275</v>
      </c>
      <c r="D887" s="1">
        <v>44567</v>
      </c>
      <c r="E887">
        <v>15179581888</v>
      </c>
      <c r="F887" t="str">
        <f ca="1">VLOOKUP(RANDBETWEEN(1,20),'DBO Compras'!AA:AC,3,0)</f>
        <v>Comprador 18</v>
      </c>
      <c r="G887" t="s">
        <v>54</v>
      </c>
      <c r="H887" t="s">
        <v>55</v>
      </c>
      <c r="I887" t="s">
        <v>56</v>
      </c>
      <c r="J887" t="s">
        <v>39</v>
      </c>
      <c r="K887">
        <v>81350610</v>
      </c>
      <c r="L887" t="s">
        <v>40</v>
      </c>
      <c r="M887" t="s">
        <v>57</v>
      </c>
      <c r="N887">
        <v>41996849234</v>
      </c>
      <c r="O887">
        <v>0</v>
      </c>
      <c r="P887">
        <v>0</v>
      </c>
      <c r="R887" t="s">
        <v>42</v>
      </c>
      <c r="S887">
        <v>15016043939</v>
      </c>
      <c r="T887" t="str">
        <f ca="1">VLOOKUP(RANDBETWEEN(1,17),'Auxiliar Vendas'!D:G,2,0)</f>
        <v>Produto 01</v>
      </c>
      <c r="U887">
        <v>300</v>
      </c>
      <c r="V887">
        <v>12.38</v>
      </c>
      <c r="W887">
        <v>0</v>
      </c>
      <c r="X887">
        <v>10.747</v>
      </c>
      <c r="Y887" s="3">
        <v>3714</v>
      </c>
      <c r="Z887">
        <v>41</v>
      </c>
      <c r="AA887" t="s">
        <v>50</v>
      </c>
      <c r="AB887">
        <v>0</v>
      </c>
      <c r="AC887">
        <v>0</v>
      </c>
      <c r="AH887" s="2">
        <v>44568.662499999999</v>
      </c>
      <c r="AI887">
        <v>0</v>
      </c>
      <c r="AJ887">
        <v>0</v>
      </c>
      <c r="AK887" s="30" t="str">
        <f ca="1">VLOOKUP(T887,'Auxiliar Vendas'!E:F,2,FALSE)</f>
        <v>Produto 01</v>
      </c>
      <c r="AL887" s="31">
        <f ca="1">U887*VLOOKUP(T887,'Auxiliar Vendas'!E:G,3,FALSE)</f>
        <v>120</v>
      </c>
    </row>
    <row r="888" spans="1:38">
      <c r="A888">
        <v>15760863362</v>
      </c>
      <c r="B888">
        <v>275</v>
      </c>
      <c r="D888" s="1">
        <v>44567</v>
      </c>
      <c r="E888">
        <v>15179581888</v>
      </c>
      <c r="F888" t="str">
        <f ca="1">VLOOKUP(RANDBETWEEN(1,20),'DBO Compras'!AA:AC,3,0)</f>
        <v>Comprador 19</v>
      </c>
      <c r="G888" t="s">
        <v>54</v>
      </c>
      <c r="H888" t="s">
        <v>55</v>
      </c>
      <c r="I888" t="s">
        <v>56</v>
      </c>
      <c r="J888" t="s">
        <v>39</v>
      </c>
      <c r="K888">
        <v>81350610</v>
      </c>
      <c r="L888" t="s">
        <v>40</v>
      </c>
      <c r="M888" t="s">
        <v>57</v>
      </c>
      <c r="N888">
        <v>41996849234</v>
      </c>
      <c r="O888">
        <v>0</v>
      </c>
      <c r="P888">
        <v>0</v>
      </c>
      <c r="R888" t="s">
        <v>42</v>
      </c>
      <c r="S888">
        <v>15016049144</v>
      </c>
      <c r="T888" t="str">
        <f ca="1">VLOOKUP(RANDBETWEEN(1,17),'Auxiliar Vendas'!D:G,2,0)</f>
        <v>Produto 12</v>
      </c>
      <c r="U888">
        <v>300</v>
      </c>
      <c r="V888">
        <v>7.04</v>
      </c>
      <c r="W888">
        <v>0</v>
      </c>
      <c r="X888">
        <v>5.8620000000000001</v>
      </c>
      <c r="Y888" s="3">
        <v>2112</v>
      </c>
      <c r="Z888">
        <v>41</v>
      </c>
      <c r="AA888" t="s">
        <v>267</v>
      </c>
      <c r="AB888">
        <v>0</v>
      </c>
      <c r="AC888">
        <v>0</v>
      </c>
      <c r="AH888" s="2">
        <v>44568.662499999999</v>
      </c>
      <c r="AI888">
        <v>0</v>
      </c>
      <c r="AJ888">
        <v>0</v>
      </c>
      <c r="AK888" s="30" t="str">
        <f ca="1">VLOOKUP(T888,'Auxiliar Vendas'!E:F,2,FALSE)</f>
        <v>Produto 12</v>
      </c>
      <c r="AL888" s="31">
        <f ca="1">U888*VLOOKUP(T888,'Auxiliar Vendas'!E:G,3,FALSE)</f>
        <v>420</v>
      </c>
    </row>
    <row r="889" spans="1:38">
      <c r="A889">
        <v>15760863362</v>
      </c>
      <c r="B889">
        <v>275</v>
      </c>
      <c r="D889" s="1">
        <v>44567</v>
      </c>
      <c r="E889">
        <v>15179581888</v>
      </c>
      <c r="F889" t="str">
        <f ca="1">VLOOKUP(RANDBETWEEN(1,20),'DBO Compras'!AA:AC,3,0)</f>
        <v>Comprador 14</v>
      </c>
      <c r="G889" t="s">
        <v>54</v>
      </c>
      <c r="H889" t="s">
        <v>55</v>
      </c>
      <c r="I889" t="s">
        <v>56</v>
      </c>
      <c r="J889" t="s">
        <v>39</v>
      </c>
      <c r="K889">
        <v>81350610</v>
      </c>
      <c r="L889" t="s">
        <v>40</v>
      </c>
      <c r="M889" t="s">
        <v>57</v>
      </c>
      <c r="N889">
        <v>41996849234</v>
      </c>
      <c r="O889">
        <v>0</v>
      </c>
      <c r="P889">
        <v>0</v>
      </c>
      <c r="R889" t="s">
        <v>42</v>
      </c>
      <c r="S889">
        <v>15016087271</v>
      </c>
      <c r="T889" t="str">
        <f ca="1">VLOOKUP(RANDBETWEEN(1,17),'Auxiliar Vendas'!D:G,2,0)</f>
        <v>Produto 01</v>
      </c>
      <c r="U889">
        <v>200</v>
      </c>
      <c r="V889">
        <v>16.5</v>
      </c>
      <c r="W889">
        <v>0</v>
      </c>
      <c r="X889">
        <v>14.4596</v>
      </c>
      <c r="Y889" s="3">
        <v>3300</v>
      </c>
      <c r="Z889">
        <v>41</v>
      </c>
      <c r="AA889" t="s">
        <v>64</v>
      </c>
      <c r="AB889">
        <v>0</v>
      </c>
      <c r="AC889">
        <v>0</v>
      </c>
      <c r="AH889" s="2">
        <v>44568.662499999999</v>
      </c>
      <c r="AI889">
        <v>0</v>
      </c>
      <c r="AJ889">
        <v>0</v>
      </c>
      <c r="AK889" s="30" t="str">
        <f ca="1">VLOOKUP(T889,'Auxiliar Vendas'!E:F,2,FALSE)</f>
        <v>Produto 01</v>
      </c>
      <c r="AL889" s="31">
        <f ca="1">U889*VLOOKUP(T889,'Auxiliar Vendas'!E:G,3,FALSE)</f>
        <v>80</v>
      </c>
    </row>
    <row r="890" spans="1:38">
      <c r="A890">
        <v>15760863362</v>
      </c>
      <c r="B890">
        <v>275</v>
      </c>
      <c r="D890" s="1">
        <v>44567</v>
      </c>
      <c r="E890">
        <v>15179581888</v>
      </c>
      <c r="F890" t="str">
        <f ca="1">VLOOKUP(RANDBETWEEN(1,20),'DBO Compras'!AA:AC,3,0)</f>
        <v>Comprador 13</v>
      </c>
      <c r="G890" t="s">
        <v>54</v>
      </c>
      <c r="H890" t="s">
        <v>55</v>
      </c>
      <c r="I890" t="s">
        <v>56</v>
      </c>
      <c r="J890" t="s">
        <v>39</v>
      </c>
      <c r="K890">
        <v>81350610</v>
      </c>
      <c r="L890" t="s">
        <v>40</v>
      </c>
      <c r="M890" t="s">
        <v>57</v>
      </c>
      <c r="N890">
        <v>41996849234</v>
      </c>
      <c r="O890">
        <v>0</v>
      </c>
      <c r="P890">
        <v>0</v>
      </c>
      <c r="R890" t="s">
        <v>42</v>
      </c>
      <c r="S890">
        <v>15016093155</v>
      </c>
      <c r="T890" t="str">
        <f ca="1">VLOOKUP(RANDBETWEEN(1,17),'Auxiliar Vendas'!D:G,2,0)</f>
        <v>Produto 07</v>
      </c>
      <c r="U890">
        <v>150</v>
      </c>
      <c r="V890">
        <v>16.5</v>
      </c>
      <c r="W890">
        <v>0</v>
      </c>
      <c r="X890">
        <v>14.4596</v>
      </c>
      <c r="Y890" s="3">
        <v>2475</v>
      </c>
      <c r="Z890">
        <v>41</v>
      </c>
      <c r="AA890" t="s">
        <v>65</v>
      </c>
      <c r="AB890">
        <v>0</v>
      </c>
      <c r="AC890">
        <v>0</v>
      </c>
      <c r="AH890" s="2">
        <v>44568.662499999999</v>
      </c>
      <c r="AI890">
        <v>0</v>
      </c>
      <c r="AJ890">
        <v>0</v>
      </c>
      <c r="AK890" s="30" t="str">
        <f ca="1">VLOOKUP(T890,'Auxiliar Vendas'!E:F,2,FALSE)</f>
        <v>Produto 07</v>
      </c>
      <c r="AL890" s="31">
        <f ca="1">U890*VLOOKUP(T890,'Auxiliar Vendas'!E:G,3,FALSE)</f>
        <v>165</v>
      </c>
    </row>
    <row r="891" spans="1:38">
      <c r="A891">
        <v>15762710405</v>
      </c>
      <c r="B891">
        <v>276</v>
      </c>
      <c r="D891" s="1">
        <v>44567</v>
      </c>
      <c r="E891">
        <v>15264888160</v>
      </c>
      <c r="F891" t="str">
        <f ca="1">VLOOKUP(RANDBETWEEN(1,20),'DBO Compras'!AA:AC,3,0)</f>
        <v>Comprador 07</v>
      </c>
      <c r="G891" t="s">
        <v>215</v>
      </c>
      <c r="H891" t="s">
        <v>216</v>
      </c>
      <c r="I891" t="s">
        <v>217</v>
      </c>
      <c r="J891" t="s">
        <v>193</v>
      </c>
      <c r="K891">
        <v>89213401</v>
      </c>
      <c r="L891" t="s">
        <v>92</v>
      </c>
      <c r="M891" t="s">
        <v>218</v>
      </c>
      <c r="N891">
        <v>4734530505</v>
      </c>
      <c r="O891">
        <v>0</v>
      </c>
      <c r="P891">
        <v>0</v>
      </c>
      <c r="R891" t="s">
        <v>302</v>
      </c>
      <c r="S891">
        <v>15016093155</v>
      </c>
      <c r="T891" t="str">
        <f ca="1">VLOOKUP(RANDBETWEEN(1,17),'Auxiliar Vendas'!D:G,2,0)</f>
        <v>Produto 05</v>
      </c>
      <c r="U891">
        <v>120</v>
      </c>
      <c r="V891">
        <v>17.3</v>
      </c>
      <c r="W891">
        <v>0</v>
      </c>
      <c r="X891">
        <v>14.4596</v>
      </c>
      <c r="Y891" s="3">
        <v>2076</v>
      </c>
      <c r="Z891">
        <v>57</v>
      </c>
      <c r="AA891" t="s">
        <v>65</v>
      </c>
      <c r="AB891">
        <v>0</v>
      </c>
      <c r="AC891">
        <v>0</v>
      </c>
      <c r="AD891" t="s">
        <v>189</v>
      </c>
      <c r="AI891">
        <v>0</v>
      </c>
      <c r="AJ891">
        <v>0</v>
      </c>
      <c r="AK891" s="30" t="str">
        <f ca="1">VLOOKUP(T891,'Auxiliar Vendas'!E:F,2,FALSE)</f>
        <v>Produto 05</v>
      </c>
      <c r="AL891" s="31">
        <f ca="1">U891*VLOOKUP(T891,'Auxiliar Vendas'!E:G,3,FALSE)</f>
        <v>72</v>
      </c>
    </row>
    <row r="892" spans="1:38">
      <c r="A892">
        <v>15762710405</v>
      </c>
      <c r="B892">
        <v>276</v>
      </c>
      <c r="D892" s="1">
        <v>44567</v>
      </c>
      <c r="E892">
        <v>15264888160</v>
      </c>
      <c r="F892" t="str">
        <f ca="1">VLOOKUP(RANDBETWEEN(1,20),'DBO Compras'!AA:AC,3,0)</f>
        <v>Comprador 19</v>
      </c>
      <c r="G892" t="s">
        <v>215</v>
      </c>
      <c r="H892" t="s">
        <v>216</v>
      </c>
      <c r="I892" t="s">
        <v>217</v>
      </c>
      <c r="J892" t="s">
        <v>193</v>
      </c>
      <c r="K892">
        <v>89213401</v>
      </c>
      <c r="L892" t="s">
        <v>92</v>
      </c>
      <c r="M892" t="s">
        <v>218</v>
      </c>
      <c r="N892">
        <v>4734530505</v>
      </c>
      <c r="O892">
        <v>0</v>
      </c>
      <c r="P892">
        <v>0</v>
      </c>
      <c r="R892" t="s">
        <v>302</v>
      </c>
      <c r="S892">
        <v>15016099089</v>
      </c>
      <c r="T892" t="str">
        <f ca="1">VLOOKUP(RANDBETWEEN(1,17),'Auxiliar Vendas'!D:G,2,0)</f>
        <v>Produto 17</v>
      </c>
      <c r="U892">
        <v>120</v>
      </c>
      <c r="V892">
        <v>20.3</v>
      </c>
      <c r="W892">
        <v>0</v>
      </c>
      <c r="X892">
        <v>16.804400000000001</v>
      </c>
      <c r="Y892" s="3">
        <v>2436</v>
      </c>
      <c r="Z892">
        <v>57</v>
      </c>
      <c r="AA892" t="s">
        <v>79</v>
      </c>
      <c r="AB892">
        <v>0</v>
      </c>
      <c r="AC892">
        <v>0</v>
      </c>
      <c r="AD892" t="s">
        <v>189</v>
      </c>
      <c r="AI892">
        <v>0</v>
      </c>
      <c r="AJ892">
        <v>0</v>
      </c>
      <c r="AK892" s="30" t="str">
        <f ca="1">VLOOKUP(T892,'Auxiliar Vendas'!E:F,2,FALSE)</f>
        <v>Produto 17</v>
      </c>
      <c r="AL892" s="31">
        <f ca="1">U892*VLOOKUP(T892,'Auxiliar Vendas'!E:G,3,FALSE)</f>
        <v>170.39999999999998</v>
      </c>
    </row>
    <row r="893" spans="1:38">
      <c r="A893">
        <v>15762710405</v>
      </c>
      <c r="B893">
        <v>276</v>
      </c>
      <c r="D893" s="1">
        <v>44567</v>
      </c>
      <c r="E893">
        <v>15264888160</v>
      </c>
      <c r="F893" t="str">
        <f ca="1">VLOOKUP(RANDBETWEEN(1,20),'DBO Compras'!AA:AC,3,0)</f>
        <v>Comprador 04</v>
      </c>
      <c r="G893" t="s">
        <v>215</v>
      </c>
      <c r="H893" t="s">
        <v>216</v>
      </c>
      <c r="I893" t="s">
        <v>217</v>
      </c>
      <c r="J893" t="s">
        <v>193</v>
      </c>
      <c r="K893">
        <v>89213401</v>
      </c>
      <c r="L893" t="s">
        <v>92</v>
      </c>
      <c r="M893" t="s">
        <v>218</v>
      </c>
      <c r="N893">
        <v>4734530505</v>
      </c>
      <c r="O893">
        <v>0</v>
      </c>
      <c r="P893">
        <v>0</v>
      </c>
      <c r="R893" t="s">
        <v>302</v>
      </c>
      <c r="S893">
        <v>15016043939</v>
      </c>
      <c r="T893" t="str">
        <f ca="1">VLOOKUP(RANDBETWEEN(1,17),'Auxiliar Vendas'!D:G,2,0)</f>
        <v>Produto 10</v>
      </c>
      <c r="U893">
        <v>100</v>
      </c>
      <c r="V893">
        <v>12.8</v>
      </c>
      <c r="W893">
        <v>0</v>
      </c>
      <c r="X893">
        <v>10.747</v>
      </c>
      <c r="Y893" s="3">
        <v>1280</v>
      </c>
      <c r="Z893">
        <v>57</v>
      </c>
      <c r="AA893" t="s">
        <v>50</v>
      </c>
      <c r="AB893">
        <v>0</v>
      </c>
      <c r="AC893">
        <v>0</v>
      </c>
      <c r="AD893" t="s">
        <v>189</v>
      </c>
      <c r="AI893">
        <v>0</v>
      </c>
      <c r="AJ893">
        <v>0</v>
      </c>
      <c r="AK893" s="30" t="str">
        <f ca="1">VLOOKUP(T893,'Auxiliar Vendas'!E:F,2,FALSE)</f>
        <v>Produto 10</v>
      </c>
      <c r="AL893" s="31">
        <f ca="1">U893*VLOOKUP(T893,'Auxiliar Vendas'!E:G,3,FALSE)</f>
        <v>110.00000000000001</v>
      </c>
    </row>
    <row r="894" spans="1:38">
      <c r="A894">
        <v>15762710405</v>
      </c>
      <c r="B894">
        <v>276</v>
      </c>
      <c r="D894" s="1">
        <v>44567</v>
      </c>
      <c r="E894">
        <v>15264888160</v>
      </c>
      <c r="F894" t="str">
        <f ca="1">VLOOKUP(RANDBETWEEN(1,20),'DBO Compras'!AA:AC,3,0)</f>
        <v>Comprador 06</v>
      </c>
      <c r="G894" t="s">
        <v>215</v>
      </c>
      <c r="H894" t="s">
        <v>216</v>
      </c>
      <c r="I894" t="s">
        <v>217</v>
      </c>
      <c r="J894" t="s">
        <v>193</v>
      </c>
      <c r="K894">
        <v>89213401</v>
      </c>
      <c r="L894" t="s">
        <v>92</v>
      </c>
      <c r="M894" t="s">
        <v>218</v>
      </c>
      <c r="N894">
        <v>4734530505</v>
      </c>
      <c r="O894">
        <v>0</v>
      </c>
      <c r="P894">
        <v>0</v>
      </c>
      <c r="R894" t="s">
        <v>302</v>
      </c>
      <c r="S894">
        <v>15016073255</v>
      </c>
      <c r="T894" t="str">
        <f ca="1">VLOOKUP(RANDBETWEEN(1,17),'Auxiliar Vendas'!D:G,2,0)</f>
        <v>Produto 15</v>
      </c>
      <c r="U894">
        <v>50</v>
      </c>
      <c r="V894">
        <v>15</v>
      </c>
      <c r="W894">
        <v>0</v>
      </c>
      <c r="X894">
        <v>10.747</v>
      </c>
      <c r="Y894">
        <v>750</v>
      </c>
      <c r="Z894">
        <v>57</v>
      </c>
      <c r="AA894" t="s">
        <v>160</v>
      </c>
      <c r="AB894">
        <v>0</v>
      </c>
      <c r="AC894">
        <v>0</v>
      </c>
      <c r="AD894" t="s">
        <v>189</v>
      </c>
      <c r="AI894">
        <v>0</v>
      </c>
      <c r="AJ894">
        <v>0</v>
      </c>
      <c r="AK894" s="30" t="str">
        <f ca="1">VLOOKUP(T894,'Auxiliar Vendas'!E:F,2,FALSE)</f>
        <v>Produto 15</v>
      </c>
      <c r="AL894" s="31">
        <f ca="1">U894*VLOOKUP(T894,'Auxiliar Vendas'!E:G,3,FALSE)</f>
        <v>71</v>
      </c>
    </row>
    <row r="895" spans="1:38">
      <c r="A895">
        <v>15762710405</v>
      </c>
      <c r="B895">
        <v>276</v>
      </c>
      <c r="D895" s="1">
        <v>44567</v>
      </c>
      <c r="E895">
        <v>15264888160</v>
      </c>
      <c r="F895" t="str">
        <f ca="1">VLOOKUP(RANDBETWEEN(1,20),'DBO Compras'!AA:AC,3,0)</f>
        <v>Comprador 01</v>
      </c>
      <c r="G895" t="s">
        <v>215</v>
      </c>
      <c r="H895" t="s">
        <v>216</v>
      </c>
      <c r="I895" t="s">
        <v>217</v>
      </c>
      <c r="J895" t="s">
        <v>193</v>
      </c>
      <c r="K895">
        <v>89213401</v>
      </c>
      <c r="L895" t="s">
        <v>92</v>
      </c>
      <c r="M895" t="s">
        <v>218</v>
      </c>
      <c r="N895">
        <v>4734530505</v>
      </c>
      <c r="O895">
        <v>0</v>
      </c>
      <c r="P895">
        <v>0</v>
      </c>
      <c r="R895" t="s">
        <v>302</v>
      </c>
      <c r="S895">
        <v>15016080333</v>
      </c>
      <c r="T895" t="str">
        <f ca="1">VLOOKUP(RANDBETWEEN(1,17),'Auxiliar Vendas'!D:G,2,0)</f>
        <v>Produto 03</v>
      </c>
      <c r="U895">
        <v>40</v>
      </c>
      <c r="V895">
        <v>13.4</v>
      </c>
      <c r="W895">
        <v>0</v>
      </c>
      <c r="X895">
        <v>10.747</v>
      </c>
      <c r="Y895">
        <v>536</v>
      </c>
      <c r="Z895">
        <v>57</v>
      </c>
      <c r="AA895" t="s">
        <v>80</v>
      </c>
      <c r="AB895">
        <v>0</v>
      </c>
      <c r="AC895">
        <v>0</v>
      </c>
      <c r="AD895" t="s">
        <v>189</v>
      </c>
      <c r="AI895">
        <v>0</v>
      </c>
      <c r="AJ895">
        <v>0</v>
      </c>
      <c r="AK895" s="30" t="str">
        <f ca="1">VLOOKUP(T895,'Auxiliar Vendas'!E:F,2,FALSE)</f>
        <v>Produto 03</v>
      </c>
      <c r="AL895" s="31">
        <f ca="1">U895*VLOOKUP(T895,'Auxiliar Vendas'!E:G,3,FALSE)</f>
        <v>24</v>
      </c>
    </row>
    <row r="896" spans="1:38">
      <c r="A896">
        <v>15762710405</v>
      </c>
      <c r="B896">
        <v>276</v>
      </c>
      <c r="D896" s="1">
        <v>44567</v>
      </c>
      <c r="E896">
        <v>15264888160</v>
      </c>
      <c r="F896" t="str">
        <f ca="1">VLOOKUP(RANDBETWEEN(1,20),'DBO Compras'!AA:AC,3,0)</f>
        <v>Comprador 04</v>
      </c>
      <c r="G896" t="s">
        <v>215</v>
      </c>
      <c r="H896" t="s">
        <v>216</v>
      </c>
      <c r="I896" t="s">
        <v>217</v>
      </c>
      <c r="J896" t="s">
        <v>193</v>
      </c>
      <c r="K896">
        <v>89213401</v>
      </c>
      <c r="L896" t="s">
        <v>92</v>
      </c>
      <c r="M896" t="s">
        <v>218</v>
      </c>
      <c r="N896">
        <v>4734530505</v>
      </c>
      <c r="O896">
        <v>0</v>
      </c>
      <c r="P896">
        <v>0</v>
      </c>
      <c r="R896" t="s">
        <v>302</v>
      </c>
      <c r="S896">
        <v>15016087271</v>
      </c>
      <c r="T896" t="str">
        <f ca="1">VLOOKUP(RANDBETWEEN(1,17),'Auxiliar Vendas'!D:G,2,0)</f>
        <v>Produto 05</v>
      </c>
      <c r="U896">
        <v>40</v>
      </c>
      <c r="V896">
        <v>17.3</v>
      </c>
      <c r="W896">
        <v>0</v>
      </c>
      <c r="X896">
        <v>14.4596</v>
      </c>
      <c r="Y896">
        <v>692</v>
      </c>
      <c r="Z896">
        <v>57</v>
      </c>
      <c r="AA896" t="s">
        <v>64</v>
      </c>
      <c r="AB896">
        <v>0</v>
      </c>
      <c r="AC896">
        <v>0</v>
      </c>
      <c r="AD896" t="s">
        <v>189</v>
      </c>
      <c r="AI896">
        <v>0</v>
      </c>
      <c r="AJ896">
        <v>0</v>
      </c>
      <c r="AK896" s="30" t="str">
        <f ca="1">VLOOKUP(T896,'Auxiliar Vendas'!E:F,2,FALSE)</f>
        <v>Produto 05</v>
      </c>
      <c r="AL896" s="31">
        <f ca="1">U896*VLOOKUP(T896,'Auxiliar Vendas'!E:G,3,FALSE)</f>
        <v>24</v>
      </c>
    </row>
    <row r="897" spans="1:38">
      <c r="A897">
        <v>15762710405</v>
      </c>
      <c r="B897">
        <v>276</v>
      </c>
      <c r="D897" s="1">
        <v>44567</v>
      </c>
      <c r="E897">
        <v>15264888160</v>
      </c>
      <c r="F897" t="str">
        <f ca="1">VLOOKUP(RANDBETWEEN(1,20),'DBO Compras'!AA:AC,3,0)</f>
        <v>Comprador 04</v>
      </c>
      <c r="G897" t="s">
        <v>215</v>
      </c>
      <c r="H897" t="s">
        <v>216</v>
      </c>
      <c r="I897" t="s">
        <v>217</v>
      </c>
      <c r="J897" t="s">
        <v>193</v>
      </c>
      <c r="K897">
        <v>89213401</v>
      </c>
      <c r="L897" t="s">
        <v>92</v>
      </c>
      <c r="M897" t="s">
        <v>218</v>
      </c>
      <c r="N897">
        <v>4734530505</v>
      </c>
      <c r="O897">
        <v>0</v>
      </c>
      <c r="P897">
        <v>0</v>
      </c>
      <c r="R897" t="s">
        <v>302</v>
      </c>
      <c r="S897">
        <v>15016049144</v>
      </c>
      <c r="T897" t="str">
        <f ca="1">VLOOKUP(RANDBETWEEN(1,17),'Auxiliar Vendas'!D:G,2,0)</f>
        <v>Produto 13</v>
      </c>
      <c r="U897">
        <v>80</v>
      </c>
      <c r="V897">
        <v>7.3</v>
      </c>
      <c r="W897">
        <v>0</v>
      </c>
      <c r="X897">
        <v>5.8620000000000001</v>
      </c>
      <c r="Y897">
        <v>584</v>
      </c>
      <c r="Z897">
        <v>57</v>
      </c>
      <c r="AA897" t="s">
        <v>267</v>
      </c>
      <c r="AB897">
        <v>0</v>
      </c>
      <c r="AC897">
        <v>0</v>
      </c>
      <c r="AD897" t="s">
        <v>189</v>
      </c>
      <c r="AI897">
        <v>0</v>
      </c>
      <c r="AJ897">
        <v>0</v>
      </c>
      <c r="AK897" s="30" t="str">
        <f ca="1">VLOOKUP(T897,'Auxiliar Vendas'!E:F,2,FALSE)</f>
        <v>Produto 13</v>
      </c>
      <c r="AL897" s="31">
        <f ca="1">U897*VLOOKUP(T897,'Auxiliar Vendas'!E:G,3,FALSE)</f>
        <v>112</v>
      </c>
    </row>
    <row r="898" spans="1:38">
      <c r="A898">
        <v>15765354468</v>
      </c>
      <c r="B898">
        <v>277</v>
      </c>
      <c r="D898" s="1">
        <v>44568</v>
      </c>
      <c r="E898">
        <v>15614359652</v>
      </c>
      <c r="F898" t="str">
        <f ca="1">VLOOKUP(RANDBETWEEN(1,20),'DBO Compras'!AA:AC,3,0)</f>
        <v>Comprador 12</v>
      </c>
      <c r="G898" t="s">
        <v>482</v>
      </c>
      <c r="H898" t="s">
        <v>483</v>
      </c>
      <c r="I898" t="s">
        <v>484</v>
      </c>
      <c r="J898" t="s">
        <v>213</v>
      </c>
      <c r="K898">
        <v>88131600</v>
      </c>
      <c r="L898" t="s">
        <v>92</v>
      </c>
      <c r="M898" t="s">
        <v>485</v>
      </c>
      <c r="N898">
        <v>4833410147</v>
      </c>
      <c r="O898">
        <v>0</v>
      </c>
      <c r="P898">
        <v>0</v>
      </c>
      <c r="R898" t="s">
        <v>302</v>
      </c>
      <c r="S898">
        <v>15016049144</v>
      </c>
      <c r="T898" t="str">
        <f ca="1">VLOOKUP(RANDBETWEEN(1,17),'Auxiliar Vendas'!D:G,2,0)</f>
        <v>Produto 09</v>
      </c>
      <c r="U898">
        <v>200</v>
      </c>
      <c r="V898">
        <v>7.3</v>
      </c>
      <c r="W898">
        <v>0</v>
      </c>
      <c r="X898">
        <v>5.8620000000000001</v>
      </c>
      <c r="Y898" s="3">
        <v>1460</v>
      </c>
      <c r="Z898">
        <v>169</v>
      </c>
      <c r="AA898" t="s">
        <v>267</v>
      </c>
      <c r="AB898">
        <v>0</v>
      </c>
      <c r="AC898">
        <v>0</v>
      </c>
      <c r="AD898" t="s">
        <v>189</v>
      </c>
      <c r="AI898">
        <v>0</v>
      </c>
      <c r="AJ898">
        <v>0</v>
      </c>
      <c r="AK898" s="30" t="str">
        <f ca="1">VLOOKUP(T898,'Auxiliar Vendas'!E:F,2,FALSE)</f>
        <v>Produto 09</v>
      </c>
      <c r="AL898" s="31">
        <f ca="1">U898*VLOOKUP(T898,'Auxiliar Vendas'!E:G,3,FALSE)</f>
        <v>220.00000000000003</v>
      </c>
    </row>
    <row r="899" spans="1:38">
      <c r="A899">
        <v>15765354468</v>
      </c>
      <c r="B899">
        <v>277</v>
      </c>
      <c r="D899" s="1">
        <v>44568</v>
      </c>
      <c r="E899">
        <v>15614359652</v>
      </c>
      <c r="F899" t="str">
        <f ca="1">VLOOKUP(RANDBETWEEN(1,20),'DBO Compras'!AA:AC,3,0)</f>
        <v>Comprador 18</v>
      </c>
      <c r="G899" t="s">
        <v>482</v>
      </c>
      <c r="H899" t="s">
        <v>483</v>
      </c>
      <c r="I899" t="s">
        <v>484</v>
      </c>
      <c r="J899" t="s">
        <v>213</v>
      </c>
      <c r="K899">
        <v>88131600</v>
      </c>
      <c r="L899" t="s">
        <v>92</v>
      </c>
      <c r="M899" t="s">
        <v>485</v>
      </c>
      <c r="N899">
        <v>4833410147</v>
      </c>
      <c r="O899">
        <v>0</v>
      </c>
      <c r="P899">
        <v>0</v>
      </c>
      <c r="R899" t="s">
        <v>302</v>
      </c>
      <c r="S899">
        <v>15395751673</v>
      </c>
      <c r="T899" t="str">
        <f ca="1">VLOOKUP(RANDBETWEEN(1,17),'Auxiliar Vendas'!D:G,2,0)</f>
        <v>Produto 06</v>
      </c>
      <c r="U899">
        <v>100</v>
      </c>
      <c r="V899">
        <v>7.7</v>
      </c>
      <c r="W899">
        <v>0</v>
      </c>
      <c r="X899">
        <v>5.8620000000000001</v>
      </c>
      <c r="Y899">
        <v>770</v>
      </c>
      <c r="Z899">
        <v>169</v>
      </c>
      <c r="AA899" t="s">
        <v>268</v>
      </c>
      <c r="AB899">
        <v>0</v>
      </c>
      <c r="AC899">
        <v>0</v>
      </c>
      <c r="AD899" t="s">
        <v>189</v>
      </c>
      <c r="AI899">
        <v>0</v>
      </c>
      <c r="AJ899">
        <v>0</v>
      </c>
      <c r="AK899" s="30" t="str">
        <f ca="1">VLOOKUP(T899,'Auxiliar Vendas'!E:F,2,FALSE)</f>
        <v>Produto 06</v>
      </c>
      <c r="AL899" s="31">
        <f ca="1">U899*VLOOKUP(T899,'Auxiliar Vendas'!E:G,3,FALSE)</f>
        <v>50</v>
      </c>
    </row>
    <row r="900" spans="1:38">
      <c r="A900">
        <v>15765354468</v>
      </c>
      <c r="B900">
        <v>277</v>
      </c>
      <c r="D900" s="1">
        <v>44568</v>
      </c>
      <c r="E900">
        <v>15614359652</v>
      </c>
      <c r="F900" t="str">
        <f ca="1">VLOOKUP(RANDBETWEEN(1,20),'DBO Compras'!AA:AC,3,0)</f>
        <v>Comprador 02</v>
      </c>
      <c r="G900" t="s">
        <v>482</v>
      </c>
      <c r="H900" t="s">
        <v>483</v>
      </c>
      <c r="I900" t="s">
        <v>484</v>
      </c>
      <c r="J900" t="s">
        <v>213</v>
      </c>
      <c r="K900">
        <v>88131600</v>
      </c>
      <c r="L900" t="s">
        <v>92</v>
      </c>
      <c r="M900" t="s">
        <v>485</v>
      </c>
      <c r="N900">
        <v>4833410147</v>
      </c>
      <c r="O900">
        <v>0</v>
      </c>
      <c r="P900">
        <v>0</v>
      </c>
      <c r="R900" t="s">
        <v>302</v>
      </c>
      <c r="S900">
        <v>15016087271</v>
      </c>
      <c r="T900" t="str">
        <f ca="1">VLOOKUP(RANDBETWEEN(1,17),'Auxiliar Vendas'!D:G,2,0)</f>
        <v>Produto 10</v>
      </c>
      <c r="U900">
        <v>200</v>
      </c>
      <c r="V900">
        <v>17.3</v>
      </c>
      <c r="W900">
        <v>0</v>
      </c>
      <c r="X900">
        <v>14.4596</v>
      </c>
      <c r="Y900" s="3">
        <v>3460</v>
      </c>
      <c r="Z900">
        <v>169</v>
      </c>
      <c r="AA900" t="s">
        <v>64</v>
      </c>
      <c r="AB900">
        <v>0</v>
      </c>
      <c r="AC900">
        <v>0</v>
      </c>
      <c r="AD900" t="s">
        <v>189</v>
      </c>
      <c r="AI900">
        <v>0</v>
      </c>
      <c r="AJ900">
        <v>0</v>
      </c>
      <c r="AK900" s="30" t="str">
        <f ca="1">VLOOKUP(T900,'Auxiliar Vendas'!E:F,2,FALSE)</f>
        <v>Produto 10</v>
      </c>
      <c r="AL900" s="31">
        <f ca="1">U900*VLOOKUP(T900,'Auxiliar Vendas'!E:G,3,FALSE)</f>
        <v>220.00000000000003</v>
      </c>
    </row>
    <row r="901" spans="1:38">
      <c r="A901">
        <v>15765354468</v>
      </c>
      <c r="B901">
        <v>277</v>
      </c>
      <c r="D901" s="1">
        <v>44568</v>
      </c>
      <c r="E901">
        <v>15614359652</v>
      </c>
      <c r="F901" t="str">
        <f ca="1">VLOOKUP(RANDBETWEEN(1,20),'DBO Compras'!AA:AC,3,0)</f>
        <v>Comprador 07</v>
      </c>
      <c r="G901" t="s">
        <v>482</v>
      </c>
      <c r="H901" t="s">
        <v>483</v>
      </c>
      <c r="I901" t="s">
        <v>484</v>
      </c>
      <c r="J901" t="s">
        <v>213</v>
      </c>
      <c r="K901">
        <v>88131600</v>
      </c>
      <c r="L901" t="s">
        <v>92</v>
      </c>
      <c r="M901" t="s">
        <v>485</v>
      </c>
      <c r="N901">
        <v>4833410147</v>
      </c>
      <c r="O901">
        <v>0</v>
      </c>
      <c r="P901">
        <v>0</v>
      </c>
      <c r="R901" t="s">
        <v>302</v>
      </c>
      <c r="S901">
        <v>15016073255</v>
      </c>
      <c r="T901" t="str">
        <f ca="1">VLOOKUP(RANDBETWEEN(1,17),'Auxiliar Vendas'!D:G,2,0)</f>
        <v>Produto 08</v>
      </c>
      <c r="U901">
        <v>200</v>
      </c>
      <c r="V901">
        <v>15</v>
      </c>
      <c r="W901">
        <v>0</v>
      </c>
      <c r="X901">
        <v>10.747</v>
      </c>
      <c r="Y901" s="3">
        <v>3000</v>
      </c>
      <c r="Z901">
        <v>169</v>
      </c>
      <c r="AA901" t="s">
        <v>160</v>
      </c>
      <c r="AB901">
        <v>0</v>
      </c>
      <c r="AC901">
        <v>0</v>
      </c>
      <c r="AD901" t="s">
        <v>189</v>
      </c>
      <c r="AI901">
        <v>0</v>
      </c>
      <c r="AJ901">
        <v>0</v>
      </c>
      <c r="AK901" s="30" t="str">
        <f ca="1">VLOOKUP(T901,'Auxiliar Vendas'!E:F,2,FALSE)</f>
        <v>Produto 08</v>
      </c>
      <c r="AL901" s="31">
        <f ca="1">U901*VLOOKUP(T901,'Auxiliar Vendas'!E:G,3,FALSE)</f>
        <v>220.00000000000003</v>
      </c>
    </row>
    <row r="902" spans="1:38">
      <c r="A902">
        <v>15765354468</v>
      </c>
      <c r="B902">
        <v>277</v>
      </c>
      <c r="D902" s="1">
        <v>44568</v>
      </c>
      <c r="E902">
        <v>15614359652</v>
      </c>
      <c r="F902" t="str">
        <f ca="1">VLOOKUP(RANDBETWEEN(1,20),'DBO Compras'!AA:AC,3,0)</f>
        <v>Comprador 18</v>
      </c>
      <c r="G902" t="s">
        <v>482</v>
      </c>
      <c r="H902" t="s">
        <v>483</v>
      </c>
      <c r="I902" t="s">
        <v>484</v>
      </c>
      <c r="J902" t="s">
        <v>213</v>
      </c>
      <c r="K902">
        <v>88131600</v>
      </c>
      <c r="L902" t="s">
        <v>92</v>
      </c>
      <c r="M902" t="s">
        <v>485</v>
      </c>
      <c r="N902">
        <v>4833410147</v>
      </c>
      <c r="O902">
        <v>0</v>
      </c>
      <c r="P902">
        <v>0</v>
      </c>
      <c r="R902" t="s">
        <v>302</v>
      </c>
      <c r="S902">
        <v>15016080333</v>
      </c>
      <c r="T902" t="str">
        <f ca="1">VLOOKUP(RANDBETWEEN(1,17),'Auxiliar Vendas'!D:G,2,0)</f>
        <v>Produto 14</v>
      </c>
      <c r="U902">
        <v>200</v>
      </c>
      <c r="V902">
        <v>13.4</v>
      </c>
      <c r="W902">
        <v>0</v>
      </c>
      <c r="X902">
        <v>10.747</v>
      </c>
      <c r="Y902" s="3">
        <v>2680</v>
      </c>
      <c r="Z902">
        <v>169</v>
      </c>
      <c r="AA902" t="s">
        <v>80</v>
      </c>
      <c r="AB902">
        <v>0</v>
      </c>
      <c r="AC902">
        <v>0</v>
      </c>
      <c r="AD902" t="s">
        <v>189</v>
      </c>
      <c r="AI902">
        <v>0</v>
      </c>
      <c r="AJ902">
        <v>0</v>
      </c>
      <c r="AK902" s="30" t="str">
        <f ca="1">VLOOKUP(T902,'Auxiliar Vendas'!E:F,2,FALSE)</f>
        <v>Produto 14</v>
      </c>
      <c r="AL902" s="31">
        <f ca="1">U902*VLOOKUP(T902,'Auxiliar Vendas'!E:G,3,FALSE)</f>
        <v>280</v>
      </c>
    </row>
    <row r="903" spans="1:38">
      <c r="A903">
        <v>15765718953</v>
      </c>
      <c r="B903">
        <v>279</v>
      </c>
      <c r="D903" s="1">
        <v>44568</v>
      </c>
      <c r="E903">
        <v>15058698393</v>
      </c>
      <c r="F903" t="str">
        <f ca="1">VLOOKUP(RANDBETWEEN(1,20),'DBO Compras'!AA:AC,3,0)</f>
        <v>Comprador 20</v>
      </c>
      <c r="G903" t="s">
        <v>67</v>
      </c>
      <c r="H903" t="s">
        <v>68</v>
      </c>
      <c r="I903" t="s">
        <v>69</v>
      </c>
      <c r="J903" t="s">
        <v>70</v>
      </c>
      <c r="K903">
        <v>83320382</v>
      </c>
      <c r="L903" t="s">
        <v>40</v>
      </c>
      <c r="M903" t="s">
        <v>71</v>
      </c>
      <c r="N903">
        <v>41998972354</v>
      </c>
      <c r="O903">
        <v>0</v>
      </c>
      <c r="P903">
        <v>0</v>
      </c>
      <c r="R903" t="s">
        <v>42</v>
      </c>
      <c r="S903">
        <v>15016043939</v>
      </c>
      <c r="T903" t="str">
        <f ca="1">VLOOKUP(RANDBETWEEN(1,17),'Auxiliar Vendas'!D:G,2,0)</f>
        <v>Produto 03</v>
      </c>
      <c r="U903">
        <v>300</v>
      </c>
      <c r="V903">
        <v>12.45</v>
      </c>
      <c r="W903">
        <v>0</v>
      </c>
      <c r="X903">
        <v>10.747</v>
      </c>
      <c r="Y903" s="3">
        <v>3735</v>
      </c>
      <c r="Z903">
        <v>18</v>
      </c>
      <c r="AA903" t="s">
        <v>50</v>
      </c>
      <c r="AB903">
        <v>0</v>
      </c>
      <c r="AC903">
        <v>0</v>
      </c>
      <c r="AH903" s="2">
        <v>44571.42083333333</v>
      </c>
      <c r="AI903">
        <v>0</v>
      </c>
      <c r="AJ903">
        <v>0</v>
      </c>
      <c r="AK903" s="30" t="str">
        <f ca="1">VLOOKUP(T903,'Auxiliar Vendas'!E:F,2,FALSE)</f>
        <v>Produto 03</v>
      </c>
      <c r="AL903" s="31">
        <f ca="1">U903*VLOOKUP(T903,'Auxiliar Vendas'!E:G,3,FALSE)</f>
        <v>180</v>
      </c>
    </row>
    <row r="904" spans="1:38">
      <c r="A904">
        <v>15765718953</v>
      </c>
      <c r="B904">
        <v>279</v>
      </c>
      <c r="D904" s="1">
        <v>44568</v>
      </c>
      <c r="E904">
        <v>15058698393</v>
      </c>
      <c r="F904" t="str">
        <f ca="1">VLOOKUP(RANDBETWEEN(1,20),'DBO Compras'!AA:AC,3,0)</f>
        <v>Comprador 12</v>
      </c>
      <c r="G904" t="s">
        <v>67</v>
      </c>
      <c r="H904" t="s">
        <v>68</v>
      </c>
      <c r="I904" t="s">
        <v>69</v>
      </c>
      <c r="J904" t="s">
        <v>70</v>
      </c>
      <c r="K904">
        <v>83320382</v>
      </c>
      <c r="L904" t="s">
        <v>40</v>
      </c>
      <c r="M904" t="s">
        <v>71</v>
      </c>
      <c r="N904">
        <v>41998972354</v>
      </c>
      <c r="O904">
        <v>0</v>
      </c>
      <c r="P904">
        <v>0</v>
      </c>
      <c r="R904" t="s">
        <v>42</v>
      </c>
      <c r="S904">
        <v>15016073255</v>
      </c>
      <c r="T904" t="str">
        <f ca="1">VLOOKUP(RANDBETWEEN(1,17),'Auxiliar Vendas'!D:G,2,0)</f>
        <v>Produto 14</v>
      </c>
      <c r="U904">
        <v>300</v>
      </c>
      <c r="V904">
        <v>13.4</v>
      </c>
      <c r="W904">
        <v>0</v>
      </c>
      <c r="X904">
        <v>10.747</v>
      </c>
      <c r="Y904" s="3">
        <v>4020</v>
      </c>
      <c r="Z904">
        <v>18</v>
      </c>
      <c r="AA904" t="s">
        <v>160</v>
      </c>
      <c r="AB904">
        <v>0</v>
      </c>
      <c r="AC904">
        <v>0</v>
      </c>
      <c r="AH904" s="2">
        <v>44571.42083333333</v>
      </c>
      <c r="AI904">
        <v>0</v>
      </c>
      <c r="AJ904">
        <v>0</v>
      </c>
      <c r="AK904" s="30" t="str">
        <f ca="1">VLOOKUP(T904,'Auxiliar Vendas'!E:F,2,FALSE)</f>
        <v>Produto 14</v>
      </c>
      <c r="AL904" s="31">
        <f ca="1">U904*VLOOKUP(T904,'Auxiliar Vendas'!E:G,3,FALSE)</f>
        <v>420</v>
      </c>
    </row>
    <row r="905" spans="1:38">
      <c r="A905">
        <v>15765718953</v>
      </c>
      <c r="B905">
        <v>279</v>
      </c>
      <c r="D905" s="1">
        <v>44568</v>
      </c>
      <c r="E905">
        <v>15058698393</v>
      </c>
      <c r="F905" t="str">
        <f ca="1">VLOOKUP(RANDBETWEEN(1,20),'DBO Compras'!AA:AC,3,0)</f>
        <v>Comprador 05</v>
      </c>
      <c r="G905" t="s">
        <v>67</v>
      </c>
      <c r="H905" t="s">
        <v>68</v>
      </c>
      <c r="I905" t="s">
        <v>69</v>
      </c>
      <c r="J905" t="s">
        <v>70</v>
      </c>
      <c r="K905">
        <v>83320382</v>
      </c>
      <c r="L905" t="s">
        <v>40</v>
      </c>
      <c r="M905" t="s">
        <v>71</v>
      </c>
      <c r="N905">
        <v>41998972354</v>
      </c>
      <c r="O905">
        <v>0</v>
      </c>
      <c r="P905">
        <v>0</v>
      </c>
      <c r="R905" t="s">
        <v>42</v>
      </c>
      <c r="S905">
        <v>15016099089</v>
      </c>
      <c r="T905" t="str">
        <f ca="1">VLOOKUP(RANDBETWEEN(1,17),'Auxiliar Vendas'!D:G,2,0)</f>
        <v>Produto 03</v>
      </c>
      <c r="U905">
        <v>100</v>
      </c>
      <c r="V905">
        <v>19.3</v>
      </c>
      <c r="W905">
        <v>0</v>
      </c>
      <c r="X905">
        <v>16.804400000000001</v>
      </c>
      <c r="Y905" s="3">
        <v>1930</v>
      </c>
      <c r="Z905">
        <v>18</v>
      </c>
      <c r="AA905" t="s">
        <v>79</v>
      </c>
      <c r="AB905">
        <v>0</v>
      </c>
      <c r="AC905">
        <v>0</v>
      </c>
      <c r="AH905" s="2">
        <v>44571.42083333333</v>
      </c>
      <c r="AI905">
        <v>0</v>
      </c>
      <c r="AJ905">
        <v>0</v>
      </c>
      <c r="AK905" s="30" t="str">
        <f ca="1">VLOOKUP(T905,'Auxiliar Vendas'!E:F,2,FALSE)</f>
        <v>Produto 03</v>
      </c>
      <c r="AL905" s="31">
        <f ca="1">U905*VLOOKUP(T905,'Auxiliar Vendas'!E:G,3,FALSE)</f>
        <v>60</v>
      </c>
    </row>
    <row r="906" spans="1:38">
      <c r="A906">
        <v>15765718953</v>
      </c>
      <c r="B906">
        <v>279</v>
      </c>
      <c r="D906" s="1">
        <v>44568</v>
      </c>
      <c r="E906">
        <v>15058698393</v>
      </c>
      <c r="F906" t="str">
        <f ca="1">VLOOKUP(RANDBETWEEN(1,20),'DBO Compras'!AA:AC,3,0)</f>
        <v>Comprador 15</v>
      </c>
      <c r="G906" t="s">
        <v>67</v>
      </c>
      <c r="H906" t="s">
        <v>68</v>
      </c>
      <c r="I906" t="s">
        <v>69</v>
      </c>
      <c r="J906" t="s">
        <v>70</v>
      </c>
      <c r="K906">
        <v>83320382</v>
      </c>
      <c r="L906" t="s">
        <v>40</v>
      </c>
      <c r="M906" t="s">
        <v>71</v>
      </c>
      <c r="N906">
        <v>41998972354</v>
      </c>
      <c r="O906">
        <v>0</v>
      </c>
      <c r="P906">
        <v>0</v>
      </c>
      <c r="R906" t="s">
        <v>42</v>
      </c>
      <c r="S906">
        <v>15016093155</v>
      </c>
      <c r="T906" t="str">
        <f ca="1">VLOOKUP(RANDBETWEEN(1,17),'Auxiliar Vendas'!D:G,2,0)</f>
        <v>Produto 01</v>
      </c>
      <c r="U906">
        <v>100</v>
      </c>
      <c r="V906">
        <v>16.7</v>
      </c>
      <c r="W906">
        <v>0</v>
      </c>
      <c r="X906">
        <v>14.4596</v>
      </c>
      <c r="Y906" s="3">
        <v>1670</v>
      </c>
      <c r="Z906">
        <v>18</v>
      </c>
      <c r="AA906" t="s">
        <v>65</v>
      </c>
      <c r="AB906">
        <v>0</v>
      </c>
      <c r="AC906">
        <v>0</v>
      </c>
      <c r="AH906" s="2">
        <v>44571.42083333333</v>
      </c>
      <c r="AI906">
        <v>0</v>
      </c>
      <c r="AJ906">
        <v>0</v>
      </c>
      <c r="AK906" s="30" t="str">
        <f ca="1">VLOOKUP(T906,'Auxiliar Vendas'!E:F,2,FALSE)</f>
        <v>Produto 01</v>
      </c>
      <c r="AL906" s="31">
        <f ca="1">U906*VLOOKUP(T906,'Auxiliar Vendas'!E:G,3,FALSE)</f>
        <v>40</v>
      </c>
    </row>
    <row r="907" spans="1:38">
      <c r="A907">
        <v>15765932342</v>
      </c>
      <c r="B907">
        <v>281</v>
      </c>
      <c r="D907" s="1">
        <v>44568</v>
      </c>
      <c r="E907">
        <v>15339582855</v>
      </c>
      <c r="F907" t="str">
        <f ca="1">VLOOKUP(RANDBETWEEN(1,20),'DBO Compras'!AA:AC,3,0)</f>
        <v>Comprador 19</v>
      </c>
      <c r="G907" t="s">
        <v>263</v>
      </c>
      <c r="H907" t="s">
        <v>264</v>
      </c>
      <c r="I907" t="s">
        <v>265</v>
      </c>
      <c r="J907" t="s">
        <v>39</v>
      </c>
      <c r="K907">
        <v>82840020</v>
      </c>
      <c r="L907" t="s">
        <v>40</v>
      </c>
      <c r="M907" t="s">
        <v>266</v>
      </c>
      <c r="N907">
        <v>41995546245</v>
      </c>
      <c r="O907">
        <v>0</v>
      </c>
      <c r="P907">
        <v>0</v>
      </c>
      <c r="R907" t="s">
        <v>302</v>
      </c>
      <c r="S907">
        <v>15016093155</v>
      </c>
      <c r="T907" t="str">
        <f ca="1">VLOOKUP(RANDBETWEEN(1,17),'Auxiliar Vendas'!D:G,2,0)</f>
        <v>Produto 07</v>
      </c>
      <c r="U907" s="3">
        <v>1000</v>
      </c>
      <c r="V907">
        <v>16.7</v>
      </c>
      <c r="W907">
        <v>0</v>
      </c>
      <c r="X907">
        <v>14.4596</v>
      </c>
      <c r="Y907" s="3">
        <v>16700</v>
      </c>
      <c r="Z907">
        <v>83</v>
      </c>
      <c r="AA907" t="s">
        <v>65</v>
      </c>
      <c r="AB907">
        <v>0</v>
      </c>
      <c r="AC907">
        <v>0</v>
      </c>
      <c r="AI907">
        <v>0</v>
      </c>
      <c r="AJ907">
        <v>0</v>
      </c>
      <c r="AK907" s="30" t="str">
        <f ca="1">VLOOKUP(T907,'Auxiliar Vendas'!E:F,2,FALSE)</f>
        <v>Produto 07</v>
      </c>
      <c r="AL907" s="31">
        <f ca="1">U907*VLOOKUP(T907,'Auxiliar Vendas'!E:G,3,FALSE)</f>
        <v>1100</v>
      </c>
    </row>
    <row r="908" spans="1:38">
      <c r="A908">
        <v>15765932342</v>
      </c>
      <c r="B908">
        <v>281</v>
      </c>
      <c r="D908" s="1">
        <v>44568</v>
      </c>
      <c r="E908">
        <v>15339582855</v>
      </c>
      <c r="F908" t="str">
        <f ca="1">VLOOKUP(RANDBETWEEN(1,20),'DBO Compras'!AA:AC,3,0)</f>
        <v>Comprador 13</v>
      </c>
      <c r="G908" t="s">
        <v>263</v>
      </c>
      <c r="H908" t="s">
        <v>264</v>
      </c>
      <c r="I908" t="s">
        <v>265</v>
      </c>
      <c r="J908" t="s">
        <v>39</v>
      </c>
      <c r="K908">
        <v>82840020</v>
      </c>
      <c r="L908" t="s">
        <v>40</v>
      </c>
      <c r="M908" t="s">
        <v>266</v>
      </c>
      <c r="N908">
        <v>41995546245</v>
      </c>
      <c r="O908">
        <v>0</v>
      </c>
      <c r="P908">
        <v>0</v>
      </c>
      <c r="R908" t="s">
        <v>302</v>
      </c>
      <c r="S908">
        <v>15016099089</v>
      </c>
      <c r="T908" t="str">
        <f ca="1">VLOOKUP(RANDBETWEEN(1,17),'Auxiliar Vendas'!D:G,2,0)</f>
        <v>Produto 03</v>
      </c>
      <c r="U908" s="3">
        <v>1000</v>
      </c>
      <c r="V908">
        <v>19.3</v>
      </c>
      <c r="W908">
        <v>0</v>
      </c>
      <c r="X908">
        <v>16.804400000000001</v>
      </c>
      <c r="Y908" s="3">
        <v>19300</v>
      </c>
      <c r="Z908">
        <v>83</v>
      </c>
      <c r="AA908" t="s">
        <v>79</v>
      </c>
      <c r="AB908">
        <v>0</v>
      </c>
      <c r="AC908">
        <v>0</v>
      </c>
      <c r="AI908">
        <v>0</v>
      </c>
      <c r="AJ908">
        <v>0</v>
      </c>
      <c r="AK908" s="30" t="str">
        <f ca="1">VLOOKUP(T908,'Auxiliar Vendas'!E:F,2,FALSE)</f>
        <v>Produto 03</v>
      </c>
      <c r="AL908" s="31">
        <f ca="1">U908*VLOOKUP(T908,'Auxiliar Vendas'!E:G,3,FALSE)</f>
        <v>600</v>
      </c>
    </row>
    <row r="909" spans="1:38">
      <c r="A909">
        <v>15765932342</v>
      </c>
      <c r="B909">
        <v>281</v>
      </c>
      <c r="D909" s="1">
        <v>44568</v>
      </c>
      <c r="E909">
        <v>15339582855</v>
      </c>
      <c r="F909" t="str">
        <f ca="1">VLOOKUP(RANDBETWEEN(1,20),'DBO Compras'!AA:AC,3,0)</f>
        <v>Comprador 08</v>
      </c>
      <c r="G909" t="s">
        <v>263</v>
      </c>
      <c r="H909" t="s">
        <v>264</v>
      </c>
      <c r="I909" t="s">
        <v>265</v>
      </c>
      <c r="J909" t="s">
        <v>39</v>
      </c>
      <c r="K909">
        <v>82840020</v>
      </c>
      <c r="L909" t="s">
        <v>40</v>
      </c>
      <c r="M909" t="s">
        <v>266</v>
      </c>
      <c r="N909">
        <v>41995546245</v>
      </c>
      <c r="O909">
        <v>0</v>
      </c>
      <c r="P909">
        <v>0</v>
      </c>
      <c r="R909" t="s">
        <v>302</v>
      </c>
      <c r="S909">
        <v>15016099089</v>
      </c>
      <c r="T909" t="str">
        <f ca="1">VLOOKUP(RANDBETWEEN(1,17),'Auxiliar Vendas'!D:G,2,0)</f>
        <v>Produto 17</v>
      </c>
      <c r="U909">
        <v>500</v>
      </c>
      <c r="V909">
        <v>18.010000000000002</v>
      </c>
      <c r="W909">
        <v>0</v>
      </c>
      <c r="X909">
        <v>16.804400000000001</v>
      </c>
      <c r="Y909" s="3">
        <v>9005</v>
      </c>
      <c r="Z909">
        <v>83</v>
      </c>
      <c r="AA909" t="s">
        <v>79</v>
      </c>
      <c r="AB909">
        <v>0</v>
      </c>
      <c r="AC909">
        <v>0</v>
      </c>
      <c r="AI909">
        <v>0</v>
      </c>
      <c r="AJ909">
        <v>0</v>
      </c>
      <c r="AK909" s="30" t="str">
        <f ca="1">VLOOKUP(T909,'Auxiliar Vendas'!E:F,2,FALSE)</f>
        <v>Produto 17</v>
      </c>
      <c r="AL909" s="31">
        <f ca="1">U909*VLOOKUP(T909,'Auxiliar Vendas'!E:G,3,FALSE)</f>
        <v>710</v>
      </c>
    </row>
    <row r="910" spans="1:38">
      <c r="A910">
        <v>15765932342</v>
      </c>
      <c r="B910">
        <v>281</v>
      </c>
      <c r="D910" s="1">
        <v>44568</v>
      </c>
      <c r="E910">
        <v>15339582855</v>
      </c>
      <c r="F910" t="str">
        <f ca="1">VLOOKUP(RANDBETWEEN(1,20),'DBO Compras'!AA:AC,3,0)</f>
        <v>Comprador 09</v>
      </c>
      <c r="G910" t="s">
        <v>263</v>
      </c>
      <c r="H910" t="s">
        <v>264</v>
      </c>
      <c r="I910" t="s">
        <v>265</v>
      </c>
      <c r="J910" t="s">
        <v>39</v>
      </c>
      <c r="K910">
        <v>82840020</v>
      </c>
      <c r="L910" t="s">
        <v>40</v>
      </c>
      <c r="M910" t="s">
        <v>266</v>
      </c>
      <c r="N910">
        <v>41995546245</v>
      </c>
      <c r="O910">
        <v>0</v>
      </c>
      <c r="P910">
        <v>0</v>
      </c>
      <c r="R910" t="s">
        <v>302</v>
      </c>
      <c r="S910">
        <v>15016043939</v>
      </c>
      <c r="T910" t="str">
        <f ca="1">VLOOKUP(RANDBETWEEN(1,17),'Auxiliar Vendas'!D:G,2,0)</f>
        <v>Produto 17</v>
      </c>
      <c r="U910" s="3">
        <v>4000</v>
      </c>
      <c r="V910">
        <v>12.45</v>
      </c>
      <c r="W910">
        <v>0</v>
      </c>
      <c r="X910">
        <v>10.747</v>
      </c>
      <c r="Y910" s="3">
        <v>49800</v>
      </c>
      <c r="Z910">
        <v>83</v>
      </c>
      <c r="AA910" t="s">
        <v>50</v>
      </c>
      <c r="AB910">
        <v>0</v>
      </c>
      <c r="AC910">
        <v>0</v>
      </c>
      <c r="AI910">
        <v>0</v>
      </c>
      <c r="AJ910">
        <v>0</v>
      </c>
      <c r="AK910" s="30" t="str">
        <f ca="1">VLOOKUP(T910,'Auxiliar Vendas'!E:F,2,FALSE)</f>
        <v>Produto 17</v>
      </c>
      <c r="AL910" s="31">
        <f ca="1">U910*VLOOKUP(T910,'Auxiliar Vendas'!E:G,3,FALSE)</f>
        <v>5680</v>
      </c>
    </row>
    <row r="911" spans="1:38">
      <c r="A911">
        <v>15765932342</v>
      </c>
      <c r="B911">
        <v>281</v>
      </c>
      <c r="D911" s="1">
        <v>44568</v>
      </c>
      <c r="E911">
        <v>15339582855</v>
      </c>
      <c r="F911" t="str">
        <f ca="1">VLOOKUP(RANDBETWEEN(1,20),'DBO Compras'!AA:AC,3,0)</f>
        <v>Comprador 17</v>
      </c>
      <c r="G911" t="s">
        <v>263</v>
      </c>
      <c r="H911" t="s">
        <v>264</v>
      </c>
      <c r="I911" t="s">
        <v>265</v>
      </c>
      <c r="J911" t="s">
        <v>39</v>
      </c>
      <c r="K911">
        <v>82840020</v>
      </c>
      <c r="L911" t="s">
        <v>40</v>
      </c>
      <c r="M911" t="s">
        <v>266</v>
      </c>
      <c r="N911">
        <v>41995546245</v>
      </c>
      <c r="O911">
        <v>0</v>
      </c>
      <c r="P911">
        <v>0</v>
      </c>
      <c r="R911" t="s">
        <v>302</v>
      </c>
      <c r="S911">
        <v>15139667431</v>
      </c>
      <c r="T911" t="str">
        <f ca="1">VLOOKUP(RANDBETWEEN(1,17),'Auxiliar Vendas'!D:G,2,0)</f>
        <v>Produto 02</v>
      </c>
      <c r="U911">
        <v>500</v>
      </c>
      <c r="V911">
        <v>20</v>
      </c>
      <c r="W911">
        <v>0</v>
      </c>
      <c r="X911">
        <v>0</v>
      </c>
      <c r="Y911" s="3">
        <v>10000</v>
      </c>
      <c r="Z911">
        <v>83</v>
      </c>
      <c r="AA911" t="s">
        <v>145</v>
      </c>
      <c r="AB911">
        <v>0</v>
      </c>
      <c r="AC911">
        <v>0</v>
      </c>
      <c r="AI911">
        <v>0</v>
      </c>
      <c r="AJ911">
        <v>0</v>
      </c>
      <c r="AK911" s="30" t="str">
        <f ca="1">VLOOKUP(T911,'Auxiliar Vendas'!E:F,2,FALSE)</f>
        <v>Produto 02</v>
      </c>
      <c r="AL911" s="31">
        <f ca="1">U911*VLOOKUP(T911,'Auxiliar Vendas'!E:G,3,FALSE)</f>
        <v>135</v>
      </c>
    </row>
    <row r="912" spans="1:38">
      <c r="A912">
        <v>15765932342</v>
      </c>
      <c r="B912">
        <v>281</v>
      </c>
      <c r="D912" s="1">
        <v>44568</v>
      </c>
      <c r="E912">
        <v>15339582855</v>
      </c>
      <c r="F912" t="str">
        <f ca="1">VLOOKUP(RANDBETWEEN(1,20),'DBO Compras'!AA:AC,3,0)</f>
        <v>Comprador 17</v>
      </c>
      <c r="G912" t="s">
        <v>263</v>
      </c>
      <c r="H912" t="s">
        <v>264</v>
      </c>
      <c r="I912" t="s">
        <v>265</v>
      </c>
      <c r="J912" t="s">
        <v>39</v>
      </c>
      <c r="K912">
        <v>82840020</v>
      </c>
      <c r="L912" t="s">
        <v>40</v>
      </c>
      <c r="M912" t="s">
        <v>266</v>
      </c>
      <c r="N912">
        <v>41995546245</v>
      </c>
      <c r="O912">
        <v>0</v>
      </c>
      <c r="P912">
        <v>0</v>
      </c>
      <c r="R912" t="s">
        <v>302</v>
      </c>
      <c r="S912">
        <v>15016099089</v>
      </c>
      <c r="T912" t="str">
        <f ca="1">VLOOKUP(RANDBETWEEN(1,17),'Auxiliar Vendas'!D:G,2,0)</f>
        <v>Produto 09</v>
      </c>
      <c r="U912">
        <v>300</v>
      </c>
      <c r="V912">
        <v>16.079999999999998</v>
      </c>
      <c r="W912">
        <v>0</v>
      </c>
      <c r="X912">
        <v>16.804400000000001</v>
      </c>
      <c r="Y912" s="3">
        <v>4824</v>
      </c>
      <c r="Z912">
        <v>83</v>
      </c>
      <c r="AA912" t="s">
        <v>79</v>
      </c>
      <c r="AB912">
        <v>0</v>
      </c>
      <c r="AC912">
        <v>0</v>
      </c>
      <c r="AI912">
        <v>0</v>
      </c>
      <c r="AJ912">
        <v>0</v>
      </c>
      <c r="AK912" s="30" t="str">
        <f ca="1">VLOOKUP(T912,'Auxiliar Vendas'!E:F,2,FALSE)</f>
        <v>Produto 09</v>
      </c>
      <c r="AL912" s="31">
        <f ca="1">U912*VLOOKUP(T912,'Auxiliar Vendas'!E:G,3,FALSE)</f>
        <v>330</v>
      </c>
    </row>
    <row r="913" spans="1:38">
      <c r="A913">
        <v>15767144963</v>
      </c>
      <c r="B913">
        <v>282</v>
      </c>
      <c r="D913" s="1">
        <v>44568</v>
      </c>
      <c r="E913">
        <v>15615620581</v>
      </c>
      <c r="F913" t="str">
        <f ca="1">VLOOKUP(RANDBETWEEN(1,20),'DBO Compras'!AA:AC,3,0)</f>
        <v>Comprador 18</v>
      </c>
      <c r="G913" t="s">
        <v>486</v>
      </c>
      <c r="H913" t="s">
        <v>487</v>
      </c>
      <c r="I913" t="s">
        <v>488</v>
      </c>
      <c r="J913" t="s">
        <v>489</v>
      </c>
      <c r="K913">
        <v>88808073</v>
      </c>
      <c r="L913" t="s">
        <v>235</v>
      </c>
      <c r="M913" t="s">
        <v>490</v>
      </c>
      <c r="N913">
        <v>48996577067</v>
      </c>
      <c r="O913">
        <v>0</v>
      </c>
      <c r="P913">
        <v>0</v>
      </c>
      <c r="Q913" t="s">
        <v>491</v>
      </c>
      <c r="R913" t="s">
        <v>302</v>
      </c>
      <c r="S913">
        <v>15016099089</v>
      </c>
      <c r="T913" t="str">
        <f ca="1">VLOOKUP(RANDBETWEEN(1,17),'Auxiliar Vendas'!D:G,2,0)</f>
        <v>Produto 13</v>
      </c>
      <c r="U913">
        <v>120</v>
      </c>
      <c r="V913">
        <v>20.9</v>
      </c>
      <c r="W913">
        <v>0</v>
      </c>
      <c r="X913">
        <v>16.804400000000001</v>
      </c>
      <c r="Y913" s="3">
        <v>2508</v>
      </c>
      <c r="Z913">
        <v>172</v>
      </c>
      <c r="AA913" t="s">
        <v>79</v>
      </c>
      <c r="AB913">
        <v>0</v>
      </c>
      <c r="AC913">
        <v>0</v>
      </c>
      <c r="AD913" t="s">
        <v>189</v>
      </c>
      <c r="AI913">
        <v>0</v>
      </c>
      <c r="AJ913">
        <v>0</v>
      </c>
      <c r="AK913" s="30" t="str">
        <f ca="1">VLOOKUP(T913,'Auxiliar Vendas'!E:F,2,FALSE)</f>
        <v>Produto 13</v>
      </c>
      <c r="AL913" s="31">
        <f ca="1">U913*VLOOKUP(T913,'Auxiliar Vendas'!E:G,3,FALSE)</f>
        <v>168</v>
      </c>
    </row>
    <row r="914" spans="1:38">
      <c r="A914">
        <v>15767144963</v>
      </c>
      <c r="B914">
        <v>282</v>
      </c>
      <c r="D914" s="1">
        <v>44568</v>
      </c>
      <c r="E914">
        <v>15615620581</v>
      </c>
      <c r="F914" t="str">
        <f ca="1">VLOOKUP(RANDBETWEEN(1,20),'DBO Compras'!AA:AC,3,0)</f>
        <v>Comprador 12</v>
      </c>
      <c r="G914" t="s">
        <v>486</v>
      </c>
      <c r="H914" t="s">
        <v>487</v>
      </c>
      <c r="I914" t="s">
        <v>488</v>
      </c>
      <c r="J914" t="s">
        <v>489</v>
      </c>
      <c r="K914">
        <v>88808073</v>
      </c>
      <c r="L914" t="s">
        <v>235</v>
      </c>
      <c r="M914" t="s">
        <v>490</v>
      </c>
      <c r="N914">
        <v>48996577067</v>
      </c>
      <c r="O914">
        <v>0</v>
      </c>
      <c r="P914">
        <v>0</v>
      </c>
      <c r="Q914" t="s">
        <v>491</v>
      </c>
      <c r="R914" t="s">
        <v>302</v>
      </c>
      <c r="S914">
        <v>15016087271</v>
      </c>
      <c r="T914" t="str">
        <f ca="1">VLOOKUP(RANDBETWEEN(1,17),'Auxiliar Vendas'!D:G,2,0)</f>
        <v>Produto 07</v>
      </c>
      <c r="U914">
        <v>50</v>
      </c>
      <c r="V914">
        <v>17.899999999999999</v>
      </c>
      <c r="W914">
        <v>0</v>
      </c>
      <c r="X914">
        <v>14.4596</v>
      </c>
      <c r="Y914">
        <v>895</v>
      </c>
      <c r="Z914">
        <v>172</v>
      </c>
      <c r="AA914" t="s">
        <v>64</v>
      </c>
      <c r="AB914">
        <v>0</v>
      </c>
      <c r="AC914">
        <v>0</v>
      </c>
      <c r="AD914" t="s">
        <v>189</v>
      </c>
      <c r="AI914">
        <v>0</v>
      </c>
      <c r="AJ914">
        <v>0</v>
      </c>
      <c r="AK914" s="30" t="str">
        <f ca="1">VLOOKUP(T914,'Auxiliar Vendas'!E:F,2,FALSE)</f>
        <v>Produto 07</v>
      </c>
      <c r="AL914" s="31">
        <f ca="1">U914*VLOOKUP(T914,'Auxiliar Vendas'!E:G,3,FALSE)</f>
        <v>55.000000000000007</v>
      </c>
    </row>
    <row r="915" spans="1:38">
      <c r="A915">
        <v>15767144963</v>
      </c>
      <c r="B915">
        <v>282</v>
      </c>
      <c r="D915" s="1">
        <v>44568</v>
      </c>
      <c r="E915">
        <v>15615620581</v>
      </c>
      <c r="F915" t="str">
        <f ca="1">VLOOKUP(RANDBETWEEN(1,20),'DBO Compras'!AA:AC,3,0)</f>
        <v>Comprador 19</v>
      </c>
      <c r="G915" t="s">
        <v>486</v>
      </c>
      <c r="H915" t="s">
        <v>487</v>
      </c>
      <c r="I915" t="s">
        <v>488</v>
      </c>
      <c r="J915" t="s">
        <v>489</v>
      </c>
      <c r="K915">
        <v>88808073</v>
      </c>
      <c r="L915" t="s">
        <v>235</v>
      </c>
      <c r="M915" t="s">
        <v>490</v>
      </c>
      <c r="N915">
        <v>48996577067</v>
      </c>
      <c r="O915">
        <v>0</v>
      </c>
      <c r="P915">
        <v>0</v>
      </c>
      <c r="Q915" t="s">
        <v>491</v>
      </c>
      <c r="R915" t="s">
        <v>302</v>
      </c>
      <c r="S915">
        <v>15016093155</v>
      </c>
      <c r="T915" t="str">
        <f ca="1">VLOOKUP(RANDBETWEEN(1,17),'Auxiliar Vendas'!D:G,2,0)</f>
        <v>Produto 15</v>
      </c>
      <c r="U915">
        <v>60</v>
      </c>
      <c r="V915">
        <v>17.899999999999999</v>
      </c>
      <c r="W915">
        <v>0</v>
      </c>
      <c r="X915">
        <v>14.4596</v>
      </c>
      <c r="Y915" s="3">
        <v>1074</v>
      </c>
      <c r="Z915">
        <v>172</v>
      </c>
      <c r="AA915" t="s">
        <v>65</v>
      </c>
      <c r="AB915">
        <v>0</v>
      </c>
      <c r="AC915">
        <v>0</v>
      </c>
      <c r="AD915" t="s">
        <v>189</v>
      </c>
      <c r="AI915">
        <v>0</v>
      </c>
      <c r="AJ915">
        <v>0</v>
      </c>
      <c r="AK915" s="30" t="str">
        <f ca="1">VLOOKUP(T915,'Auxiliar Vendas'!E:F,2,FALSE)</f>
        <v>Produto 15</v>
      </c>
      <c r="AL915" s="31">
        <f ca="1">U915*VLOOKUP(T915,'Auxiliar Vendas'!E:G,3,FALSE)</f>
        <v>85.199999999999989</v>
      </c>
    </row>
    <row r="916" spans="1:38">
      <c r="A916">
        <v>15767144963</v>
      </c>
      <c r="B916">
        <v>282</v>
      </c>
      <c r="D916" s="1">
        <v>44568</v>
      </c>
      <c r="E916">
        <v>15615620581</v>
      </c>
      <c r="F916" t="str">
        <f ca="1">VLOOKUP(RANDBETWEEN(1,20),'DBO Compras'!AA:AC,3,0)</f>
        <v>Comprador 03</v>
      </c>
      <c r="G916" t="s">
        <v>486</v>
      </c>
      <c r="H916" t="s">
        <v>487</v>
      </c>
      <c r="I916" t="s">
        <v>488</v>
      </c>
      <c r="J916" t="s">
        <v>489</v>
      </c>
      <c r="K916">
        <v>88808073</v>
      </c>
      <c r="L916" t="s">
        <v>235</v>
      </c>
      <c r="M916" t="s">
        <v>490</v>
      </c>
      <c r="N916">
        <v>48996577067</v>
      </c>
      <c r="O916">
        <v>0</v>
      </c>
      <c r="P916">
        <v>0</v>
      </c>
      <c r="Q916" t="s">
        <v>491</v>
      </c>
      <c r="R916" t="s">
        <v>302</v>
      </c>
      <c r="S916">
        <v>15016080333</v>
      </c>
      <c r="T916" t="str">
        <f ca="1">VLOOKUP(RANDBETWEEN(1,17),'Auxiliar Vendas'!D:G,2,0)</f>
        <v>Produto 02</v>
      </c>
      <c r="U916">
        <v>30</v>
      </c>
      <c r="V916">
        <v>13.9</v>
      </c>
      <c r="W916">
        <v>0</v>
      </c>
      <c r="X916">
        <v>10.747</v>
      </c>
      <c r="Y916">
        <v>417</v>
      </c>
      <c r="Z916">
        <v>172</v>
      </c>
      <c r="AA916" t="s">
        <v>80</v>
      </c>
      <c r="AB916">
        <v>0</v>
      </c>
      <c r="AC916">
        <v>0</v>
      </c>
      <c r="AD916" t="s">
        <v>189</v>
      </c>
      <c r="AI916">
        <v>0</v>
      </c>
      <c r="AJ916">
        <v>0</v>
      </c>
      <c r="AK916" s="30" t="str">
        <f ca="1">VLOOKUP(T916,'Auxiliar Vendas'!E:F,2,FALSE)</f>
        <v>Produto 02</v>
      </c>
      <c r="AL916" s="31">
        <f ca="1">U916*VLOOKUP(T916,'Auxiliar Vendas'!E:G,3,FALSE)</f>
        <v>8.1000000000000014</v>
      </c>
    </row>
    <row r="917" spans="1:38">
      <c r="A917">
        <v>15767144963</v>
      </c>
      <c r="B917">
        <v>282</v>
      </c>
      <c r="D917" s="1">
        <v>44568</v>
      </c>
      <c r="E917">
        <v>15615620581</v>
      </c>
      <c r="F917" t="str">
        <f ca="1">VLOOKUP(RANDBETWEEN(1,20),'DBO Compras'!AA:AC,3,0)</f>
        <v>Comprador 04</v>
      </c>
      <c r="G917" t="s">
        <v>486</v>
      </c>
      <c r="H917" t="s">
        <v>487</v>
      </c>
      <c r="I917" t="s">
        <v>488</v>
      </c>
      <c r="J917" t="s">
        <v>489</v>
      </c>
      <c r="K917">
        <v>88808073</v>
      </c>
      <c r="L917" t="s">
        <v>235</v>
      </c>
      <c r="M917" t="s">
        <v>490</v>
      </c>
      <c r="N917">
        <v>48996577067</v>
      </c>
      <c r="O917">
        <v>0</v>
      </c>
      <c r="P917">
        <v>0</v>
      </c>
      <c r="Q917" t="s">
        <v>491</v>
      </c>
      <c r="R917" t="s">
        <v>302</v>
      </c>
      <c r="S917">
        <v>15016043939</v>
      </c>
      <c r="T917" t="str">
        <f ca="1">VLOOKUP(RANDBETWEEN(1,17),'Auxiliar Vendas'!D:G,2,0)</f>
        <v>Produto 06</v>
      </c>
      <c r="U917">
        <v>120</v>
      </c>
      <c r="V917">
        <v>13.3</v>
      </c>
      <c r="W917">
        <v>0</v>
      </c>
      <c r="X917">
        <v>10.747</v>
      </c>
      <c r="Y917" s="3">
        <v>1596</v>
      </c>
      <c r="Z917">
        <v>172</v>
      </c>
      <c r="AA917" t="s">
        <v>50</v>
      </c>
      <c r="AB917">
        <v>0</v>
      </c>
      <c r="AC917">
        <v>0</v>
      </c>
      <c r="AD917" t="s">
        <v>189</v>
      </c>
      <c r="AI917">
        <v>0</v>
      </c>
      <c r="AJ917">
        <v>0</v>
      </c>
      <c r="AK917" s="30" t="str">
        <f ca="1">VLOOKUP(T917,'Auxiliar Vendas'!E:F,2,FALSE)</f>
        <v>Produto 06</v>
      </c>
      <c r="AL917" s="31">
        <f ca="1">U917*VLOOKUP(T917,'Auxiliar Vendas'!E:G,3,FALSE)</f>
        <v>60</v>
      </c>
    </row>
    <row r="918" spans="1:38">
      <c r="A918">
        <v>15767144963</v>
      </c>
      <c r="B918">
        <v>282</v>
      </c>
      <c r="D918" s="1">
        <v>44568</v>
      </c>
      <c r="E918">
        <v>15615620581</v>
      </c>
      <c r="F918" t="str">
        <f ca="1">VLOOKUP(RANDBETWEEN(1,20),'DBO Compras'!AA:AC,3,0)</f>
        <v>Comprador 02</v>
      </c>
      <c r="G918" t="s">
        <v>486</v>
      </c>
      <c r="H918" t="s">
        <v>487</v>
      </c>
      <c r="I918" t="s">
        <v>488</v>
      </c>
      <c r="J918" t="s">
        <v>489</v>
      </c>
      <c r="K918">
        <v>88808073</v>
      </c>
      <c r="L918" t="s">
        <v>235</v>
      </c>
      <c r="M918" t="s">
        <v>490</v>
      </c>
      <c r="N918">
        <v>48996577067</v>
      </c>
      <c r="O918">
        <v>0</v>
      </c>
      <c r="P918">
        <v>0</v>
      </c>
      <c r="Q918" t="s">
        <v>491</v>
      </c>
      <c r="R918" t="s">
        <v>302</v>
      </c>
      <c r="S918">
        <v>15015964159</v>
      </c>
      <c r="T918" t="str">
        <f ca="1">VLOOKUP(RANDBETWEEN(1,17),'Auxiliar Vendas'!D:G,2,0)</f>
        <v>Produto 01</v>
      </c>
      <c r="U918">
        <v>60</v>
      </c>
      <c r="V918">
        <v>15.9</v>
      </c>
      <c r="W918">
        <v>0</v>
      </c>
      <c r="X918">
        <v>10.285</v>
      </c>
      <c r="Y918">
        <v>954</v>
      </c>
      <c r="Z918">
        <v>172</v>
      </c>
      <c r="AA918" t="s">
        <v>169</v>
      </c>
      <c r="AB918">
        <v>0</v>
      </c>
      <c r="AC918">
        <v>0</v>
      </c>
      <c r="AD918" t="s">
        <v>189</v>
      </c>
      <c r="AI918">
        <v>0</v>
      </c>
      <c r="AJ918">
        <v>0</v>
      </c>
      <c r="AK918" s="30" t="str">
        <f ca="1">VLOOKUP(T918,'Auxiliar Vendas'!E:F,2,FALSE)</f>
        <v>Produto 01</v>
      </c>
      <c r="AL918" s="31">
        <f ca="1">U918*VLOOKUP(T918,'Auxiliar Vendas'!E:G,3,FALSE)</f>
        <v>24</v>
      </c>
    </row>
    <row r="919" spans="1:38">
      <c r="A919">
        <v>15767144963</v>
      </c>
      <c r="B919">
        <v>282</v>
      </c>
      <c r="D919" s="1">
        <v>44568</v>
      </c>
      <c r="E919">
        <v>15615620581</v>
      </c>
      <c r="F919" t="str">
        <f ca="1">VLOOKUP(RANDBETWEEN(1,20),'DBO Compras'!AA:AC,3,0)</f>
        <v>Comprador 07</v>
      </c>
      <c r="G919" t="s">
        <v>486</v>
      </c>
      <c r="H919" t="s">
        <v>487</v>
      </c>
      <c r="I919" t="s">
        <v>488</v>
      </c>
      <c r="J919" t="s">
        <v>489</v>
      </c>
      <c r="K919">
        <v>88808073</v>
      </c>
      <c r="L919" t="s">
        <v>235</v>
      </c>
      <c r="M919" t="s">
        <v>490</v>
      </c>
      <c r="N919">
        <v>48996577067</v>
      </c>
      <c r="O919">
        <v>0</v>
      </c>
      <c r="P919">
        <v>0</v>
      </c>
      <c r="Q919" t="s">
        <v>491</v>
      </c>
      <c r="R919" t="s">
        <v>302</v>
      </c>
      <c r="S919">
        <v>15016049144</v>
      </c>
      <c r="T919" t="str">
        <f ca="1">VLOOKUP(RANDBETWEEN(1,17),'Auxiliar Vendas'!D:G,2,0)</f>
        <v>Produto 03</v>
      </c>
      <c r="U919">
        <v>60</v>
      </c>
      <c r="V919">
        <v>7.9</v>
      </c>
      <c r="W919">
        <v>0</v>
      </c>
      <c r="X919">
        <v>5.8620000000000001</v>
      </c>
      <c r="Y919">
        <v>474</v>
      </c>
      <c r="Z919">
        <v>172</v>
      </c>
      <c r="AA919" t="s">
        <v>267</v>
      </c>
      <c r="AB919">
        <v>0</v>
      </c>
      <c r="AC919">
        <v>0</v>
      </c>
      <c r="AD919" t="s">
        <v>189</v>
      </c>
      <c r="AI919">
        <v>0</v>
      </c>
      <c r="AJ919">
        <v>0</v>
      </c>
      <c r="AK919" s="30" t="str">
        <f ca="1">VLOOKUP(T919,'Auxiliar Vendas'!E:F,2,FALSE)</f>
        <v>Produto 03</v>
      </c>
      <c r="AL919" s="31">
        <f ca="1">U919*VLOOKUP(T919,'Auxiliar Vendas'!E:G,3,FALSE)</f>
        <v>36</v>
      </c>
    </row>
    <row r="920" spans="1:38">
      <c r="A920">
        <v>15768651838</v>
      </c>
      <c r="B920">
        <v>283</v>
      </c>
      <c r="D920" s="1">
        <v>44568</v>
      </c>
      <c r="E920">
        <v>15483144585</v>
      </c>
      <c r="F920" t="str">
        <f ca="1">VLOOKUP(RANDBETWEEN(1,20),'DBO Compras'!AA:AC,3,0)</f>
        <v>Comprador 20</v>
      </c>
      <c r="G920" t="s">
        <v>279</v>
      </c>
      <c r="H920" t="s">
        <v>476</v>
      </c>
      <c r="I920" t="s">
        <v>477</v>
      </c>
      <c r="J920" t="s">
        <v>280</v>
      </c>
      <c r="K920">
        <v>88370777</v>
      </c>
      <c r="L920" t="s">
        <v>92</v>
      </c>
      <c r="M920" t="s">
        <v>281</v>
      </c>
      <c r="N920">
        <v>4733426422</v>
      </c>
      <c r="O920">
        <v>0</v>
      </c>
      <c r="P920">
        <v>0</v>
      </c>
      <c r="R920" t="s">
        <v>302</v>
      </c>
      <c r="S920">
        <v>15016043939</v>
      </c>
      <c r="T920" t="str">
        <f ca="1">VLOOKUP(RANDBETWEEN(1,17),'Auxiliar Vendas'!D:G,2,0)</f>
        <v>Produto 02</v>
      </c>
      <c r="U920">
        <v>500</v>
      </c>
      <c r="V920">
        <v>12.8</v>
      </c>
      <c r="W920">
        <v>0</v>
      </c>
      <c r="X920">
        <v>10.747</v>
      </c>
      <c r="Y920" s="3">
        <v>6400</v>
      </c>
      <c r="Z920">
        <v>107</v>
      </c>
      <c r="AA920" t="s">
        <v>50</v>
      </c>
      <c r="AB920">
        <v>0</v>
      </c>
      <c r="AC920">
        <v>0</v>
      </c>
      <c r="AD920" t="s">
        <v>189</v>
      </c>
      <c r="AI920">
        <v>0</v>
      </c>
      <c r="AJ920">
        <v>0</v>
      </c>
      <c r="AK920" s="30" t="str">
        <f ca="1">VLOOKUP(T920,'Auxiliar Vendas'!E:F,2,FALSE)</f>
        <v>Produto 02</v>
      </c>
      <c r="AL920" s="31">
        <f ca="1">U920*VLOOKUP(T920,'Auxiliar Vendas'!E:G,3,FALSE)</f>
        <v>135</v>
      </c>
    </row>
    <row r="921" spans="1:38">
      <c r="A921">
        <v>15768651838</v>
      </c>
      <c r="B921">
        <v>283</v>
      </c>
      <c r="D921" s="1">
        <v>44568</v>
      </c>
      <c r="E921">
        <v>15483144585</v>
      </c>
      <c r="F921" t="str">
        <f ca="1">VLOOKUP(RANDBETWEEN(1,20),'DBO Compras'!AA:AC,3,0)</f>
        <v>Comprador 10</v>
      </c>
      <c r="G921" t="s">
        <v>279</v>
      </c>
      <c r="H921" t="s">
        <v>476</v>
      </c>
      <c r="I921" t="s">
        <v>477</v>
      </c>
      <c r="J921" t="s">
        <v>280</v>
      </c>
      <c r="K921">
        <v>88370777</v>
      </c>
      <c r="L921" t="s">
        <v>92</v>
      </c>
      <c r="M921" t="s">
        <v>281</v>
      </c>
      <c r="N921">
        <v>4733426422</v>
      </c>
      <c r="O921">
        <v>0</v>
      </c>
      <c r="P921">
        <v>0</v>
      </c>
      <c r="R921" t="s">
        <v>302</v>
      </c>
      <c r="S921">
        <v>15016073255</v>
      </c>
      <c r="T921" t="str">
        <f ca="1">VLOOKUP(RANDBETWEEN(1,17),'Auxiliar Vendas'!D:G,2,0)</f>
        <v>Produto 14</v>
      </c>
      <c r="U921">
        <v>300</v>
      </c>
      <c r="V921">
        <v>15</v>
      </c>
      <c r="W921">
        <v>0</v>
      </c>
      <c r="X921">
        <v>10.747</v>
      </c>
      <c r="Y921" s="3">
        <v>4500</v>
      </c>
      <c r="Z921">
        <v>107</v>
      </c>
      <c r="AA921" t="s">
        <v>160</v>
      </c>
      <c r="AB921">
        <v>0</v>
      </c>
      <c r="AC921">
        <v>0</v>
      </c>
      <c r="AD921" t="s">
        <v>189</v>
      </c>
      <c r="AI921">
        <v>0</v>
      </c>
      <c r="AJ921">
        <v>0</v>
      </c>
      <c r="AK921" s="30" t="str">
        <f ca="1">VLOOKUP(T921,'Auxiliar Vendas'!E:F,2,FALSE)</f>
        <v>Produto 14</v>
      </c>
      <c r="AL921" s="31">
        <f ca="1">U921*VLOOKUP(T921,'Auxiliar Vendas'!E:G,3,FALSE)</f>
        <v>420</v>
      </c>
    </row>
    <row r="922" spans="1:38">
      <c r="A922">
        <v>15768651838</v>
      </c>
      <c r="B922">
        <v>283</v>
      </c>
      <c r="D922" s="1">
        <v>44568</v>
      </c>
      <c r="E922">
        <v>15483144585</v>
      </c>
      <c r="F922" t="str">
        <f ca="1">VLOOKUP(RANDBETWEEN(1,20),'DBO Compras'!AA:AC,3,0)</f>
        <v>Comprador 18</v>
      </c>
      <c r="G922" t="s">
        <v>279</v>
      </c>
      <c r="H922" t="s">
        <v>476</v>
      </c>
      <c r="I922" t="s">
        <v>477</v>
      </c>
      <c r="J922" t="s">
        <v>280</v>
      </c>
      <c r="K922">
        <v>88370777</v>
      </c>
      <c r="L922" t="s">
        <v>92</v>
      </c>
      <c r="M922" t="s">
        <v>281</v>
      </c>
      <c r="N922">
        <v>4733426422</v>
      </c>
      <c r="O922">
        <v>0</v>
      </c>
      <c r="P922">
        <v>0</v>
      </c>
      <c r="R922" t="s">
        <v>302</v>
      </c>
      <c r="S922">
        <v>15016080333</v>
      </c>
      <c r="T922" t="str">
        <f ca="1">VLOOKUP(RANDBETWEEN(1,17),'Auxiliar Vendas'!D:G,2,0)</f>
        <v>Produto 13</v>
      </c>
      <c r="U922">
        <v>150</v>
      </c>
      <c r="V922">
        <v>13.4</v>
      </c>
      <c r="W922">
        <v>0</v>
      </c>
      <c r="X922">
        <v>10.747</v>
      </c>
      <c r="Y922" s="3">
        <v>2010</v>
      </c>
      <c r="Z922">
        <v>107</v>
      </c>
      <c r="AA922" t="s">
        <v>80</v>
      </c>
      <c r="AB922">
        <v>0</v>
      </c>
      <c r="AC922">
        <v>0</v>
      </c>
      <c r="AD922" t="s">
        <v>189</v>
      </c>
      <c r="AI922">
        <v>0</v>
      </c>
      <c r="AJ922">
        <v>0</v>
      </c>
      <c r="AK922" s="30" t="str">
        <f ca="1">VLOOKUP(T922,'Auxiliar Vendas'!E:F,2,FALSE)</f>
        <v>Produto 13</v>
      </c>
      <c r="AL922" s="31">
        <f ca="1">U922*VLOOKUP(T922,'Auxiliar Vendas'!E:G,3,FALSE)</f>
        <v>210</v>
      </c>
    </row>
    <row r="923" spans="1:38">
      <c r="A923">
        <v>15768651838</v>
      </c>
      <c r="B923">
        <v>283</v>
      </c>
      <c r="D923" s="1">
        <v>44568</v>
      </c>
      <c r="E923">
        <v>15483144585</v>
      </c>
      <c r="F923" t="str">
        <f ca="1">VLOOKUP(RANDBETWEEN(1,20),'DBO Compras'!AA:AC,3,0)</f>
        <v>Comprador 04</v>
      </c>
      <c r="G923" t="s">
        <v>279</v>
      </c>
      <c r="H923" t="s">
        <v>476</v>
      </c>
      <c r="I923" t="s">
        <v>477</v>
      </c>
      <c r="J923" t="s">
        <v>280</v>
      </c>
      <c r="K923">
        <v>88370777</v>
      </c>
      <c r="L923" t="s">
        <v>92</v>
      </c>
      <c r="M923" t="s">
        <v>281</v>
      </c>
      <c r="N923">
        <v>4733426422</v>
      </c>
      <c r="O923">
        <v>0</v>
      </c>
      <c r="P923">
        <v>0</v>
      </c>
      <c r="R923" t="s">
        <v>302</v>
      </c>
      <c r="S923">
        <v>15016093155</v>
      </c>
      <c r="T923" t="str">
        <f ca="1">VLOOKUP(RANDBETWEEN(1,17),'Auxiliar Vendas'!D:G,2,0)</f>
        <v>Produto 11</v>
      </c>
      <c r="U923">
        <v>300</v>
      </c>
      <c r="V923">
        <v>17.3</v>
      </c>
      <c r="W923">
        <v>0</v>
      </c>
      <c r="X923">
        <v>14.4596</v>
      </c>
      <c r="Y923" s="3">
        <v>5190</v>
      </c>
      <c r="Z923">
        <v>107</v>
      </c>
      <c r="AA923" t="s">
        <v>65</v>
      </c>
      <c r="AB923">
        <v>0</v>
      </c>
      <c r="AC923">
        <v>0</v>
      </c>
      <c r="AD923" t="s">
        <v>189</v>
      </c>
      <c r="AI923">
        <v>0</v>
      </c>
      <c r="AJ923">
        <v>0</v>
      </c>
      <c r="AK923" s="30" t="str">
        <f ca="1">VLOOKUP(T923,'Auxiliar Vendas'!E:F,2,FALSE)</f>
        <v>Produto 11</v>
      </c>
      <c r="AL923" s="31">
        <f ca="1">U923*VLOOKUP(T923,'Auxiliar Vendas'!E:G,3,FALSE)</f>
        <v>330</v>
      </c>
    </row>
    <row r="924" spans="1:38">
      <c r="A924">
        <v>15768651838</v>
      </c>
      <c r="B924">
        <v>283</v>
      </c>
      <c r="D924" s="1">
        <v>44568</v>
      </c>
      <c r="E924">
        <v>15483144585</v>
      </c>
      <c r="F924" t="str">
        <f ca="1">VLOOKUP(RANDBETWEEN(1,20),'DBO Compras'!AA:AC,3,0)</f>
        <v>Comprador 05</v>
      </c>
      <c r="G924" t="s">
        <v>279</v>
      </c>
      <c r="H924" t="s">
        <v>476</v>
      </c>
      <c r="I924" t="s">
        <v>477</v>
      </c>
      <c r="J924" t="s">
        <v>280</v>
      </c>
      <c r="K924">
        <v>88370777</v>
      </c>
      <c r="L924" t="s">
        <v>92</v>
      </c>
      <c r="M924" t="s">
        <v>281</v>
      </c>
      <c r="N924">
        <v>4733426422</v>
      </c>
      <c r="O924">
        <v>0</v>
      </c>
      <c r="P924">
        <v>0</v>
      </c>
      <c r="R924" t="s">
        <v>302</v>
      </c>
      <c r="S924">
        <v>15016087271</v>
      </c>
      <c r="T924" t="str">
        <f ca="1">VLOOKUP(RANDBETWEEN(1,17),'Auxiliar Vendas'!D:G,2,0)</f>
        <v>Produto 10</v>
      </c>
      <c r="U924">
        <v>150</v>
      </c>
      <c r="V924">
        <v>17.3</v>
      </c>
      <c r="W924">
        <v>0</v>
      </c>
      <c r="X924">
        <v>14.4596</v>
      </c>
      <c r="Y924" s="3">
        <v>2595</v>
      </c>
      <c r="Z924">
        <v>107</v>
      </c>
      <c r="AA924" t="s">
        <v>64</v>
      </c>
      <c r="AB924">
        <v>0</v>
      </c>
      <c r="AC924">
        <v>0</v>
      </c>
      <c r="AD924" t="s">
        <v>189</v>
      </c>
      <c r="AI924">
        <v>0</v>
      </c>
      <c r="AJ924">
        <v>0</v>
      </c>
      <c r="AK924" s="30" t="str">
        <f ca="1">VLOOKUP(T924,'Auxiliar Vendas'!E:F,2,FALSE)</f>
        <v>Produto 10</v>
      </c>
      <c r="AL924" s="31">
        <f ca="1">U924*VLOOKUP(T924,'Auxiliar Vendas'!E:G,3,FALSE)</f>
        <v>165</v>
      </c>
    </row>
    <row r="925" spans="1:38">
      <c r="A925">
        <v>15768651838</v>
      </c>
      <c r="B925">
        <v>283</v>
      </c>
      <c r="D925" s="1">
        <v>44568</v>
      </c>
      <c r="E925">
        <v>15483144585</v>
      </c>
      <c r="F925" t="str">
        <f ca="1">VLOOKUP(RANDBETWEEN(1,20),'DBO Compras'!AA:AC,3,0)</f>
        <v>Comprador 03</v>
      </c>
      <c r="G925" t="s">
        <v>279</v>
      </c>
      <c r="H925" t="s">
        <v>476</v>
      </c>
      <c r="I925" t="s">
        <v>477</v>
      </c>
      <c r="J925" t="s">
        <v>280</v>
      </c>
      <c r="K925">
        <v>88370777</v>
      </c>
      <c r="L925" t="s">
        <v>92</v>
      </c>
      <c r="M925" t="s">
        <v>281</v>
      </c>
      <c r="N925">
        <v>4733426422</v>
      </c>
      <c r="O925">
        <v>0</v>
      </c>
      <c r="P925">
        <v>0</v>
      </c>
      <c r="R925" t="s">
        <v>302</v>
      </c>
      <c r="S925">
        <v>15395751673</v>
      </c>
      <c r="T925" t="str">
        <f ca="1">VLOOKUP(RANDBETWEEN(1,17),'Auxiliar Vendas'!D:G,2,0)</f>
        <v>Produto 06</v>
      </c>
      <c r="U925">
        <v>50</v>
      </c>
      <c r="V925">
        <v>7.9</v>
      </c>
      <c r="W925">
        <v>0</v>
      </c>
      <c r="X925">
        <v>5.8620000000000001</v>
      </c>
      <c r="Y925">
        <v>395</v>
      </c>
      <c r="Z925">
        <v>107</v>
      </c>
      <c r="AA925" t="s">
        <v>268</v>
      </c>
      <c r="AB925">
        <v>0</v>
      </c>
      <c r="AC925">
        <v>0</v>
      </c>
      <c r="AD925" t="s">
        <v>189</v>
      </c>
      <c r="AI925">
        <v>0</v>
      </c>
      <c r="AJ925">
        <v>0</v>
      </c>
      <c r="AK925" s="30" t="str">
        <f ca="1">VLOOKUP(T925,'Auxiliar Vendas'!E:F,2,FALSE)</f>
        <v>Produto 06</v>
      </c>
      <c r="AL925" s="31">
        <f ca="1">U925*VLOOKUP(T925,'Auxiliar Vendas'!E:G,3,FALSE)</f>
        <v>25</v>
      </c>
    </row>
    <row r="926" spans="1:38">
      <c r="A926">
        <v>15768651838</v>
      </c>
      <c r="B926">
        <v>283</v>
      </c>
      <c r="D926" s="1">
        <v>44568</v>
      </c>
      <c r="E926">
        <v>15483144585</v>
      </c>
      <c r="F926" t="str">
        <f ca="1">VLOOKUP(RANDBETWEEN(1,20),'DBO Compras'!AA:AC,3,0)</f>
        <v>Comprador 06</v>
      </c>
      <c r="G926" t="s">
        <v>279</v>
      </c>
      <c r="H926" t="s">
        <v>476</v>
      </c>
      <c r="I926" t="s">
        <v>477</v>
      </c>
      <c r="J926" t="s">
        <v>280</v>
      </c>
      <c r="K926">
        <v>88370777</v>
      </c>
      <c r="L926" t="s">
        <v>92</v>
      </c>
      <c r="M926" t="s">
        <v>281</v>
      </c>
      <c r="N926">
        <v>4733426422</v>
      </c>
      <c r="O926">
        <v>0</v>
      </c>
      <c r="P926">
        <v>0</v>
      </c>
      <c r="R926" t="s">
        <v>302</v>
      </c>
      <c r="S926">
        <v>15016049144</v>
      </c>
      <c r="T926" t="str">
        <f ca="1">VLOOKUP(RANDBETWEEN(1,17),'Auxiliar Vendas'!D:G,2,0)</f>
        <v>Produto 14</v>
      </c>
      <c r="U926">
        <v>400</v>
      </c>
      <c r="V926">
        <v>7.3</v>
      </c>
      <c r="W926">
        <v>0</v>
      </c>
      <c r="X926">
        <v>5.8620000000000001</v>
      </c>
      <c r="Y926" s="3">
        <v>2920</v>
      </c>
      <c r="Z926">
        <v>107</v>
      </c>
      <c r="AA926" t="s">
        <v>267</v>
      </c>
      <c r="AB926">
        <v>0</v>
      </c>
      <c r="AC926">
        <v>0</v>
      </c>
      <c r="AD926" t="s">
        <v>189</v>
      </c>
      <c r="AI926">
        <v>0</v>
      </c>
      <c r="AJ926">
        <v>0</v>
      </c>
      <c r="AK926" s="30" t="str">
        <f ca="1">VLOOKUP(T926,'Auxiliar Vendas'!E:F,2,FALSE)</f>
        <v>Produto 14</v>
      </c>
      <c r="AL926" s="31">
        <f ca="1">U926*VLOOKUP(T926,'Auxiliar Vendas'!E:G,3,FALSE)</f>
        <v>560</v>
      </c>
    </row>
    <row r="927" spans="1:38">
      <c r="A927">
        <v>15768651838</v>
      </c>
      <c r="B927">
        <v>283</v>
      </c>
      <c r="D927" s="1">
        <v>44568</v>
      </c>
      <c r="E927">
        <v>15483144585</v>
      </c>
      <c r="F927" t="str">
        <f ca="1">VLOOKUP(RANDBETWEEN(1,20),'DBO Compras'!AA:AC,3,0)</f>
        <v>Comprador 13</v>
      </c>
      <c r="G927" t="s">
        <v>279</v>
      </c>
      <c r="H927" t="s">
        <v>476</v>
      </c>
      <c r="I927" t="s">
        <v>477</v>
      </c>
      <c r="J927" t="s">
        <v>280</v>
      </c>
      <c r="K927">
        <v>88370777</v>
      </c>
      <c r="L927" t="s">
        <v>92</v>
      </c>
      <c r="M927" t="s">
        <v>281</v>
      </c>
      <c r="N927">
        <v>4733426422</v>
      </c>
      <c r="O927">
        <v>0</v>
      </c>
      <c r="P927">
        <v>0</v>
      </c>
      <c r="R927" t="s">
        <v>302</v>
      </c>
      <c r="S927">
        <v>15016099089</v>
      </c>
      <c r="T927" t="str">
        <f ca="1">VLOOKUP(RANDBETWEEN(1,17),'Auxiliar Vendas'!D:G,2,0)</f>
        <v>Produto 10</v>
      </c>
      <c r="U927">
        <v>150</v>
      </c>
      <c r="V927">
        <v>20.3</v>
      </c>
      <c r="W927">
        <v>0</v>
      </c>
      <c r="X927">
        <v>16.804400000000001</v>
      </c>
      <c r="Y927" s="3">
        <v>3045</v>
      </c>
      <c r="Z927">
        <v>107</v>
      </c>
      <c r="AA927" t="s">
        <v>79</v>
      </c>
      <c r="AB927">
        <v>0</v>
      </c>
      <c r="AC927">
        <v>0</v>
      </c>
      <c r="AD927" t="s">
        <v>189</v>
      </c>
      <c r="AI927">
        <v>0</v>
      </c>
      <c r="AJ927">
        <v>0</v>
      </c>
      <c r="AK927" s="30" t="str">
        <f ca="1">VLOOKUP(T927,'Auxiliar Vendas'!E:F,2,FALSE)</f>
        <v>Produto 10</v>
      </c>
      <c r="AL927" s="31">
        <f ca="1">U927*VLOOKUP(T927,'Auxiliar Vendas'!E:G,3,FALSE)</f>
        <v>165</v>
      </c>
    </row>
    <row r="928" spans="1:38">
      <c r="A928">
        <v>15769146301</v>
      </c>
      <c r="B928">
        <v>284</v>
      </c>
      <c r="D928" s="1">
        <v>44568</v>
      </c>
      <c r="E928">
        <v>15615810470</v>
      </c>
      <c r="F928" t="str">
        <f ca="1">VLOOKUP(RANDBETWEEN(1,20),'DBO Compras'!AA:AC,3,0)</f>
        <v>Comprador 02</v>
      </c>
      <c r="G928" t="s">
        <v>492</v>
      </c>
      <c r="H928" t="s">
        <v>493</v>
      </c>
      <c r="I928" t="s">
        <v>69</v>
      </c>
      <c r="J928" t="s">
        <v>494</v>
      </c>
      <c r="K928">
        <v>89825000</v>
      </c>
      <c r="L928" t="s">
        <v>92</v>
      </c>
      <c r="M928" t="s">
        <v>495</v>
      </c>
      <c r="N928">
        <v>4933538650</v>
      </c>
      <c r="O928">
        <v>0</v>
      </c>
      <c r="P928">
        <v>0</v>
      </c>
      <c r="Q928" t="s">
        <v>496</v>
      </c>
      <c r="R928" t="s">
        <v>302</v>
      </c>
      <c r="S928">
        <v>15016080333</v>
      </c>
      <c r="T928" t="str">
        <f ca="1">VLOOKUP(RANDBETWEEN(1,17),'Auxiliar Vendas'!D:G,2,0)</f>
        <v>Produto 09</v>
      </c>
      <c r="U928">
        <v>100</v>
      </c>
      <c r="V928">
        <v>13.4</v>
      </c>
      <c r="W928">
        <v>0</v>
      </c>
      <c r="X928">
        <v>10.747</v>
      </c>
      <c r="Y928" s="3">
        <v>1340</v>
      </c>
      <c r="Z928">
        <v>174</v>
      </c>
      <c r="AA928" t="s">
        <v>80</v>
      </c>
      <c r="AB928">
        <v>0</v>
      </c>
      <c r="AC928">
        <v>0</v>
      </c>
      <c r="AD928" t="s">
        <v>189</v>
      </c>
      <c r="AI928">
        <v>0</v>
      </c>
      <c r="AJ928">
        <v>0</v>
      </c>
      <c r="AK928" s="30" t="str">
        <f ca="1">VLOOKUP(T928,'Auxiliar Vendas'!E:F,2,FALSE)</f>
        <v>Produto 09</v>
      </c>
      <c r="AL928" s="31">
        <f ca="1">U928*VLOOKUP(T928,'Auxiliar Vendas'!E:G,3,FALSE)</f>
        <v>110.00000000000001</v>
      </c>
    </row>
    <row r="929" spans="1:38">
      <c r="A929">
        <v>15769146301</v>
      </c>
      <c r="B929">
        <v>284</v>
      </c>
      <c r="D929" s="1">
        <v>44568</v>
      </c>
      <c r="E929">
        <v>15615810470</v>
      </c>
      <c r="F929" t="str">
        <f ca="1">VLOOKUP(RANDBETWEEN(1,20),'DBO Compras'!AA:AC,3,0)</f>
        <v>Comprador 17</v>
      </c>
      <c r="G929" t="s">
        <v>492</v>
      </c>
      <c r="H929" t="s">
        <v>493</v>
      </c>
      <c r="I929" t="s">
        <v>69</v>
      </c>
      <c r="J929" t="s">
        <v>494</v>
      </c>
      <c r="K929">
        <v>89825000</v>
      </c>
      <c r="L929" t="s">
        <v>92</v>
      </c>
      <c r="M929" t="s">
        <v>495</v>
      </c>
      <c r="N929">
        <v>4933538650</v>
      </c>
      <c r="O929">
        <v>0</v>
      </c>
      <c r="P929">
        <v>0</v>
      </c>
      <c r="Q929" t="s">
        <v>496</v>
      </c>
      <c r="R929" t="s">
        <v>302</v>
      </c>
      <c r="S929">
        <v>15016093155</v>
      </c>
      <c r="T929" t="str">
        <f ca="1">VLOOKUP(RANDBETWEEN(1,17),'Auxiliar Vendas'!D:G,2,0)</f>
        <v>Produto 17</v>
      </c>
      <c r="U929">
        <v>237</v>
      </c>
      <c r="V929">
        <v>17.3</v>
      </c>
      <c r="W929">
        <v>0</v>
      </c>
      <c r="X929">
        <v>14.4596</v>
      </c>
      <c r="Y929" s="3">
        <v>4100.1000000000004</v>
      </c>
      <c r="Z929">
        <v>174</v>
      </c>
      <c r="AA929" t="s">
        <v>65</v>
      </c>
      <c r="AB929">
        <v>0</v>
      </c>
      <c r="AC929">
        <v>0</v>
      </c>
      <c r="AD929" t="s">
        <v>189</v>
      </c>
      <c r="AI929">
        <v>0</v>
      </c>
      <c r="AJ929">
        <v>0</v>
      </c>
      <c r="AK929" s="30" t="str">
        <f ca="1">VLOOKUP(T929,'Auxiliar Vendas'!E:F,2,FALSE)</f>
        <v>Produto 17</v>
      </c>
      <c r="AL929" s="31">
        <f ca="1">U929*VLOOKUP(T929,'Auxiliar Vendas'!E:G,3,FALSE)</f>
        <v>336.53999999999996</v>
      </c>
    </row>
    <row r="930" spans="1:38">
      <c r="A930">
        <v>15769146301</v>
      </c>
      <c r="B930">
        <v>284</v>
      </c>
      <c r="D930" s="1">
        <v>44568</v>
      </c>
      <c r="E930">
        <v>15615810470</v>
      </c>
      <c r="F930" t="str">
        <f ca="1">VLOOKUP(RANDBETWEEN(1,20),'DBO Compras'!AA:AC,3,0)</f>
        <v>Comprador 07</v>
      </c>
      <c r="G930" t="s">
        <v>492</v>
      </c>
      <c r="H930" t="s">
        <v>493</v>
      </c>
      <c r="I930" t="s">
        <v>69</v>
      </c>
      <c r="J930" t="s">
        <v>494</v>
      </c>
      <c r="K930">
        <v>89825000</v>
      </c>
      <c r="L930" t="s">
        <v>92</v>
      </c>
      <c r="M930" t="s">
        <v>495</v>
      </c>
      <c r="N930">
        <v>4933538650</v>
      </c>
      <c r="O930">
        <v>0</v>
      </c>
      <c r="P930">
        <v>0</v>
      </c>
      <c r="Q930" t="s">
        <v>496</v>
      </c>
      <c r="R930" t="s">
        <v>302</v>
      </c>
      <c r="S930">
        <v>15016043939</v>
      </c>
      <c r="T930" t="str">
        <f ca="1">VLOOKUP(RANDBETWEEN(1,17),'Auxiliar Vendas'!D:G,2,0)</f>
        <v>Produto 17</v>
      </c>
      <c r="U930" s="3">
        <v>1800</v>
      </c>
      <c r="V930">
        <v>12.8</v>
      </c>
      <c r="W930">
        <v>0</v>
      </c>
      <c r="X930">
        <v>10.747</v>
      </c>
      <c r="Y930" s="3">
        <v>23040</v>
      </c>
      <c r="Z930">
        <v>174</v>
      </c>
      <c r="AA930" t="s">
        <v>50</v>
      </c>
      <c r="AB930">
        <v>0</v>
      </c>
      <c r="AC930">
        <v>0</v>
      </c>
      <c r="AD930" t="s">
        <v>189</v>
      </c>
      <c r="AI930">
        <v>0</v>
      </c>
      <c r="AJ930">
        <v>0</v>
      </c>
      <c r="AK930" s="30" t="str">
        <f ca="1">VLOOKUP(T930,'Auxiliar Vendas'!E:F,2,FALSE)</f>
        <v>Produto 17</v>
      </c>
      <c r="AL930" s="31">
        <f ca="1">U930*VLOOKUP(T930,'Auxiliar Vendas'!E:G,3,FALSE)</f>
        <v>2556</v>
      </c>
    </row>
    <row r="931" spans="1:38">
      <c r="A931">
        <v>15769146301</v>
      </c>
      <c r="B931">
        <v>284</v>
      </c>
      <c r="D931" s="1">
        <v>44568</v>
      </c>
      <c r="E931">
        <v>15615810470</v>
      </c>
      <c r="F931" t="str">
        <f ca="1">VLOOKUP(RANDBETWEEN(1,20),'DBO Compras'!AA:AC,3,0)</f>
        <v>Comprador 08</v>
      </c>
      <c r="G931" t="s">
        <v>492</v>
      </c>
      <c r="H931" t="s">
        <v>493</v>
      </c>
      <c r="I931" t="s">
        <v>69</v>
      </c>
      <c r="J931" t="s">
        <v>494</v>
      </c>
      <c r="K931">
        <v>89825000</v>
      </c>
      <c r="L931" t="s">
        <v>92</v>
      </c>
      <c r="M931" t="s">
        <v>495</v>
      </c>
      <c r="N931">
        <v>4933538650</v>
      </c>
      <c r="O931">
        <v>0</v>
      </c>
      <c r="P931">
        <v>0</v>
      </c>
      <c r="Q931" t="s">
        <v>496</v>
      </c>
      <c r="R931" t="s">
        <v>302</v>
      </c>
      <c r="S931">
        <v>15016049144</v>
      </c>
      <c r="T931" t="str">
        <f ca="1">VLOOKUP(RANDBETWEEN(1,17),'Auxiliar Vendas'!D:G,2,0)</f>
        <v>Produto 11</v>
      </c>
      <c r="U931">
        <v>2</v>
      </c>
      <c r="V931">
        <v>7.5449999999999999</v>
      </c>
      <c r="W931">
        <v>0</v>
      </c>
      <c r="X931">
        <v>5.8620000000000001</v>
      </c>
      <c r="Y931">
        <v>15.09</v>
      </c>
      <c r="Z931">
        <v>174</v>
      </c>
      <c r="AA931" t="s">
        <v>267</v>
      </c>
      <c r="AB931">
        <v>0</v>
      </c>
      <c r="AC931">
        <v>0</v>
      </c>
      <c r="AD931" t="s">
        <v>189</v>
      </c>
      <c r="AI931">
        <v>0</v>
      </c>
      <c r="AJ931">
        <v>0</v>
      </c>
      <c r="AK931" s="30" t="str">
        <f ca="1">VLOOKUP(T931,'Auxiliar Vendas'!E:F,2,FALSE)</f>
        <v>Produto 11</v>
      </c>
      <c r="AL931" s="31">
        <f ca="1">U931*VLOOKUP(T931,'Auxiliar Vendas'!E:G,3,FALSE)</f>
        <v>2.2000000000000002</v>
      </c>
    </row>
    <row r="932" spans="1:38">
      <c r="A932">
        <v>15779568115</v>
      </c>
      <c r="B932">
        <v>285</v>
      </c>
      <c r="D932" s="1">
        <v>44570</v>
      </c>
      <c r="E932">
        <v>15481553907</v>
      </c>
      <c r="F932" t="str">
        <f ca="1">VLOOKUP(RANDBETWEEN(1,20),'DBO Compras'!AA:AC,3,0)</f>
        <v>Comprador 01</v>
      </c>
      <c r="G932" t="s">
        <v>276</v>
      </c>
      <c r="H932" t="s">
        <v>475</v>
      </c>
      <c r="I932" t="s">
        <v>277</v>
      </c>
      <c r="J932" t="s">
        <v>244</v>
      </c>
      <c r="K932">
        <v>0</v>
      </c>
      <c r="L932" t="s">
        <v>40</v>
      </c>
      <c r="M932" t="s">
        <v>278</v>
      </c>
      <c r="N932">
        <v>4299826321</v>
      </c>
      <c r="O932">
        <v>0</v>
      </c>
      <c r="P932">
        <v>0</v>
      </c>
      <c r="R932" t="s">
        <v>302</v>
      </c>
      <c r="S932">
        <v>15016043939</v>
      </c>
      <c r="T932" t="str">
        <f ca="1">VLOOKUP(RANDBETWEEN(1,17),'Auxiliar Vendas'!D:G,2,0)</f>
        <v>Produto 04</v>
      </c>
      <c r="U932">
        <v>200</v>
      </c>
      <c r="V932">
        <v>14.1</v>
      </c>
      <c r="W932">
        <v>0</v>
      </c>
      <c r="X932">
        <v>10.747</v>
      </c>
      <c r="Y932" s="3">
        <v>2820</v>
      </c>
      <c r="Z932">
        <v>106</v>
      </c>
      <c r="AA932" t="s">
        <v>50</v>
      </c>
      <c r="AB932">
        <v>0</v>
      </c>
      <c r="AC932">
        <v>0</v>
      </c>
      <c r="AD932" t="s">
        <v>51</v>
      </c>
      <c r="AI932">
        <v>0</v>
      </c>
      <c r="AJ932">
        <v>0</v>
      </c>
      <c r="AK932" s="30" t="str">
        <f ca="1">VLOOKUP(T932,'Auxiliar Vendas'!E:F,2,FALSE)</f>
        <v>Produto 04</v>
      </c>
      <c r="AL932" s="31">
        <f ca="1">U932*VLOOKUP(T932,'Auxiliar Vendas'!E:G,3,FALSE)</f>
        <v>120</v>
      </c>
    </row>
    <row r="933" spans="1:38">
      <c r="A933">
        <v>15779568115</v>
      </c>
      <c r="B933">
        <v>285</v>
      </c>
      <c r="D933" s="1">
        <v>44570</v>
      </c>
      <c r="E933">
        <v>15481553907</v>
      </c>
      <c r="F933" t="str">
        <f ca="1">VLOOKUP(RANDBETWEEN(1,20),'DBO Compras'!AA:AC,3,0)</f>
        <v>Comprador 14</v>
      </c>
      <c r="G933" t="s">
        <v>276</v>
      </c>
      <c r="H933" t="s">
        <v>475</v>
      </c>
      <c r="I933" t="s">
        <v>277</v>
      </c>
      <c r="J933" t="s">
        <v>244</v>
      </c>
      <c r="K933">
        <v>0</v>
      </c>
      <c r="L933" t="s">
        <v>40</v>
      </c>
      <c r="M933" t="s">
        <v>278</v>
      </c>
      <c r="N933">
        <v>4299826321</v>
      </c>
      <c r="O933">
        <v>0</v>
      </c>
      <c r="P933">
        <v>0</v>
      </c>
      <c r="R933" t="s">
        <v>302</v>
      </c>
      <c r="S933">
        <v>15016073255</v>
      </c>
      <c r="T933" t="str">
        <f ca="1">VLOOKUP(RANDBETWEEN(1,17),'Auxiliar Vendas'!D:G,2,0)</f>
        <v>Produto 15</v>
      </c>
      <c r="U933">
        <v>120</v>
      </c>
      <c r="V933">
        <v>16.600000000000001</v>
      </c>
      <c r="W933">
        <v>0</v>
      </c>
      <c r="X933">
        <v>10.747</v>
      </c>
      <c r="Y933" s="3">
        <v>1992</v>
      </c>
      <c r="Z933">
        <v>106</v>
      </c>
      <c r="AA933" t="s">
        <v>160</v>
      </c>
      <c r="AB933">
        <v>0</v>
      </c>
      <c r="AC933">
        <v>0</v>
      </c>
      <c r="AD933" t="s">
        <v>51</v>
      </c>
      <c r="AI933">
        <v>0</v>
      </c>
      <c r="AJ933">
        <v>0</v>
      </c>
      <c r="AK933" s="30" t="str">
        <f ca="1">VLOOKUP(T933,'Auxiliar Vendas'!E:F,2,FALSE)</f>
        <v>Produto 15</v>
      </c>
      <c r="AL933" s="31">
        <f ca="1">U933*VLOOKUP(T933,'Auxiliar Vendas'!E:G,3,FALSE)</f>
        <v>170.39999999999998</v>
      </c>
    </row>
    <row r="934" spans="1:38">
      <c r="A934">
        <v>15779568115</v>
      </c>
      <c r="B934">
        <v>285</v>
      </c>
      <c r="D934" s="1">
        <v>44570</v>
      </c>
      <c r="E934">
        <v>15481553907</v>
      </c>
      <c r="F934" t="str">
        <f ca="1">VLOOKUP(RANDBETWEEN(1,20),'DBO Compras'!AA:AC,3,0)</f>
        <v>Comprador 06</v>
      </c>
      <c r="G934" t="s">
        <v>276</v>
      </c>
      <c r="H934" t="s">
        <v>475</v>
      </c>
      <c r="I934" t="s">
        <v>277</v>
      </c>
      <c r="J934" t="s">
        <v>244</v>
      </c>
      <c r="K934">
        <v>0</v>
      </c>
      <c r="L934" t="s">
        <v>40</v>
      </c>
      <c r="M934" t="s">
        <v>278</v>
      </c>
      <c r="N934">
        <v>4299826321</v>
      </c>
      <c r="O934">
        <v>0</v>
      </c>
      <c r="P934">
        <v>0</v>
      </c>
      <c r="R934" t="s">
        <v>302</v>
      </c>
      <c r="S934">
        <v>15016049144</v>
      </c>
      <c r="T934" t="str">
        <f ca="1">VLOOKUP(RANDBETWEEN(1,17),'Auxiliar Vendas'!D:G,2,0)</f>
        <v>Produto 17</v>
      </c>
      <c r="U934">
        <v>100</v>
      </c>
      <c r="V934">
        <v>8.3800000000000008</v>
      </c>
      <c r="W934">
        <v>0</v>
      </c>
      <c r="X934">
        <v>5.8620000000000001</v>
      </c>
      <c r="Y934">
        <v>838</v>
      </c>
      <c r="Z934">
        <v>106</v>
      </c>
      <c r="AA934" t="s">
        <v>267</v>
      </c>
      <c r="AB934">
        <v>0</v>
      </c>
      <c r="AC934">
        <v>0</v>
      </c>
      <c r="AD934" t="s">
        <v>51</v>
      </c>
      <c r="AI934">
        <v>0</v>
      </c>
      <c r="AJ934">
        <v>0</v>
      </c>
      <c r="AK934" s="30" t="str">
        <f ca="1">VLOOKUP(T934,'Auxiliar Vendas'!E:F,2,FALSE)</f>
        <v>Produto 17</v>
      </c>
      <c r="AL934" s="31">
        <f ca="1">U934*VLOOKUP(T934,'Auxiliar Vendas'!E:G,3,FALSE)</f>
        <v>142</v>
      </c>
    </row>
    <row r="935" spans="1:38">
      <c r="A935">
        <v>15779568115</v>
      </c>
      <c r="B935">
        <v>285</v>
      </c>
      <c r="D935" s="1">
        <v>44570</v>
      </c>
      <c r="E935">
        <v>15481553907</v>
      </c>
      <c r="F935" t="str">
        <f ca="1">VLOOKUP(RANDBETWEEN(1,20),'DBO Compras'!AA:AC,3,0)</f>
        <v>Comprador 06</v>
      </c>
      <c r="G935" t="s">
        <v>276</v>
      </c>
      <c r="H935" t="s">
        <v>475</v>
      </c>
      <c r="I935" t="s">
        <v>277</v>
      </c>
      <c r="J935" t="s">
        <v>244</v>
      </c>
      <c r="K935">
        <v>0</v>
      </c>
      <c r="L935" t="s">
        <v>40</v>
      </c>
      <c r="M935" t="s">
        <v>278</v>
      </c>
      <c r="N935">
        <v>4299826321</v>
      </c>
      <c r="O935">
        <v>0</v>
      </c>
      <c r="P935">
        <v>0</v>
      </c>
      <c r="R935" t="s">
        <v>302</v>
      </c>
      <c r="S935">
        <v>15016093155</v>
      </c>
      <c r="T935" t="str">
        <f ca="1">VLOOKUP(RANDBETWEEN(1,17),'Auxiliar Vendas'!D:G,2,0)</f>
        <v>Produto 14</v>
      </c>
      <c r="U935">
        <v>40</v>
      </c>
      <c r="V935">
        <v>18.649999999999999</v>
      </c>
      <c r="W935">
        <v>0</v>
      </c>
      <c r="X935">
        <v>14.4596</v>
      </c>
      <c r="Y935">
        <v>746</v>
      </c>
      <c r="Z935">
        <v>106</v>
      </c>
      <c r="AA935" t="s">
        <v>65</v>
      </c>
      <c r="AB935">
        <v>0</v>
      </c>
      <c r="AC935">
        <v>0</v>
      </c>
      <c r="AD935" t="s">
        <v>51</v>
      </c>
      <c r="AI935">
        <v>0</v>
      </c>
      <c r="AJ935">
        <v>0</v>
      </c>
      <c r="AK935" s="30" t="str">
        <f ca="1">VLOOKUP(T935,'Auxiliar Vendas'!E:F,2,FALSE)</f>
        <v>Produto 14</v>
      </c>
      <c r="AL935" s="31">
        <f ca="1">U935*VLOOKUP(T935,'Auxiliar Vendas'!E:G,3,FALSE)</f>
        <v>56</v>
      </c>
    </row>
    <row r="936" spans="1:38">
      <c r="A936">
        <v>15779568115</v>
      </c>
      <c r="B936">
        <v>285</v>
      </c>
      <c r="D936" s="1">
        <v>44570</v>
      </c>
      <c r="E936">
        <v>15481553907</v>
      </c>
      <c r="F936" t="str">
        <f ca="1">VLOOKUP(RANDBETWEEN(1,20),'DBO Compras'!AA:AC,3,0)</f>
        <v>Comprador 01</v>
      </c>
      <c r="G936" t="s">
        <v>276</v>
      </c>
      <c r="H936" t="s">
        <v>475</v>
      </c>
      <c r="I936" t="s">
        <v>277</v>
      </c>
      <c r="J936" t="s">
        <v>244</v>
      </c>
      <c r="K936">
        <v>0</v>
      </c>
      <c r="L936" t="s">
        <v>40</v>
      </c>
      <c r="M936" t="s">
        <v>278</v>
      </c>
      <c r="N936">
        <v>4299826321</v>
      </c>
      <c r="O936">
        <v>0</v>
      </c>
      <c r="P936">
        <v>0</v>
      </c>
      <c r="R936" t="s">
        <v>302</v>
      </c>
      <c r="S936">
        <v>15016080333</v>
      </c>
      <c r="T936" t="str">
        <f ca="1">VLOOKUP(RANDBETWEEN(1,17),'Auxiliar Vendas'!D:G,2,0)</f>
        <v>Produto 16</v>
      </c>
      <c r="U936">
        <v>20</v>
      </c>
      <c r="V936">
        <v>15.5</v>
      </c>
      <c r="W936">
        <v>0</v>
      </c>
      <c r="X936">
        <v>10.747</v>
      </c>
      <c r="Y936">
        <v>310</v>
      </c>
      <c r="Z936">
        <v>106</v>
      </c>
      <c r="AA936" t="s">
        <v>80</v>
      </c>
      <c r="AB936">
        <v>0</v>
      </c>
      <c r="AC936">
        <v>0</v>
      </c>
      <c r="AD936" t="s">
        <v>51</v>
      </c>
      <c r="AI936">
        <v>0</v>
      </c>
      <c r="AJ936">
        <v>0</v>
      </c>
      <c r="AK936" s="30" t="str">
        <f ca="1">VLOOKUP(T936,'Auxiliar Vendas'!E:F,2,FALSE)</f>
        <v>Produto 16</v>
      </c>
      <c r="AL936" s="31">
        <f ca="1">U936*VLOOKUP(T936,'Auxiliar Vendas'!E:G,3,FALSE)</f>
        <v>25.4</v>
      </c>
    </row>
    <row r="937" spans="1:38">
      <c r="A937">
        <v>15779748539</v>
      </c>
      <c r="B937">
        <v>286</v>
      </c>
      <c r="D937" s="1">
        <v>44570</v>
      </c>
      <c r="E937">
        <v>15295556615</v>
      </c>
      <c r="F937" t="str">
        <f ca="1">VLOOKUP(RANDBETWEEN(1,20),'DBO Compras'!AA:AC,3,0)</f>
        <v>Comprador 15</v>
      </c>
      <c r="G937" t="s">
        <v>261</v>
      </c>
      <c r="H937" t="s">
        <v>262</v>
      </c>
      <c r="I937" t="s">
        <v>69</v>
      </c>
      <c r="J937" t="s">
        <v>244</v>
      </c>
      <c r="K937">
        <v>84261350</v>
      </c>
      <c r="L937" t="s">
        <v>40</v>
      </c>
      <c r="N937">
        <v>4284158927</v>
      </c>
      <c r="O937">
        <v>0</v>
      </c>
      <c r="P937">
        <v>0</v>
      </c>
      <c r="R937" t="s">
        <v>302</v>
      </c>
      <c r="S937">
        <v>15016043939</v>
      </c>
      <c r="T937" t="str">
        <f ca="1">VLOOKUP(RANDBETWEEN(1,17),'Auxiliar Vendas'!D:G,2,0)</f>
        <v>Produto 16</v>
      </c>
      <c r="U937">
        <v>200</v>
      </c>
      <c r="V937">
        <v>14.1</v>
      </c>
      <c r="W937">
        <v>0</v>
      </c>
      <c r="X937">
        <v>10.747</v>
      </c>
      <c r="Y937" s="3">
        <v>2820</v>
      </c>
      <c r="Z937">
        <v>79</v>
      </c>
      <c r="AA937" t="s">
        <v>50</v>
      </c>
      <c r="AB937">
        <v>0</v>
      </c>
      <c r="AC937">
        <v>0</v>
      </c>
      <c r="AD937" t="s">
        <v>51</v>
      </c>
      <c r="AI937">
        <v>0</v>
      </c>
      <c r="AJ937">
        <v>0</v>
      </c>
      <c r="AK937" s="30" t="str">
        <f ca="1">VLOOKUP(T937,'Auxiliar Vendas'!E:F,2,FALSE)</f>
        <v>Produto 16</v>
      </c>
      <c r="AL937" s="31">
        <f ca="1">U937*VLOOKUP(T937,'Auxiliar Vendas'!E:G,3,FALSE)</f>
        <v>254</v>
      </c>
    </row>
    <row r="938" spans="1:38">
      <c r="A938">
        <v>15779748539</v>
      </c>
      <c r="B938">
        <v>286</v>
      </c>
      <c r="D938" s="1">
        <v>44570</v>
      </c>
      <c r="E938">
        <v>15295556615</v>
      </c>
      <c r="F938" t="str">
        <f ca="1">VLOOKUP(RANDBETWEEN(1,20),'DBO Compras'!AA:AC,3,0)</f>
        <v>Comprador 04</v>
      </c>
      <c r="G938" t="s">
        <v>261</v>
      </c>
      <c r="H938" t="s">
        <v>262</v>
      </c>
      <c r="I938" t="s">
        <v>69</v>
      </c>
      <c r="J938" t="s">
        <v>244</v>
      </c>
      <c r="K938">
        <v>84261350</v>
      </c>
      <c r="L938" t="s">
        <v>40</v>
      </c>
      <c r="N938">
        <v>4284158927</v>
      </c>
      <c r="O938">
        <v>0</v>
      </c>
      <c r="P938">
        <v>0</v>
      </c>
      <c r="R938" t="s">
        <v>302</v>
      </c>
      <c r="S938">
        <v>15016073255</v>
      </c>
      <c r="T938" t="str">
        <f ca="1">VLOOKUP(RANDBETWEEN(1,17),'Auxiliar Vendas'!D:G,2,0)</f>
        <v>Produto 16</v>
      </c>
      <c r="U938">
        <v>100</v>
      </c>
      <c r="V938">
        <v>16.600000000000001</v>
      </c>
      <c r="W938">
        <v>0</v>
      </c>
      <c r="X938">
        <v>10.747</v>
      </c>
      <c r="Y938" s="3">
        <v>1660</v>
      </c>
      <c r="Z938">
        <v>79</v>
      </c>
      <c r="AA938" t="s">
        <v>160</v>
      </c>
      <c r="AB938">
        <v>0</v>
      </c>
      <c r="AC938">
        <v>0</v>
      </c>
      <c r="AD938" t="s">
        <v>51</v>
      </c>
      <c r="AI938">
        <v>0</v>
      </c>
      <c r="AJ938">
        <v>0</v>
      </c>
      <c r="AK938" s="30" t="str">
        <f ca="1">VLOOKUP(T938,'Auxiliar Vendas'!E:F,2,FALSE)</f>
        <v>Produto 16</v>
      </c>
      <c r="AL938" s="31">
        <f ca="1">U938*VLOOKUP(T938,'Auxiliar Vendas'!E:G,3,FALSE)</f>
        <v>127</v>
      </c>
    </row>
    <row r="939" spans="1:38">
      <c r="A939">
        <v>15779748539</v>
      </c>
      <c r="B939">
        <v>286</v>
      </c>
      <c r="D939" s="1">
        <v>44570</v>
      </c>
      <c r="E939">
        <v>15295556615</v>
      </c>
      <c r="F939" t="str">
        <f ca="1">VLOOKUP(RANDBETWEEN(1,20),'DBO Compras'!AA:AC,3,0)</f>
        <v>Comprador 17</v>
      </c>
      <c r="G939" t="s">
        <v>261</v>
      </c>
      <c r="H939" t="s">
        <v>262</v>
      </c>
      <c r="I939" t="s">
        <v>69</v>
      </c>
      <c r="J939" t="s">
        <v>244</v>
      </c>
      <c r="K939">
        <v>84261350</v>
      </c>
      <c r="L939" t="s">
        <v>40</v>
      </c>
      <c r="N939">
        <v>4284158927</v>
      </c>
      <c r="O939">
        <v>0</v>
      </c>
      <c r="P939">
        <v>0</v>
      </c>
      <c r="R939" t="s">
        <v>302</v>
      </c>
      <c r="S939">
        <v>15016049144</v>
      </c>
      <c r="T939" t="str">
        <f ca="1">VLOOKUP(RANDBETWEEN(1,17),'Auxiliar Vendas'!D:G,2,0)</f>
        <v>Produto 10</v>
      </c>
      <c r="U939">
        <v>200</v>
      </c>
      <c r="V939">
        <v>8.18</v>
      </c>
      <c r="W939">
        <v>0</v>
      </c>
      <c r="X939">
        <v>5.8620000000000001</v>
      </c>
      <c r="Y939" s="3">
        <v>1636</v>
      </c>
      <c r="Z939">
        <v>79</v>
      </c>
      <c r="AA939" t="s">
        <v>267</v>
      </c>
      <c r="AB939">
        <v>0</v>
      </c>
      <c r="AC939">
        <v>0</v>
      </c>
      <c r="AD939" t="s">
        <v>51</v>
      </c>
      <c r="AI939">
        <v>0</v>
      </c>
      <c r="AJ939">
        <v>0</v>
      </c>
      <c r="AK939" s="30" t="str">
        <f ca="1">VLOOKUP(T939,'Auxiliar Vendas'!E:F,2,FALSE)</f>
        <v>Produto 10</v>
      </c>
      <c r="AL939" s="31">
        <f ca="1">U939*VLOOKUP(T939,'Auxiliar Vendas'!E:G,3,FALSE)</f>
        <v>220.00000000000003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K59"/>
  <sheetViews>
    <sheetView workbookViewId="0">
      <selection activeCell="B2" sqref="B2"/>
    </sheetView>
  </sheetViews>
  <sheetFormatPr defaultRowHeight="15"/>
  <cols>
    <col min="1" max="1" width="18" bestFit="1" customWidth="1"/>
    <col min="2" max="2" width="15.85546875" bestFit="1" customWidth="1"/>
    <col min="3" max="3" width="19.140625" bestFit="1" customWidth="1"/>
    <col min="4" max="4" width="18" bestFit="1" customWidth="1"/>
    <col min="5" max="5" width="19.140625" bestFit="1" customWidth="1"/>
    <col min="8" max="8" width="18" bestFit="1" customWidth="1"/>
    <col min="9" max="9" width="13.42578125" bestFit="1" customWidth="1"/>
    <col min="10" max="10" width="19.140625" bestFit="1" customWidth="1"/>
  </cols>
  <sheetData>
    <row r="1" spans="1:11">
      <c r="A1" t="s">
        <v>394</v>
      </c>
      <c r="B1" s="7">
        <v>378309</v>
      </c>
    </row>
    <row r="2" spans="1:11">
      <c r="A2" t="s">
        <v>395</v>
      </c>
      <c r="B2" s="16">
        <f>GETPIVOTDATA("Peso",$H$5)</f>
        <v>330799.04999999993</v>
      </c>
    </row>
    <row r="3" spans="1:11">
      <c r="A3" t="s">
        <v>423</v>
      </c>
      <c r="B3" s="7">
        <f>B1/B2</f>
        <v>1.1436217848872301</v>
      </c>
    </row>
    <row r="5" spans="1:11">
      <c r="A5" s="8" t="s">
        <v>388</v>
      </c>
      <c r="B5" t="s">
        <v>392</v>
      </c>
      <c r="D5" s="8" t="s">
        <v>388</v>
      </c>
      <c r="E5" t="s">
        <v>393</v>
      </c>
      <c r="H5" s="8" t="s">
        <v>388</v>
      </c>
      <c r="I5" t="s">
        <v>392</v>
      </c>
      <c r="J5" s="8"/>
      <c r="K5" s="8"/>
    </row>
    <row r="6" spans="1:11">
      <c r="A6" s="9" t="s">
        <v>563</v>
      </c>
      <c r="B6" s="16">
        <v>23253.920000000002</v>
      </c>
      <c r="D6" s="9" t="s">
        <v>534</v>
      </c>
      <c r="E6" s="17">
        <v>206733.6</v>
      </c>
      <c r="H6" s="9" t="s">
        <v>538</v>
      </c>
      <c r="I6" s="16">
        <v>32229.4</v>
      </c>
    </row>
    <row r="7" spans="1:11">
      <c r="A7" s="9" t="s">
        <v>540</v>
      </c>
      <c r="B7" s="16">
        <v>28747.719999999998</v>
      </c>
      <c r="D7" s="9" t="s">
        <v>536</v>
      </c>
      <c r="E7" s="17">
        <v>264393.99800000002</v>
      </c>
      <c r="H7" s="9" t="s">
        <v>539</v>
      </c>
      <c r="I7" s="16">
        <v>30765.719999999998</v>
      </c>
    </row>
    <row r="8" spans="1:11">
      <c r="A8" s="9" t="s">
        <v>539</v>
      </c>
      <c r="B8" s="16">
        <v>30765.719999999998</v>
      </c>
      <c r="D8" s="9" t="s">
        <v>558</v>
      </c>
      <c r="E8" s="17">
        <v>263275</v>
      </c>
      <c r="H8" s="9" t="s">
        <v>536</v>
      </c>
      <c r="I8" s="16">
        <v>28851.200000000001</v>
      </c>
    </row>
    <row r="9" spans="1:11">
      <c r="A9" s="9" t="s">
        <v>538</v>
      </c>
      <c r="B9" s="16">
        <v>32229.4</v>
      </c>
      <c r="D9" s="9" t="s">
        <v>538</v>
      </c>
      <c r="E9" s="17">
        <v>296777.05</v>
      </c>
      <c r="H9" s="9" t="s">
        <v>540</v>
      </c>
      <c r="I9" s="16">
        <v>28747.719999999998</v>
      </c>
    </row>
    <row r="10" spans="1:11">
      <c r="A10" s="9" t="s">
        <v>537</v>
      </c>
      <c r="B10" s="16">
        <v>23472.399999999998</v>
      </c>
      <c r="D10" s="9" t="s">
        <v>554</v>
      </c>
      <c r="E10" s="17">
        <v>194362.69999999998</v>
      </c>
      <c r="H10" s="9" t="s">
        <v>560</v>
      </c>
      <c r="I10" s="16">
        <v>27149.1</v>
      </c>
    </row>
    <row r="11" spans="1:11">
      <c r="A11" s="9" t="s">
        <v>536</v>
      </c>
      <c r="B11" s="16">
        <v>28851.200000000001</v>
      </c>
      <c r="D11" s="9" t="s">
        <v>535</v>
      </c>
      <c r="E11" s="17">
        <v>310675.34999999998</v>
      </c>
      <c r="H11" s="9" t="s">
        <v>562</v>
      </c>
      <c r="I11" s="16">
        <v>24271.500000000004</v>
      </c>
    </row>
    <row r="12" spans="1:11">
      <c r="A12" s="9" t="s">
        <v>535</v>
      </c>
      <c r="B12" s="16">
        <v>22511.5</v>
      </c>
      <c r="D12" s="9" t="s">
        <v>560</v>
      </c>
      <c r="E12" s="17">
        <v>298308.41900000005</v>
      </c>
      <c r="H12" s="9" t="s">
        <v>537</v>
      </c>
      <c r="I12" s="16">
        <v>23472.399999999998</v>
      </c>
    </row>
    <row r="13" spans="1:11">
      <c r="A13" s="9" t="s">
        <v>534</v>
      </c>
      <c r="B13" s="16">
        <v>17250.2</v>
      </c>
      <c r="D13" s="9" t="s">
        <v>555</v>
      </c>
      <c r="E13" s="17">
        <v>284248.34999999998</v>
      </c>
      <c r="H13" s="9" t="s">
        <v>563</v>
      </c>
      <c r="I13" s="16">
        <v>23253.920000000002</v>
      </c>
    </row>
    <row r="14" spans="1:11">
      <c r="A14" s="9" t="s">
        <v>562</v>
      </c>
      <c r="B14" s="16">
        <v>24271.500000000004</v>
      </c>
      <c r="D14" s="9" t="s">
        <v>537</v>
      </c>
      <c r="E14" s="17">
        <v>228561.9528</v>
      </c>
      <c r="H14" s="9" t="s">
        <v>535</v>
      </c>
      <c r="I14" s="16">
        <v>22511.5</v>
      </c>
    </row>
    <row r="15" spans="1:11">
      <c r="A15" s="9" t="s">
        <v>561</v>
      </c>
      <c r="B15" s="16">
        <v>20969.3</v>
      </c>
      <c r="D15" s="9" t="s">
        <v>559</v>
      </c>
      <c r="E15" s="17">
        <v>284027.80000000005</v>
      </c>
      <c r="H15" s="9" t="s">
        <v>561</v>
      </c>
      <c r="I15" s="16">
        <v>20969.3</v>
      </c>
    </row>
    <row r="16" spans="1:11">
      <c r="A16" s="9" t="s">
        <v>560</v>
      </c>
      <c r="B16" s="16">
        <v>27149.1</v>
      </c>
      <c r="D16" s="9" t="s">
        <v>540</v>
      </c>
      <c r="E16" s="17">
        <v>318759.62000000005</v>
      </c>
      <c r="H16" s="9" t="s">
        <v>534</v>
      </c>
      <c r="I16" s="16">
        <v>17250.2</v>
      </c>
    </row>
    <row r="17" spans="1:9">
      <c r="A17" s="9" t="s">
        <v>559</v>
      </c>
      <c r="B17" s="16">
        <v>10166.5</v>
      </c>
      <c r="D17" s="9" t="s">
        <v>561</v>
      </c>
      <c r="E17" s="17">
        <v>237506.71000000002</v>
      </c>
      <c r="H17" s="9" t="s">
        <v>558</v>
      </c>
      <c r="I17" s="16">
        <v>12685.2</v>
      </c>
    </row>
    <row r="18" spans="1:9">
      <c r="A18" s="9" t="s">
        <v>558</v>
      </c>
      <c r="B18" s="16">
        <v>12685.2</v>
      </c>
      <c r="D18" s="9" t="s">
        <v>557</v>
      </c>
      <c r="E18" s="17">
        <v>211441.96999999997</v>
      </c>
      <c r="H18" s="9" t="s">
        <v>559</v>
      </c>
      <c r="I18" s="16">
        <v>10166.5</v>
      </c>
    </row>
    <row r="19" spans="1:9">
      <c r="A19" s="9" t="s">
        <v>557</v>
      </c>
      <c r="B19" s="16">
        <v>9868.7999999999993</v>
      </c>
      <c r="D19" s="9" t="s">
        <v>562</v>
      </c>
      <c r="E19" s="17">
        <v>310826.91500000004</v>
      </c>
      <c r="H19" s="9" t="s">
        <v>557</v>
      </c>
      <c r="I19" s="16">
        <v>9868.7999999999993</v>
      </c>
    </row>
    <row r="20" spans="1:9">
      <c r="A20" s="9" t="s">
        <v>556</v>
      </c>
      <c r="B20" s="16">
        <v>7411.2</v>
      </c>
      <c r="D20" s="9" t="s">
        <v>563</v>
      </c>
      <c r="E20" s="17">
        <v>238850.51599999997</v>
      </c>
      <c r="H20" s="9" t="s">
        <v>556</v>
      </c>
      <c r="I20" s="16">
        <v>7411.2</v>
      </c>
    </row>
    <row r="21" spans="1:9">
      <c r="A21" s="9" t="s">
        <v>555</v>
      </c>
      <c r="B21" s="16">
        <v>5404.59</v>
      </c>
      <c r="D21" s="9" t="s">
        <v>556</v>
      </c>
      <c r="E21" s="17">
        <v>148360.35999999999</v>
      </c>
      <c r="H21" s="9" t="s">
        <v>554</v>
      </c>
      <c r="I21" s="16">
        <v>5790.7999999999993</v>
      </c>
    </row>
    <row r="22" spans="1:9">
      <c r="A22" s="9" t="s">
        <v>554</v>
      </c>
      <c r="B22" s="16">
        <v>5790.7999999999993</v>
      </c>
      <c r="D22" s="9" t="s">
        <v>539</v>
      </c>
      <c r="E22" s="17">
        <v>310650.95</v>
      </c>
      <c r="H22" s="9" t="s">
        <v>555</v>
      </c>
      <c r="I22" s="16">
        <v>5404.59</v>
      </c>
    </row>
    <row r="23" spans="1:9">
      <c r="A23" s="9" t="s">
        <v>389</v>
      </c>
      <c r="B23" s="16">
        <v>330799.05000000005</v>
      </c>
      <c r="D23" s="9" t="s">
        <v>389</v>
      </c>
      <c r="E23" s="17">
        <v>4407761.2607999993</v>
      </c>
      <c r="H23" s="9" t="s">
        <v>389</v>
      </c>
      <c r="I23" s="16">
        <v>330799.04999999993</v>
      </c>
    </row>
    <row r="49" spans="3:3">
      <c r="C49" s="14"/>
    </row>
    <row r="50" spans="3:3">
      <c r="C50" s="14"/>
    </row>
    <row r="51" spans="3:3">
      <c r="C51" s="14"/>
    </row>
    <row r="52" spans="3:3">
      <c r="C52" s="14"/>
    </row>
    <row r="53" spans="3:3">
      <c r="C53" s="14"/>
    </row>
    <row r="54" spans="3:3">
      <c r="C54" s="14"/>
    </row>
    <row r="55" spans="3:3">
      <c r="C55" s="14"/>
    </row>
    <row r="56" spans="3:3">
      <c r="C56" s="14"/>
    </row>
    <row r="57" spans="3:3">
      <c r="C57" s="14"/>
    </row>
    <row r="58" spans="3:3">
      <c r="C58" s="14"/>
    </row>
    <row r="59" spans="3:3">
      <c r="C59" s="14"/>
    </row>
  </sheetData>
  <pageMargins left="0.511811024" right="0.511811024" top="0.78740157499999996" bottom="0.78740157499999996" header="0.31496062000000002" footer="0.31496062000000002"/>
  <pageSetup paperSize="9" orientation="portrait" r:id="rId4"/>
  <headerFooter>
    <oddFooter>&amp;R&amp;1#&amp;"Arial"&amp;10&amp;K000000Confidential 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F30"/>
  <sheetViews>
    <sheetView workbookViewId="0">
      <selection activeCell="B5" sqref="B5"/>
    </sheetView>
  </sheetViews>
  <sheetFormatPr defaultRowHeight="15"/>
  <cols>
    <col min="1" max="1" width="18" bestFit="1" customWidth="1"/>
    <col min="2" max="2" width="13.42578125" bestFit="1" customWidth="1"/>
    <col min="3" max="3" width="19.140625" bestFit="1" customWidth="1"/>
    <col min="5" max="5" width="18" bestFit="1" customWidth="1"/>
    <col min="6" max="6" width="19.140625" bestFit="1" customWidth="1"/>
  </cols>
  <sheetData>
    <row r="1" spans="1:6">
      <c r="A1" t="s">
        <v>394</v>
      </c>
      <c r="B1" s="18">
        <f>GETPIVOTDATA("Preço Total",$E$4)</f>
        <v>4407761.2608000003</v>
      </c>
    </row>
    <row r="2" spans="1:6">
      <c r="A2" t="s">
        <v>395</v>
      </c>
      <c r="B2" s="16">
        <f>GETPIVOTDATA("Soma de Peso",$A$4)</f>
        <v>330799.05</v>
      </c>
    </row>
    <row r="4" spans="1:6">
      <c r="A4" s="8" t="s">
        <v>388</v>
      </c>
      <c r="B4" t="s">
        <v>392</v>
      </c>
      <c r="E4" s="8" t="s">
        <v>388</v>
      </c>
      <c r="F4" t="s">
        <v>393</v>
      </c>
    </row>
    <row r="5" spans="1:6">
      <c r="A5" s="13" t="s">
        <v>497</v>
      </c>
      <c r="B5" s="16">
        <v>8298.2000000000007</v>
      </c>
      <c r="E5" s="13" t="s">
        <v>497</v>
      </c>
      <c r="F5" s="17">
        <v>78981.399999999994</v>
      </c>
    </row>
    <row r="6" spans="1:6">
      <c r="A6" s="13" t="s">
        <v>498</v>
      </c>
      <c r="B6" s="16">
        <v>21089.100000000002</v>
      </c>
      <c r="E6" s="13" t="s">
        <v>498</v>
      </c>
      <c r="F6" s="17">
        <v>362769.01999999996</v>
      </c>
    </row>
    <row r="7" spans="1:6">
      <c r="A7" s="13" t="s">
        <v>499</v>
      </c>
      <c r="B7" s="16">
        <v>36989.82</v>
      </c>
      <c r="E7" s="13" t="s">
        <v>499</v>
      </c>
      <c r="F7" s="17">
        <v>495508.58100000001</v>
      </c>
    </row>
    <row r="8" spans="1:6">
      <c r="A8" s="13" t="s">
        <v>500</v>
      </c>
      <c r="B8" s="16">
        <v>62819.560000000005</v>
      </c>
      <c r="E8" s="13" t="s">
        <v>500</v>
      </c>
      <c r="F8" s="17">
        <v>813769.098</v>
      </c>
    </row>
    <row r="9" spans="1:6">
      <c r="A9" s="13" t="s">
        <v>501</v>
      </c>
      <c r="B9" s="16">
        <v>93453.200000000026</v>
      </c>
      <c r="E9" s="13" t="s">
        <v>501</v>
      </c>
      <c r="F9" s="17">
        <v>1225974.4918</v>
      </c>
    </row>
    <row r="10" spans="1:6">
      <c r="A10" s="13" t="s">
        <v>502</v>
      </c>
      <c r="B10" s="16">
        <v>108149.16999999997</v>
      </c>
      <c r="E10" s="13" t="s">
        <v>502</v>
      </c>
      <c r="F10" s="17">
        <v>1430758.6700000002</v>
      </c>
    </row>
    <row r="11" spans="1:6">
      <c r="A11" s="13" t="s">
        <v>389</v>
      </c>
      <c r="B11" s="16">
        <v>330799.05</v>
      </c>
      <c r="E11" s="13" t="s">
        <v>389</v>
      </c>
      <c r="F11" s="17">
        <v>4407761.2608000003</v>
      </c>
    </row>
    <row r="30" spans="2:2">
      <c r="B30" s="17"/>
    </row>
  </sheetData>
  <pageMargins left="0.511811024" right="0.511811024" top="0.78740157499999996" bottom="0.78740157499999996" header="0.31496062000000002" footer="0.31496062000000002"/>
  <pageSetup paperSize="9" orientation="portrait" r:id="rId3"/>
  <headerFooter>
    <oddFooter>&amp;R&amp;1#&amp;"Arial"&amp;10&amp;K000000Confidential 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12"/>
  <sheetViews>
    <sheetView workbookViewId="0">
      <selection activeCell="E2" sqref="E1:F3"/>
    </sheetView>
  </sheetViews>
  <sheetFormatPr defaultRowHeight="15"/>
  <cols>
    <col min="2" max="2" width="33.140625" bestFit="1" customWidth="1"/>
    <col min="3" max="3" width="33.140625" customWidth="1"/>
    <col min="4" max="4" width="5.85546875" customWidth="1"/>
    <col min="5" max="5" width="18" bestFit="1" customWidth="1"/>
    <col min="6" max="6" width="19.140625" bestFit="1" customWidth="1"/>
  </cols>
  <sheetData>
    <row r="1" spans="1:6">
      <c r="A1" t="s">
        <v>396</v>
      </c>
      <c r="B1" t="s">
        <v>397</v>
      </c>
      <c r="C1" t="s">
        <v>398</v>
      </c>
      <c r="E1" s="8" t="s">
        <v>388</v>
      </c>
      <c r="F1" t="s">
        <v>393</v>
      </c>
    </row>
    <row r="2" spans="1:6">
      <c r="A2">
        <v>1</v>
      </c>
      <c r="B2" t="str">
        <f>IF(OR(E2 = "Total Geral",E2 = ""),"N/A",E2)</f>
        <v>Comprador 13</v>
      </c>
      <c r="C2" s="18">
        <f>GETPIVOTDATA("Preço Total",$E$1,"Nome do contato",B2)</f>
        <v>224562.50000000003</v>
      </c>
      <c r="D2" s="7"/>
      <c r="E2" s="9" t="s">
        <v>550</v>
      </c>
      <c r="F2" s="17">
        <v>224562.50000000003</v>
      </c>
    </row>
    <row r="3" spans="1:6">
      <c r="A3">
        <v>2</v>
      </c>
      <c r="B3" t="str">
        <f t="shared" ref="B3:B11" si="0">IF(OR(E3 = "Total Geral",E3 = ""),"N/A",E3)</f>
        <v>Comprador 06</v>
      </c>
      <c r="C3" s="18">
        <f t="shared" ref="C3:C11" si="1">GETPIVOTDATA("Preço Total",$E$1,"Nome do contato",B3)</f>
        <v>228470.7</v>
      </c>
      <c r="D3" s="7"/>
      <c r="E3" s="9" t="s">
        <v>580</v>
      </c>
      <c r="F3" s="17">
        <v>228470.7</v>
      </c>
    </row>
    <row r="4" spans="1:6">
      <c r="A4">
        <v>3</v>
      </c>
      <c r="B4" t="str">
        <f t="shared" si="0"/>
        <v>Comprador 10</v>
      </c>
      <c r="C4" s="18">
        <f t="shared" si="1"/>
        <v>228833.32</v>
      </c>
      <c r="D4" s="7"/>
      <c r="E4" s="9" t="s">
        <v>548</v>
      </c>
      <c r="F4" s="17">
        <v>228833.32</v>
      </c>
    </row>
    <row r="5" spans="1:6">
      <c r="A5">
        <v>4</v>
      </c>
      <c r="B5" t="str">
        <f t="shared" si="0"/>
        <v>Comprador 14</v>
      </c>
      <c r="C5" s="18">
        <f t="shared" si="1"/>
        <v>241304.299</v>
      </c>
      <c r="D5" s="7"/>
      <c r="E5" s="9" t="s">
        <v>551</v>
      </c>
      <c r="F5" s="17">
        <v>241304.299</v>
      </c>
    </row>
    <row r="6" spans="1:6">
      <c r="A6">
        <v>5</v>
      </c>
      <c r="B6" t="str">
        <f t="shared" si="0"/>
        <v>Comprador 20</v>
      </c>
      <c r="C6" s="18">
        <f t="shared" si="1"/>
        <v>286837.3</v>
      </c>
      <c r="D6" s="7"/>
      <c r="E6" s="9" t="s">
        <v>553</v>
      </c>
      <c r="F6" s="17">
        <v>286837.3</v>
      </c>
    </row>
    <row r="7" spans="1:6">
      <c r="A7">
        <v>6</v>
      </c>
      <c r="B7" t="str">
        <f t="shared" si="0"/>
        <v>Comprador 09</v>
      </c>
      <c r="C7" s="18">
        <f t="shared" si="1"/>
        <v>320063.80000000005</v>
      </c>
      <c r="D7" s="7"/>
      <c r="E7" s="9" t="s">
        <v>582</v>
      </c>
      <c r="F7" s="17">
        <v>320063.80000000005</v>
      </c>
    </row>
    <row r="8" spans="1:6">
      <c r="A8">
        <v>7</v>
      </c>
      <c r="B8" t="str">
        <f t="shared" si="0"/>
        <v>Comprador 16</v>
      </c>
      <c r="C8" s="18">
        <f t="shared" si="1"/>
        <v>321532.82</v>
      </c>
      <c r="D8" s="7"/>
      <c r="E8" s="9" t="s">
        <v>552</v>
      </c>
      <c r="F8" s="17">
        <v>321532.82</v>
      </c>
    </row>
    <row r="9" spans="1:6">
      <c r="A9">
        <v>8</v>
      </c>
      <c r="B9" t="str">
        <f t="shared" si="0"/>
        <v>Comprador 07</v>
      </c>
      <c r="C9" s="18">
        <f t="shared" si="1"/>
        <v>349287.48</v>
      </c>
      <c r="D9" s="7"/>
      <c r="E9" s="9" t="s">
        <v>581</v>
      </c>
      <c r="F9" s="17">
        <v>349287.48</v>
      </c>
    </row>
    <row r="10" spans="1:6">
      <c r="A10">
        <v>9</v>
      </c>
      <c r="B10" t="str">
        <f t="shared" si="0"/>
        <v>Comprador 08</v>
      </c>
      <c r="C10" s="18">
        <f t="shared" si="1"/>
        <v>416624.348</v>
      </c>
      <c r="D10" s="7"/>
      <c r="E10" s="9" t="s">
        <v>579</v>
      </c>
      <c r="F10" s="17">
        <v>416624.348</v>
      </c>
    </row>
    <row r="11" spans="1:6">
      <c r="A11">
        <v>10</v>
      </c>
      <c r="B11" t="str">
        <f t="shared" si="0"/>
        <v>Comprador 12</v>
      </c>
      <c r="C11" s="18">
        <f t="shared" si="1"/>
        <v>450368.05000000005</v>
      </c>
      <c r="D11" s="7"/>
      <c r="E11" s="9" t="s">
        <v>549</v>
      </c>
      <c r="F11" s="17">
        <v>450368.05000000005</v>
      </c>
    </row>
    <row r="12" spans="1:6">
      <c r="B12" s="7"/>
      <c r="C12" s="7"/>
      <c r="D12" s="7"/>
      <c r="E12" s="9" t="s">
        <v>389</v>
      </c>
      <c r="F12" s="17">
        <v>3067884.6170000006</v>
      </c>
    </row>
  </sheetData>
  <pageMargins left="0.511811024" right="0.511811024" top="0.78740157499999996" bottom="0.78740157499999996" header="0.31496062000000002" footer="0.31496062000000002"/>
  <pageSetup paperSize="9" orientation="portrait" r:id="rId2"/>
  <headerFooter>
    <oddFooter>&amp;R&amp;1#&amp;"Arial"&amp;10&amp;K000000Confidential 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B2:J36"/>
  <sheetViews>
    <sheetView workbookViewId="0">
      <selection activeCell="D5" sqref="D5:D36"/>
    </sheetView>
  </sheetViews>
  <sheetFormatPr defaultRowHeight="15"/>
  <cols>
    <col min="2" max="2" width="26" bestFit="1" customWidth="1"/>
    <col min="3" max="3" width="33.85546875" bestFit="1" customWidth="1"/>
    <col min="4" max="4" width="8.42578125" customWidth="1"/>
    <col min="5" max="5" width="33.85546875" bestFit="1" customWidth="1"/>
    <col min="6" max="6" width="30.85546875" bestFit="1" customWidth="1"/>
    <col min="7" max="7" width="7.85546875" bestFit="1" customWidth="1"/>
  </cols>
  <sheetData>
    <row r="2" spans="2:10">
      <c r="B2" s="6" t="s">
        <v>371</v>
      </c>
    </row>
    <row r="4" spans="2:10">
      <c r="B4" s="5" t="s">
        <v>372</v>
      </c>
      <c r="C4" s="5" t="s">
        <v>373</v>
      </c>
      <c r="E4" s="5" t="s">
        <v>372</v>
      </c>
      <c r="F4" s="5" t="s">
        <v>391</v>
      </c>
      <c r="G4" s="5" t="s">
        <v>373</v>
      </c>
    </row>
    <row r="5" spans="2:10">
      <c r="B5" s="5" t="s">
        <v>374</v>
      </c>
      <c r="C5" s="5">
        <v>1.1000000000000001</v>
      </c>
      <c r="D5">
        <v>1</v>
      </c>
      <c r="E5" s="5" t="s">
        <v>554</v>
      </c>
      <c r="F5" s="5" t="s">
        <v>554</v>
      </c>
      <c r="G5" s="5">
        <v>0.4</v>
      </c>
      <c r="I5">
        <v>1</v>
      </c>
      <c r="J5" t="str">
        <f>"Produto 0" &amp;I5</f>
        <v>Produto 01</v>
      </c>
    </row>
    <row r="6" spans="2:10">
      <c r="B6" s="5" t="s">
        <v>375</v>
      </c>
      <c r="C6" s="5">
        <v>0.6</v>
      </c>
      <c r="D6">
        <v>2</v>
      </c>
      <c r="E6" s="5" t="s">
        <v>555</v>
      </c>
      <c r="F6" s="5" t="s">
        <v>555</v>
      </c>
      <c r="G6" s="5">
        <v>0.27</v>
      </c>
      <c r="I6">
        <v>2</v>
      </c>
      <c r="J6" t="str">
        <f t="shared" ref="J6:J13" si="0">"Produto 0" &amp;I6</f>
        <v>Produto 02</v>
      </c>
    </row>
    <row r="7" spans="2:10">
      <c r="B7" s="5" t="s">
        <v>384</v>
      </c>
      <c r="C7" s="5">
        <v>0.27</v>
      </c>
      <c r="D7">
        <v>3</v>
      </c>
      <c r="E7" s="5" t="s">
        <v>556</v>
      </c>
      <c r="F7" s="5" t="s">
        <v>556</v>
      </c>
      <c r="G7" s="5">
        <v>0.6</v>
      </c>
      <c r="I7">
        <v>3</v>
      </c>
      <c r="J7" t="str">
        <f t="shared" si="0"/>
        <v>Produto 03</v>
      </c>
    </row>
    <row r="8" spans="2:10">
      <c r="B8" s="5" t="s">
        <v>385</v>
      </c>
      <c r="C8" s="5">
        <v>0.5</v>
      </c>
      <c r="D8">
        <v>4</v>
      </c>
      <c r="E8" s="5" t="s">
        <v>557</v>
      </c>
      <c r="F8" s="5" t="s">
        <v>557</v>
      </c>
      <c r="G8" s="5">
        <v>0.6</v>
      </c>
      <c r="I8">
        <v>4</v>
      </c>
      <c r="J8" t="str">
        <f t="shared" si="0"/>
        <v>Produto 04</v>
      </c>
    </row>
    <row r="9" spans="2:10">
      <c r="B9" s="5" t="s">
        <v>376</v>
      </c>
      <c r="C9" s="5">
        <v>1.1000000000000001</v>
      </c>
      <c r="D9">
        <v>5</v>
      </c>
      <c r="E9" s="5" t="s">
        <v>558</v>
      </c>
      <c r="F9" s="5" t="s">
        <v>558</v>
      </c>
      <c r="G9" s="5">
        <v>0.6</v>
      </c>
      <c r="I9">
        <v>5</v>
      </c>
      <c r="J9" t="str">
        <f t="shared" si="0"/>
        <v>Produto 05</v>
      </c>
    </row>
    <row r="10" spans="2:10">
      <c r="B10" s="5" t="s">
        <v>377</v>
      </c>
      <c r="C10" s="5">
        <v>1.4</v>
      </c>
      <c r="D10">
        <v>6</v>
      </c>
      <c r="E10" s="5" t="s">
        <v>559</v>
      </c>
      <c r="F10" s="5" t="s">
        <v>559</v>
      </c>
      <c r="G10" s="5">
        <v>0.5</v>
      </c>
      <c r="I10">
        <v>6</v>
      </c>
      <c r="J10" t="str">
        <f t="shared" si="0"/>
        <v>Produto 06</v>
      </c>
    </row>
    <row r="11" spans="2:10">
      <c r="B11" s="5" t="s">
        <v>378</v>
      </c>
      <c r="C11" s="5">
        <v>1.62</v>
      </c>
      <c r="D11">
        <v>7</v>
      </c>
      <c r="E11" s="5" t="s">
        <v>560</v>
      </c>
      <c r="F11" s="5" t="s">
        <v>560</v>
      </c>
      <c r="G11" s="5">
        <v>1.1000000000000001</v>
      </c>
      <c r="I11">
        <v>7</v>
      </c>
      <c r="J11" t="str">
        <f t="shared" si="0"/>
        <v>Produto 07</v>
      </c>
    </row>
    <row r="12" spans="2:10">
      <c r="B12" s="5" t="s">
        <v>379</v>
      </c>
      <c r="C12" s="5">
        <v>1.42</v>
      </c>
      <c r="D12">
        <v>8</v>
      </c>
      <c r="E12" s="5" t="s">
        <v>561</v>
      </c>
      <c r="F12" s="5" t="s">
        <v>561</v>
      </c>
      <c r="G12" s="5">
        <v>1.1000000000000001</v>
      </c>
      <c r="I12">
        <v>8</v>
      </c>
      <c r="J12" t="str">
        <f t="shared" si="0"/>
        <v>Produto 08</v>
      </c>
    </row>
    <row r="13" spans="2:10">
      <c r="B13" s="5" t="s">
        <v>386</v>
      </c>
      <c r="C13" s="5">
        <v>1.27</v>
      </c>
      <c r="D13">
        <v>9</v>
      </c>
      <c r="E13" s="5" t="s">
        <v>562</v>
      </c>
      <c r="F13" s="5" t="s">
        <v>562</v>
      </c>
      <c r="G13" s="5">
        <v>1.1000000000000001</v>
      </c>
      <c r="I13">
        <v>9</v>
      </c>
      <c r="J13" t="str">
        <f t="shared" si="0"/>
        <v>Produto 09</v>
      </c>
    </row>
    <row r="14" spans="2:10">
      <c r="B14" s="5" t="s">
        <v>380</v>
      </c>
      <c r="C14" s="5">
        <v>1.62</v>
      </c>
      <c r="D14">
        <v>10</v>
      </c>
      <c r="E14" s="5" t="s">
        <v>534</v>
      </c>
      <c r="F14" s="5" t="s">
        <v>534</v>
      </c>
      <c r="G14" s="5">
        <v>1.1000000000000001</v>
      </c>
      <c r="I14">
        <v>10</v>
      </c>
      <c r="J14" t="str">
        <f>"Produto " &amp;I14</f>
        <v>Produto 10</v>
      </c>
    </row>
    <row r="15" spans="2:10">
      <c r="B15" s="5" t="s">
        <v>381</v>
      </c>
      <c r="C15" s="5">
        <v>1.92</v>
      </c>
      <c r="D15">
        <v>11</v>
      </c>
      <c r="E15" s="5" t="s">
        <v>535</v>
      </c>
      <c r="F15" s="5" t="s">
        <v>535</v>
      </c>
      <c r="G15" s="5">
        <v>1.1000000000000001</v>
      </c>
      <c r="I15">
        <v>11</v>
      </c>
      <c r="J15" t="str">
        <f t="shared" ref="J15:J36" si="1">"Produto " &amp;I15</f>
        <v>Produto 11</v>
      </c>
    </row>
    <row r="16" spans="2:10">
      <c r="B16" s="5" t="s">
        <v>382</v>
      </c>
      <c r="C16" s="5">
        <v>1.1000000000000001</v>
      </c>
      <c r="D16">
        <v>12</v>
      </c>
      <c r="E16" s="5" t="s">
        <v>536</v>
      </c>
      <c r="F16" s="5" t="s">
        <v>536</v>
      </c>
      <c r="G16" s="5">
        <v>1.4</v>
      </c>
      <c r="I16">
        <v>12</v>
      </c>
      <c r="J16" t="str">
        <f t="shared" si="1"/>
        <v>Produto 12</v>
      </c>
    </row>
    <row r="17" spans="2:10">
      <c r="B17" s="5" t="s">
        <v>383</v>
      </c>
      <c r="C17" s="5">
        <v>1.1000000000000001</v>
      </c>
      <c r="D17">
        <v>13</v>
      </c>
      <c r="E17" s="5" t="s">
        <v>537</v>
      </c>
      <c r="F17" s="5" t="s">
        <v>537</v>
      </c>
      <c r="G17" s="5">
        <v>1.4</v>
      </c>
      <c r="I17">
        <v>13</v>
      </c>
      <c r="J17" t="str">
        <f t="shared" si="1"/>
        <v>Produto 13</v>
      </c>
    </row>
    <row r="18" spans="2:10">
      <c r="D18">
        <v>14</v>
      </c>
      <c r="E18" s="5" t="s">
        <v>538</v>
      </c>
      <c r="F18" s="5" t="s">
        <v>538</v>
      </c>
      <c r="G18" s="5">
        <v>1.4</v>
      </c>
      <c r="I18">
        <v>14</v>
      </c>
      <c r="J18" t="str">
        <f t="shared" si="1"/>
        <v>Produto 14</v>
      </c>
    </row>
    <row r="19" spans="2:10">
      <c r="D19">
        <v>15</v>
      </c>
      <c r="E19" s="5" t="s">
        <v>539</v>
      </c>
      <c r="F19" s="5" t="s">
        <v>539</v>
      </c>
      <c r="G19" s="5">
        <v>1.42</v>
      </c>
      <c r="I19">
        <v>15</v>
      </c>
      <c r="J19" t="str">
        <f t="shared" si="1"/>
        <v>Produto 15</v>
      </c>
    </row>
    <row r="20" spans="2:10">
      <c r="D20">
        <v>16</v>
      </c>
      <c r="E20" s="5" t="s">
        <v>540</v>
      </c>
      <c r="F20" s="5" t="s">
        <v>540</v>
      </c>
      <c r="G20" s="5">
        <v>1.27</v>
      </c>
      <c r="I20">
        <v>16</v>
      </c>
      <c r="J20" t="str">
        <f t="shared" si="1"/>
        <v>Produto 16</v>
      </c>
    </row>
    <row r="21" spans="2:10">
      <c r="D21">
        <v>17</v>
      </c>
      <c r="E21" s="5" t="s">
        <v>563</v>
      </c>
      <c r="F21" s="5" t="s">
        <v>563</v>
      </c>
      <c r="G21" s="5">
        <v>1.42</v>
      </c>
      <c r="I21">
        <v>17</v>
      </c>
      <c r="J21" t="str">
        <f t="shared" si="1"/>
        <v>Produto 17</v>
      </c>
    </row>
    <row r="22" spans="2:10">
      <c r="D22">
        <v>18</v>
      </c>
      <c r="E22" s="5" t="s">
        <v>564</v>
      </c>
      <c r="F22" s="5" t="s">
        <v>564</v>
      </c>
      <c r="G22" s="5">
        <v>1.18</v>
      </c>
      <c r="I22">
        <v>18</v>
      </c>
      <c r="J22" t="str">
        <f t="shared" si="1"/>
        <v>Produto 18</v>
      </c>
    </row>
    <row r="23" spans="2:10">
      <c r="D23">
        <v>19</v>
      </c>
      <c r="E23" s="5" t="s">
        <v>565</v>
      </c>
      <c r="F23" s="5" t="s">
        <v>565</v>
      </c>
      <c r="G23" s="5">
        <v>1.32</v>
      </c>
      <c r="I23">
        <v>19</v>
      </c>
      <c r="J23" t="str">
        <f t="shared" si="1"/>
        <v>Produto 19</v>
      </c>
    </row>
    <row r="24" spans="2:10">
      <c r="D24">
        <v>20</v>
      </c>
      <c r="E24" s="5" t="s">
        <v>566</v>
      </c>
      <c r="F24" s="5" t="s">
        <v>566</v>
      </c>
      <c r="G24" s="5">
        <v>1.62</v>
      </c>
      <c r="I24">
        <v>20</v>
      </c>
      <c r="J24" t="str">
        <f t="shared" si="1"/>
        <v>Produto 20</v>
      </c>
    </row>
    <row r="25" spans="2:10">
      <c r="D25">
        <v>21</v>
      </c>
      <c r="E25" s="5" t="s">
        <v>567</v>
      </c>
      <c r="F25" s="5" t="s">
        <v>567</v>
      </c>
      <c r="G25" s="5">
        <v>1.62</v>
      </c>
      <c r="I25">
        <v>21</v>
      </c>
      <c r="J25" t="str">
        <f t="shared" si="1"/>
        <v>Produto 21</v>
      </c>
    </row>
    <row r="26" spans="2:10">
      <c r="D26">
        <v>22</v>
      </c>
      <c r="E26" s="5" t="s">
        <v>568</v>
      </c>
      <c r="F26" s="5" t="s">
        <v>568</v>
      </c>
      <c r="G26" s="5">
        <v>2.5299999999999998</v>
      </c>
      <c r="I26">
        <v>22</v>
      </c>
      <c r="J26" t="str">
        <f t="shared" si="1"/>
        <v>Produto 22</v>
      </c>
    </row>
    <row r="27" spans="2:10">
      <c r="D27">
        <v>23</v>
      </c>
      <c r="E27" s="5" t="s">
        <v>569</v>
      </c>
      <c r="F27" s="5" t="s">
        <v>569</v>
      </c>
      <c r="G27" s="5">
        <v>1.94</v>
      </c>
      <c r="I27">
        <v>23</v>
      </c>
      <c r="J27" t="str">
        <f t="shared" si="1"/>
        <v>Produto 23</v>
      </c>
    </row>
    <row r="28" spans="2:10">
      <c r="D28">
        <v>24</v>
      </c>
      <c r="E28" s="5" t="s">
        <v>570</v>
      </c>
      <c r="F28" s="5" t="s">
        <v>570</v>
      </c>
      <c r="G28" s="5">
        <v>2.75</v>
      </c>
      <c r="I28">
        <v>24</v>
      </c>
      <c r="J28" t="str">
        <f t="shared" si="1"/>
        <v>Produto 24</v>
      </c>
    </row>
    <row r="29" spans="2:10">
      <c r="D29">
        <v>25</v>
      </c>
      <c r="E29" s="5" t="s">
        <v>571</v>
      </c>
      <c r="F29" s="5" t="s">
        <v>571</v>
      </c>
      <c r="G29" s="5">
        <v>0.6</v>
      </c>
      <c r="I29">
        <v>25</v>
      </c>
      <c r="J29" t="str">
        <f t="shared" si="1"/>
        <v>Produto 25</v>
      </c>
    </row>
    <row r="30" spans="2:10">
      <c r="C30" s="52"/>
      <c r="D30">
        <v>26</v>
      </c>
      <c r="E30" s="5" t="s">
        <v>572</v>
      </c>
      <c r="F30" s="5" t="s">
        <v>572</v>
      </c>
      <c r="G30" s="5">
        <v>1.62</v>
      </c>
      <c r="I30">
        <v>26</v>
      </c>
      <c r="J30" t="str">
        <f t="shared" si="1"/>
        <v>Produto 26</v>
      </c>
    </row>
    <row r="31" spans="2:10">
      <c r="D31">
        <v>27</v>
      </c>
      <c r="E31" s="5" t="s">
        <v>573</v>
      </c>
      <c r="F31" s="5" t="s">
        <v>573</v>
      </c>
      <c r="G31" s="5">
        <v>1.92</v>
      </c>
      <c r="I31">
        <v>27</v>
      </c>
      <c r="J31" t="str">
        <f t="shared" si="1"/>
        <v>Produto 27</v>
      </c>
    </row>
    <row r="32" spans="2:10">
      <c r="D32">
        <v>28</v>
      </c>
      <c r="E32" s="5" t="s">
        <v>574</v>
      </c>
      <c r="F32" s="5" t="s">
        <v>574</v>
      </c>
      <c r="G32" s="5">
        <v>1.1000000000000001</v>
      </c>
      <c r="I32">
        <v>28</v>
      </c>
      <c r="J32" t="str">
        <f t="shared" si="1"/>
        <v>Produto 28</v>
      </c>
    </row>
    <row r="33" spans="4:10">
      <c r="D33">
        <v>29</v>
      </c>
      <c r="E33" s="5" t="s">
        <v>575</v>
      </c>
      <c r="F33" s="5" t="s">
        <v>575</v>
      </c>
      <c r="G33" s="5">
        <v>1.1000000000000001</v>
      </c>
      <c r="I33">
        <v>29</v>
      </c>
      <c r="J33" t="str">
        <f t="shared" si="1"/>
        <v>Produto 29</v>
      </c>
    </row>
    <row r="34" spans="4:10">
      <c r="D34">
        <v>30</v>
      </c>
      <c r="E34" s="5" t="s">
        <v>576</v>
      </c>
      <c r="F34" s="5" t="s">
        <v>576</v>
      </c>
      <c r="G34" s="5">
        <v>1.1000000000000001</v>
      </c>
      <c r="I34">
        <v>30</v>
      </c>
      <c r="J34" t="str">
        <f t="shared" si="1"/>
        <v>Produto 30</v>
      </c>
    </row>
    <row r="35" spans="4:10">
      <c r="D35">
        <v>31</v>
      </c>
      <c r="E35" s="5" t="s">
        <v>577</v>
      </c>
      <c r="F35" s="5" t="s">
        <v>577</v>
      </c>
      <c r="G35" s="5">
        <v>1.1000000000000001</v>
      </c>
      <c r="I35">
        <v>31</v>
      </c>
      <c r="J35" t="str">
        <f t="shared" si="1"/>
        <v>Produto 31</v>
      </c>
    </row>
    <row r="36" spans="4:10">
      <c r="D36">
        <v>32</v>
      </c>
      <c r="E36" s="5" t="s">
        <v>578</v>
      </c>
      <c r="F36" s="5" t="s">
        <v>578</v>
      </c>
      <c r="G36" s="5">
        <v>1.1000000000000001</v>
      </c>
      <c r="I36">
        <v>32</v>
      </c>
      <c r="J36" t="str">
        <f t="shared" si="1"/>
        <v>Produto 32</v>
      </c>
    </row>
  </sheetData>
  <autoFilter ref="E4:G36" xr:uid="{00000000-0009-0000-0000-000005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rgb="FFFF0000"/>
  </sheetPr>
  <dimension ref="A1:U49"/>
  <sheetViews>
    <sheetView showGridLines="0" showRowColHeaders="0" zoomScale="90" zoomScaleNormal="90" workbookViewId="0"/>
  </sheetViews>
  <sheetFormatPr defaultColWidth="0" defaultRowHeight="15" zeroHeight="1"/>
  <cols>
    <col min="1" max="20" width="9.140625" customWidth="1"/>
    <col min="21" max="21" width="4.85546875" customWidth="1"/>
    <col min="22" max="16384" width="9.140625" hidden="1"/>
  </cols>
  <sheetData>
    <row r="1" spans="1:21" ht="7.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>
      <c r="A18" s="11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7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49" customFormat="1" hidden="1"/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AC161"/>
  <sheetViews>
    <sheetView topLeftCell="M1" zoomScaleNormal="100" workbookViewId="0">
      <selection activeCell="AB19" sqref="AB19"/>
    </sheetView>
  </sheetViews>
  <sheetFormatPr defaultRowHeight="15"/>
  <cols>
    <col min="1" max="1" width="12" bestFit="1" customWidth="1"/>
    <col min="2" max="2" width="14.7109375" customWidth="1"/>
    <col min="3" max="3" width="11.5703125" bestFit="1" customWidth="1"/>
    <col min="4" max="4" width="12.140625" customWidth="1"/>
    <col min="5" max="5" width="58.42578125" bestFit="1" customWidth="1"/>
    <col min="6" max="6" width="11.42578125" customWidth="1"/>
    <col min="7" max="7" width="14.42578125" customWidth="1"/>
    <col min="8" max="8" width="10.5703125" customWidth="1"/>
    <col min="9" max="9" width="12.5703125" customWidth="1"/>
    <col min="10" max="10" width="13.42578125" bestFit="1" customWidth="1"/>
    <col min="11" max="11" width="22.28515625" customWidth="1"/>
    <col min="12" max="12" width="41.5703125" bestFit="1" customWidth="1"/>
    <col min="13" max="13" width="41.5703125" style="3" customWidth="1"/>
    <col min="14" max="14" width="13.5703125" style="62" customWidth="1"/>
    <col min="15" max="15" width="16.140625" style="7" customWidth="1"/>
    <col min="16" max="16" width="13.28515625" style="19" customWidth="1"/>
    <col min="17" max="17" width="17.140625" style="64" bestFit="1" customWidth="1"/>
    <col min="18" max="18" width="10.7109375" bestFit="1" customWidth="1"/>
    <col min="19" max="19" width="12.42578125" bestFit="1" customWidth="1"/>
    <col min="20" max="20" width="14.28515625" style="7" bestFit="1" customWidth="1"/>
    <col min="21" max="21" width="15.140625" customWidth="1"/>
    <col min="22" max="22" width="30.85546875" bestFit="1" customWidth="1"/>
    <col min="23" max="23" width="9.140625" style="41"/>
    <col min="24" max="24" width="9.140625" style="15"/>
    <col min="27" max="27" width="7.28515625" customWidth="1"/>
    <col min="28" max="28" width="10.7109375" bestFit="1" customWidth="1"/>
    <col min="29" max="29" width="14.140625" bestFit="1" customWidth="1"/>
  </cols>
  <sheetData>
    <row r="1" spans="1:29">
      <c r="A1" t="s">
        <v>0</v>
      </c>
      <c r="B1" t="s">
        <v>399</v>
      </c>
      <c r="C1" t="s">
        <v>3</v>
      </c>
      <c r="D1" t="s">
        <v>4</v>
      </c>
      <c r="E1" t="s">
        <v>5</v>
      </c>
      <c r="F1" t="s">
        <v>400</v>
      </c>
      <c r="G1" t="s">
        <v>16</v>
      </c>
      <c r="H1" t="s">
        <v>17</v>
      </c>
      <c r="I1" t="s">
        <v>18</v>
      </c>
      <c r="J1" t="s">
        <v>401</v>
      </c>
      <c r="K1" t="s">
        <v>402</v>
      </c>
      <c r="L1" t="s">
        <v>19</v>
      </c>
      <c r="M1" s="3" t="s">
        <v>20</v>
      </c>
      <c r="N1" s="62" t="s">
        <v>21</v>
      </c>
      <c r="O1" t="s">
        <v>403</v>
      </c>
      <c r="P1" t="s">
        <v>404</v>
      </c>
      <c r="Q1" s="64" t="s">
        <v>405</v>
      </c>
      <c r="R1" s="34" t="s">
        <v>390</v>
      </c>
      <c r="S1" s="35" t="s">
        <v>430</v>
      </c>
      <c r="T1" s="34" t="s">
        <v>387</v>
      </c>
      <c r="U1" s="34" t="s">
        <v>427</v>
      </c>
      <c r="V1" s="36" t="s">
        <v>424</v>
      </c>
      <c r="W1" s="41" t="s">
        <v>450</v>
      </c>
      <c r="X1" s="15" t="s">
        <v>467</v>
      </c>
      <c r="AB1" t="s">
        <v>541</v>
      </c>
      <c r="AC1" t="s">
        <v>542</v>
      </c>
    </row>
    <row r="2" spans="1:29">
      <c r="A2">
        <v>15455633497</v>
      </c>
      <c r="B2">
        <v>1</v>
      </c>
      <c r="C2" s="1">
        <v>44533</v>
      </c>
      <c r="D2">
        <v>15139603329</v>
      </c>
      <c r="E2" t="str">
        <f ca="1">VLOOKUP(RANDBETWEEN(1,20),AA:AC,3,FALSE)</f>
        <v>Comprador 18</v>
      </c>
      <c r="F2">
        <v>0</v>
      </c>
      <c r="H2" t="s">
        <v>42</v>
      </c>
      <c r="I2">
        <v>15016073255</v>
      </c>
      <c r="J2" t="s">
        <v>160</v>
      </c>
      <c r="L2" t="str">
        <f ca="1">VLOOKUP(RANDBETWEEN(1,16),AA:AC,2,FALSE)</f>
        <v>Produto 05</v>
      </c>
      <c r="M2" s="3">
        <v>2520</v>
      </c>
      <c r="N2" s="62">
        <v>14.2</v>
      </c>
      <c r="O2" t="s">
        <v>406</v>
      </c>
      <c r="P2">
        <v>0</v>
      </c>
      <c r="Q2" s="64">
        <v>4713</v>
      </c>
      <c r="R2" s="30" t="str">
        <f ca="1">VLOOKUP(L2,'Auxiliar Compras'!A:B,2,FALSE)</f>
        <v>Produto 05</v>
      </c>
      <c r="S2" s="32">
        <f ca="1">VLOOKUP(L2,'Auxiliar Compras'!A:D,4,FALSE)</f>
        <v>0</v>
      </c>
      <c r="T2" s="30">
        <f ca="1">VLOOKUP(L2,'Auxiliar Compras'!A:C,3,FALSE)</f>
        <v>1.42</v>
      </c>
      <c r="U2" s="61">
        <f t="shared" ref="U2:U33" ca="1" si="0">T2*M2</f>
        <v>3578.3999999999996</v>
      </c>
      <c r="V2" s="33">
        <f t="shared" ref="V2:V33" ca="1" si="1">N2*M2+(M2*N2*S2)</f>
        <v>35784</v>
      </c>
      <c r="W2" s="42" t="str">
        <f>VLOOKUP(MONTH(Tabela2[[#This Row],[Data]]),'Auxiliar Compras'!I:J,2,FALSE)</f>
        <v>Dez</v>
      </c>
      <c r="X2" s="43">
        <f>YEAR(Tabela2[[#This Row],[Data]])</f>
        <v>2021</v>
      </c>
      <c r="AA2" s="82">
        <v>1</v>
      </c>
      <c r="AB2" t="str">
        <f>"Produto 0" &amp;AA2</f>
        <v>Produto 01</v>
      </c>
      <c r="AC2" t="str">
        <f>"Comprador 0"&amp;AA2</f>
        <v>Comprador 01</v>
      </c>
    </row>
    <row r="3" spans="1:29">
      <c r="A3">
        <v>15493600861</v>
      </c>
      <c r="B3">
        <v>3</v>
      </c>
      <c r="C3" s="1">
        <v>44537</v>
      </c>
      <c r="D3">
        <v>14772821922</v>
      </c>
      <c r="E3" t="str">
        <f t="shared" ref="E3:E66" ca="1" si="2">VLOOKUP(RANDBETWEEN(1,20),AA:AC,3,FALSE)</f>
        <v>Comprador 09</v>
      </c>
      <c r="F3">
        <v>0</v>
      </c>
      <c r="H3" t="s">
        <v>42</v>
      </c>
      <c r="I3">
        <v>14980702561</v>
      </c>
      <c r="J3" t="s">
        <v>409</v>
      </c>
      <c r="L3" t="str">
        <f t="shared" ref="L3:L66" ca="1" si="3">VLOOKUP(RANDBETWEEN(1,16),AA:AC,2,FALSE)</f>
        <v>Produto 04</v>
      </c>
      <c r="M3" s="3">
        <v>13359</v>
      </c>
      <c r="N3" s="62">
        <v>7.74</v>
      </c>
      <c r="O3" t="s">
        <v>408</v>
      </c>
      <c r="P3">
        <v>0</v>
      </c>
      <c r="Q3" s="64">
        <v>4982</v>
      </c>
      <c r="R3" s="30" t="str">
        <f ca="1">VLOOKUP(L3,'Auxiliar Compras'!A:B,2,FALSE)</f>
        <v>Produto 04</v>
      </c>
      <c r="S3" s="32">
        <f ca="1">VLOOKUP(L3,'Auxiliar Compras'!A:D,4,FALSE)</f>
        <v>0</v>
      </c>
      <c r="T3" s="30">
        <f ca="1">VLOOKUP(L3,'Auxiliar Compras'!A:C,3,FALSE)</f>
        <v>1.1000000000000001</v>
      </c>
      <c r="U3" s="61">
        <f t="shared" ca="1" si="0"/>
        <v>14694.900000000001</v>
      </c>
      <c r="V3" s="33">
        <f t="shared" ca="1" si="1"/>
        <v>103398.66</v>
      </c>
      <c r="W3" s="42" t="str">
        <f>VLOOKUP(MONTH(Tabela2[[#This Row],[Data]]),'Auxiliar Compras'!I:J,2,FALSE)</f>
        <v>Dez</v>
      </c>
      <c r="X3" s="43">
        <f>YEAR(Tabela2[[#This Row],[Data]])</f>
        <v>2021</v>
      </c>
      <c r="AA3" s="82">
        <v>2</v>
      </c>
      <c r="AB3" t="str">
        <f t="shared" ref="AB3:AB10" si="4">"Produto 0" &amp;AA3</f>
        <v>Produto 02</v>
      </c>
      <c r="AC3" t="str">
        <f t="shared" ref="AC3:AC10" si="5">"Comprador 0"&amp;AA3</f>
        <v>Comprador 02</v>
      </c>
    </row>
    <row r="4" spans="1:29">
      <c r="A4">
        <v>15531010205</v>
      </c>
      <c r="B4">
        <v>4</v>
      </c>
      <c r="C4" s="1">
        <v>44540</v>
      </c>
      <c r="D4">
        <v>15139603329</v>
      </c>
      <c r="E4" t="str">
        <f t="shared" ca="1" si="2"/>
        <v>Comprador 10</v>
      </c>
      <c r="F4">
        <v>0</v>
      </c>
      <c r="H4" t="s">
        <v>42</v>
      </c>
      <c r="I4">
        <v>15016043939</v>
      </c>
      <c r="J4" t="s">
        <v>50</v>
      </c>
      <c r="L4" t="str">
        <f t="shared" ca="1" si="3"/>
        <v>Produto 13</v>
      </c>
      <c r="M4" s="3">
        <v>2520</v>
      </c>
      <c r="N4" s="62">
        <v>13.75</v>
      </c>
      <c r="O4" t="s">
        <v>406</v>
      </c>
      <c r="P4">
        <v>0</v>
      </c>
      <c r="Q4" s="64">
        <v>5008</v>
      </c>
      <c r="R4" s="30" t="str">
        <f ca="1">VLOOKUP(L4,'Auxiliar Compras'!A:B,2,FALSE)</f>
        <v>Produto 13</v>
      </c>
      <c r="S4" s="32">
        <f ca="1">VLOOKUP(L4,'Auxiliar Compras'!A:D,4,FALSE)</f>
        <v>0</v>
      </c>
      <c r="T4" s="30">
        <f ca="1">VLOOKUP(L4,'Auxiliar Compras'!A:C,3,FALSE)</f>
        <v>0.4</v>
      </c>
      <c r="U4" s="61">
        <f t="shared" ca="1" si="0"/>
        <v>1008</v>
      </c>
      <c r="V4" s="33">
        <f t="shared" ca="1" si="1"/>
        <v>34650</v>
      </c>
      <c r="W4" s="42" t="str">
        <f>VLOOKUP(MONTH(Tabela2[[#This Row],[Data]]),'Auxiliar Compras'!I:J,2,FALSE)</f>
        <v>Dez</v>
      </c>
      <c r="X4" s="43">
        <f>YEAR(Tabela2[[#This Row],[Data]])</f>
        <v>2021</v>
      </c>
      <c r="AA4" s="82">
        <v>3</v>
      </c>
      <c r="AB4" t="str">
        <f t="shared" si="4"/>
        <v>Produto 03</v>
      </c>
      <c r="AC4" t="str">
        <f t="shared" si="5"/>
        <v>Comprador 03</v>
      </c>
    </row>
    <row r="5" spans="1:29">
      <c r="A5">
        <v>15531010205</v>
      </c>
      <c r="B5">
        <v>4</v>
      </c>
      <c r="C5" s="1">
        <v>44540</v>
      </c>
      <c r="D5">
        <v>15139603329</v>
      </c>
      <c r="E5" t="str">
        <f t="shared" ca="1" si="2"/>
        <v>Comprador 19</v>
      </c>
      <c r="F5">
        <v>0</v>
      </c>
      <c r="H5" t="s">
        <v>42</v>
      </c>
      <c r="I5">
        <v>15016093155</v>
      </c>
      <c r="J5" t="s">
        <v>65</v>
      </c>
      <c r="L5" t="str">
        <f t="shared" ca="1" si="3"/>
        <v>Produto 13</v>
      </c>
      <c r="M5" s="3">
        <v>300</v>
      </c>
      <c r="N5" s="62">
        <v>21.1</v>
      </c>
      <c r="O5" t="s">
        <v>406</v>
      </c>
      <c r="P5">
        <v>0</v>
      </c>
      <c r="Q5" s="64">
        <v>5008</v>
      </c>
      <c r="R5" s="30" t="str">
        <f ca="1">VLOOKUP(L5,'Auxiliar Compras'!A:B,2,FALSE)</f>
        <v>Produto 13</v>
      </c>
      <c r="S5" s="32">
        <f ca="1">VLOOKUP(L5,'Auxiliar Compras'!A:D,4,FALSE)</f>
        <v>0</v>
      </c>
      <c r="T5" s="30">
        <f ca="1">VLOOKUP(L5,'Auxiliar Compras'!A:C,3,FALSE)</f>
        <v>0.4</v>
      </c>
      <c r="U5" s="61">
        <f t="shared" ca="1" si="0"/>
        <v>120</v>
      </c>
      <c r="V5" s="33">
        <f t="shared" ca="1" si="1"/>
        <v>6330</v>
      </c>
      <c r="W5" s="42" t="str">
        <f>VLOOKUP(MONTH(Tabela2[[#This Row],[Data]]),'Auxiliar Compras'!I:J,2,FALSE)</f>
        <v>Dez</v>
      </c>
      <c r="X5" s="43">
        <f>YEAR(Tabela2[[#This Row],[Data]])</f>
        <v>2021</v>
      </c>
      <c r="AA5" s="82">
        <v>4</v>
      </c>
      <c r="AB5" t="str">
        <f t="shared" si="4"/>
        <v>Produto 04</v>
      </c>
      <c r="AC5" t="str">
        <f t="shared" si="5"/>
        <v>Comprador 04</v>
      </c>
    </row>
    <row r="6" spans="1:29">
      <c r="A6">
        <v>15583785440</v>
      </c>
      <c r="B6">
        <v>5</v>
      </c>
      <c r="C6" s="1">
        <v>44540</v>
      </c>
      <c r="D6">
        <v>14772821922</v>
      </c>
      <c r="E6" t="str">
        <f ca="1">VLOOKUP(RANDBETWEEN(1,20),AA:AC,3,FALSE)</f>
        <v>Comprador 10</v>
      </c>
      <c r="F6">
        <v>0</v>
      </c>
      <c r="H6" t="s">
        <v>42</v>
      </c>
      <c r="I6">
        <v>14980702561</v>
      </c>
      <c r="J6" t="s">
        <v>409</v>
      </c>
      <c r="L6" t="str">
        <f t="shared" ca="1" si="3"/>
        <v>Produto 01</v>
      </c>
      <c r="M6" s="3">
        <v>24620</v>
      </c>
      <c r="N6" s="62">
        <v>9.15</v>
      </c>
      <c r="O6" t="s">
        <v>408</v>
      </c>
      <c r="P6">
        <v>0</v>
      </c>
      <c r="R6" s="30" t="str">
        <f ca="1">VLOOKUP(L6,'Auxiliar Compras'!A:B,2,FALSE)</f>
        <v>Produto 01</v>
      </c>
      <c r="S6" s="32">
        <f ca="1">VLOOKUP(L6,'Auxiliar Compras'!A:D,4,FALSE)</f>
        <v>0</v>
      </c>
      <c r="T6" s="30">
        <f ca="1">VLOOKUP(L6,'Auxiliar Compras'!A:C,3,FALSE)</f>
        <v>1.1000000000000001</v>
      </c>
      <c r="U6" s="61">
        <f t="shared" ca="1" si="0"/>
        <v>27082.000000000004</v>
      </c>
      <c r="V6" s="33">
        <f t="shared" ca="1" si="1"/>
        <v>225273</v>
      </c>
      <c r="W6" s="42" t="str">
        <f>VLOOKUP(MONTH(Tabela2[[#This Row],[Data]]),'Auxiliar Compras'!I:J,2,FALSE)</f>
        <v>Dez</v>
      </c>
      <c r="X6" s="43">
        <f>YEAR(Tabela2[[#This Row],[Data]])</f>
        <v>2021</v>
      </c>
      <c r="AA6" s="82">
        <v>5</v>
      </c>
      <c r="AB6" t="str">
        <f t="shared" si="4"/>
        <v>Produto 05</v>
      </c>
      <c r="AC6" t="str">
        <f t="shared" si="5"/>
        <v>Comprador 05</v>
      </c>
    </row>
    <row r="7" spans="1:29">
      <c r="A7">
        <v>15634553057</v>
      </c>
      <c r="B7">
        <v>6</v>
      </c>
      <c r="C7" s="1">
        <v>44550</v>
      </c>
      <c r="D7">
        <v>15139603329</v>
      </c>
      <c r="E7" t="str">
        <f t="shared" ca="1" si="2"/>
        <v>Comprador 10</v>
      </c>
      <c r="F7">
        <v>0</v>
      </c>
      <c r="H7" t="s">
        <v>42</v>
      </c>
      <c r="I7">
        <v>15016073255</v>
      </c>
      <c r="J7" t="s">
        <v>160</v>
      </c>
      <c r="L7" t="str">
        <f t="shared" ca="1" si="3"/>
        <v>Produto 12</v>
      </c>
      <c r="M7" s="3">
        <v>2520</v>
      </c>
      <c r="N7" s="62">
        <v>13.9</v>
      </c>
      <c r="O7" t="s">
        <v>406</v>
      </c>
      <c r="P7">
        <v>0</v>
      </c>
      <c r="Q7" s="64">
        <v>4955</v>
      </c>
      <c r="R7" s="30" t="str">
        <f ca="1">VLOOKUP(L7,'Auxiliar Compras'!A:B,2,FALSE)</f>
        <v>Produto 12</v>
      </c>
      <c r="S7" s="32">
        <f ca="1">VLOOKUP(L7,'Auxiliar Compras'!A:D,4,FALSE)</f>
        <v>0</v>
      </c>
      <c r="T7" s="30">
        <f ca="1">VLOOKUP(L7,'Auxiliar Compras'!A:C,3,FALSE)</f>
        <v>1</v>
      </c>
      <c r="U7" s="61">
        <f t="shared" ca="1" si="0"/>
        <v>2520</v>
      </c>
      <c r="V7" s="33">
        <f t="shared" ca="1" si="1"/>
        <v>35028</v>
      </c>
      <c r="W7" s="42" t="str">
        <f>VLOOKUP(MONTH(Tabela2[[#This Row],[Data]]),'Auxiliar Compras'!I:J,2,FALSE)</f>
        <v>Dez</v>
      </c>
      <c r="X7" s="43">
        <f>YEAR(Tabela2[[#This Row],[Data]])</f>
        <v>2021</v>
      </c>
      <c r="AA7" s="82">
        <v>6</v>
      </c>
      <c r="AB7" t="str">
        <f t="shared" si="4"/>
        <v>Produto 06</v>
      </c>
      <c r="AC7" t="str">
        <f t="shared" si="5"/>
        <v>Comprador 06</v>
      </c>
    </row>
    <row r="8" spans="1:29">
      <c r="A8">
        <v>15634593361</v>
      </c>
      <c r="B8">
        <v>7</v>
      </c>
      <c r="C8" s="1">
        <v>44550</v>
      </c>
      <c r="D8">
        <v>15478914765</v>
      </c>
      <c r="E8" t="str">
        <f t="shared" ca="1" si="2"/>
        <v>Comprador 17</v>
      </c>
      <c r="F8">
        <v>0</v>
      </c>
      <c r="H8" t="s">
        <v>42</v>
      </c>
      <c r="I8">
        <v>15395751673</v>
      </c>
      <c r="J8" t="s">
        <v>268</v>
      </c>
      <c r="L8" t="str">
        <f t="shared" ca="1" si="3"/>
        <v>Produto 01</v>
      </c>
      <c r="M8" s="3">
        <v>700</v>
      </c>
      <c r="N8" s="62">
        <v>7.14</v>
      </c>
      <c r="O8" t="s">
        <v>406</v>
      </c>
      <c r="P8">
        <v>0</v>
      </c>
      <c r="Q8" s="64">
        <v>5094</v>
      </c>
      <c r="R8" s="30" t="str">
        <f ca="1">VLOOKUP(L8,'Auxiliar Compras'!A:B,2,FALSE)</f>
        <v>Produto 01</v>
      </c>
      <c r="S8" s="32">
        <f ca="1">VLOOKUP(L8,'Auxiliar Compras'!A:D,4,FALSE)</f>
        <v>0</v>
      </c>
      <c r="T8" s="30">
        <f ca="1">VLOOKUP(L8,'Auxiliar Compras'!A:C,3,FALSE)</f>
        <v>1.1000000000000001</v>
      </c>
      <c r="U8" s="61">
        <f t="shared" ca="1" si="0"/>
        <v>770.00000000000011</v>
      </c>
      <c r="V8" s="33">
        <f t="shared" ca="1" si="1"/>
        <v>4998</v>
      </c>
      <c r="W8" s="42" t="str">
        <f>VLOOKUP(MONTH(Tabela2[[#This Row],[Data]]),'Auxiliar Compras'!I:J,2,FALSE)</f>
        <v>Dez</v>
      </c>
      <c r="X8" s="43">
        <f>YEAR(Tabela2[[#This Row],[Data]])</f>
        <v>2021</v>
      </c>
      <c r="AA8" s="82">
        <v>7</v>
      </c>
      <c r="AB8" t="str">
        <f t="shared" si="4"/>
        <v>Produto 07</v>
      </c>
      <c r="AC8" t="str">
        <f t="shared" si="5"/>
        <v>Comprador 07</v>
      </c>
    </row>
    <row r="9" spans="1:29">
      <c r="A9">
        <v>15634894365</v>
      </c>
      <c r="B9">
        <v>8</v>
      </c>
      <c r="C9" s="1">
        <v>44550</v>
      </c>
      <c r="D9">
        <v>15603445654</v>
      </c>
      <c r="E9" t="str">
        <f t="shared" ca="1" si="2"/>
        <v>Comprador 15</v>
      </c>
      <c r="F9">
        <v>0</v>
      </c>
      <c r="H9" t="s">
        <v>42</v>
      </c>
      <c r="I9">
        <v>14981306750</v>
      </c>
      <c r="J9" t="s">
        <v>410</v>
      </c>
      <c r="L9" t="str">
        <f t="shared" ca="1" si="3"/>
        <v>Produto 14</v>
      </c>
      <c r="M9" s="3">
        <v>2</v>
      </c>
      <c r="N9" s="62">
        <v>213.26</v>
      </c>
      <c r="O9" t="s">
        <v>411</v>
      </c>
      <c r="P9">
        <v>0</v>
      </c>
      <c r="Q9" s="64">
        <v>5082</v>
      </c>
      <c r="R9" s="30" t="str">
        <f ca="1">VLOOKUP(L9,'Auxiliar Compras'!A:B,2,FALSE)</f>
        <v>Produto 14</v>
      </c>
      <c r="S9" s="32">
        <f ca="1">VLOOKUP(L9,'Auxiliar Compras'!A:D,4,FALSE)</f>
        <v>0</v>
      </c>
      <c r="T9" s="30">
        <f ca="1">VLOOKUP(L9,'Auxiliar Compras'!A:C,3,FALSE)</f>
        <v>1.68</v>
      </c>
      <c r="U9" s="61">
        <f t="shared" ca="1" si="0"/>
        <v>3.36</v>
      </c>
      <c r="V9" s="33">
        <f t="shared" ca="1" si="1"/>
        <v>426.52</v>
      </c>
      <c r="W9" s="42" t="str">
        <f>VLOOKUP(MONTH(Tabela2[[#This Row],[Data]]),'Auxiliar Compras'!I:J,2,FALSE)</f>
        <v>Dez</v>
      </c>
      <c r="X9" s="43">
        <f>YEAR(Tabela2[[#This Row],[Data]])</f>
        <v>2021</v>
      </c>
      <c r="AA9" s="82">
        <v>8</v>
      </c>
      <c r="AB9" t="str">
        <f t="shared" si="4"/>
        <v>Produto 08</v>
      </c>
      <c r="AC9" t="str">
        <f t="shared" si="5"/>
        <v>Comprador 08</v>
      </c>
    </row>
    <row r="10" spans="1:29">
      <c r="A10">
        <v>15635001792</v>
      </c>
      <c r="B10">
        <v>9</v>
      </c>
      <c r="C10" s="1">
        <v>44550</v>
      </c>
      <c r="D10">
        <v>15603436233</v>
      </c>
      <c r="E10" t="str">
        <f t="shared" ca="1" si="2"/>
        <v>Comprador 13</v>
      </c>
      <c r="F10">
        <v>0</v>
      </c>
      <c r="H10" t="s">
        <v>42</v>
      </c>
      <c r="I10">
        <v>15634854583</v>
      </c>
      <c r="J10" t="s">
        <v>412</v>
      </c>
      <c r="L10" t="str">
        <f t="shared" ca="1" si="3"/>
        <v>Produto 14</v>
      </c>
      <c r="M10" s="3">
        <v>1</v>
      </c>
      <c r="N10" s="62">
        <v>1600</v>
      </c>
      <c r="O10"/>
      <c r="P10">
        <v>0</v>
      </c>
      <c r="Q10" s="64">
        <v>5085</v>
      </c>
      <c r="R10" s="30" t="str">
        <f ca="1">VLOOKUP(L10,'Auxiliar Compras'!A:B,2,FALSE)</f>
        <v>Produto 14</v>
      </c>
      <c r="S10" s="32">
        <f ca="1">VLOOKUP(L10,'Auxiliar Compras'!A:D,4,FALSE)</f>
        <v>0</v>
      </c>
      <c r="T10" s="30">
        <f ca="1">VLOOKUP(L10,'Auxiliar Compras'!A:C,3,FALSE)</f>
        <v>1.68</v>
      </c>
      <c r="U10" s="61">
        <f t="shared" ca="1" si="0"/>
        <v>1.68</v>
      </c>
      <c r="V10" s="33">
        <f t="shared" ca="1" si="1"/>
        <v>1600</v>
      </c>
      <c r="W10" s="42" t="str">
        <f>VLOOKUP(MONTH(Tabela2[[#This Row],[Data]]),'Auxiliar Compras'!I:J,2,FALSE)</f>
        <v>Dez</v>
      </c>
      <c r="X10" s="43">
        <f>YEAR(Tabela2[[#This Row],[Data]])</f>
        <v>2021</v>
      </c>
      <c r="AA10" s="82">
        <v>9</v>
      </c>
      <c r="AB10" t="str">
        <f t="shared" si="4"/>
        <v>Produto 09</v>
      </c>
      <c r="AC10" t="str">
        <f t="shared" si="5"/>
        <v>Comprador 09</v>
      </c>
    </row>
    <row r="11" spans="1:29">
      <c r="A11">
        <v>15635057711</v>
      </c>
      <c r="B11">
        <v>10</v>
      </c>
      <c r="C11" s="1">
        <v>44550</v>
      </c>
      <c r="D11">
        <v>15603436233</v>
      </c>
      <c r="E11" t="str">
        <f t="shared" ca="1" si="2"/>
        <v>Comprador 06</v>
      </c>
      <c r="F11">
        <v>0</v>
      </c>
      <c r="H11" t="s">
        <v>42</v>
      </c>
      <c r="I11">
        <v>15634854583</v>
      </c>
      <c r="J11" t="s">
        <v>412</v>
      </c>
      <c r="L11" t="str">
        <f t="shared" ca="1" si="3"/>
        <v>Produto 05</v>
      </c>
      <c r="M11" s="3">
        <v>2</v>
      </c>
      <c r="N11" s="62">
        <v>1950</v>
      </c>
      <c r="O11"/>
      <c r="P11">
        <v>0</v>
      </c>
      <c r="Q11" s="64">
        <v>5085</v>
      </c>
      <c r="R11" s="30" t="str">
        <f ca="1">VLOOKUP(L11,'Auxiliar Compras'!A:B,2,FALSE)</f>
        <v>Produto 05</v>
      </c>
      <c r="S11" s="32">
        <f ca="1">VLOOKUP(L11,'Auxiliar Compras'!A:D,4,FALSE)</f>
        <v>0</v>
      </c>
      <c r="T11" s="30">
        <f ca="1">VLOOKUP(L11,'Auxiliar Compras'!A:C,3,FALSE)</f>
        <v>1.42</v>
      </c>
      <c r="U11" s="61">
        <f t="shared" ca="1" si="0"/>
        <v>2.84</v>
      </c>
      <c r="V11" s="33">
        <f t="shared" ca="1" si="1"/>
        <v>3900</v>
      </c>
      <c r="W11" s="42" t="str">
        <f>VLOOKUP(MONTH(Tabela2[[#This Row],[Data]]),'Auxiliar Compras'!I:J,2,FALSE)</f>
        <v>Dez</v>
      </c>
      <c r="X11" s="43">
        <f>YEAR(Tabela2[[#This Row],[Data]])</f>
        <v>2021</v>
      </c>
      <c r="AA11">
        <v>10</v>
      </c>
      <c r="AB11" t="str">
        <f t="shared" ref="AB11:AB17" si="6">"Produto " &amp;AA11</f>
        <v>Produto 10</v>
      </c>
      <c r="AC11" t="str">
        <f t="shared" ref="AC11:AC21" si="7">"Comprador "&amp;AA11</f>
        <v>Comprador 10</v>
      </c>
    </row>
    <row r="12" spans="1:29">
      <c r="A12">
        <v>15656137428</v>
      </c>
      <c r="B12">
        <v>11</v>
      </c>
      <c r="C12" s="1">
        <v>44552</v>
      </c>
      <c r="D12">
        <v>15130445011</v>
      </c>
      <c r="E12" t="str">
        <f t="shared" ca="1" si="2"/>
        <v>Comprador 06</v>
      </c>
      <c r="F12">
        <v>0</v>
      </c>
      <c r="H12" t="s">
        <v>42</v>
      </c>
      <c r="I12">
        <v>14981313809</v>
      </c>
      <c r="J12" t="s">
        <v>407</v>
      </c>
      <c r="L12" t="str">
        <f t="shared" ca="1" si="3"/>
        <v>Produto 04</v>
      </c>
      <c r="M12" s="3">
        <v>20402</v>
      </c>
      <c r="N12" s="62">
        <v>9.1999999999999993</v>
      </c>
      <c r="O12" t="s">
        <v>408</v>
      </c>
      <c r="P12">
        <v>0</v>
      </c>
      <c r="R12" s="30" t="str">
        <f ca="1">VLOOKUP(L12,'Auxiliar Compras'!A:B,2,FALSE)</f>
        <v>Produto 04</v>
      </c>
      <c r="S12" s="32">
        <f ca="1">VLOOKUP(L12,'Auxiliar Compras'!A:D,4,FALSE)</f>
        <v>0</v>
      </c>
      <c r="T12" s="30">
        <f ca="1">VLOOKUP(L12,'Auxiliar Compras'!A:C,3,FALSE)</f>
        <v>1.1000000000000001</v>
      </c>
      <c r="U12" s="61">
        <f t="shared" ca="1" si="0"/>
        <v>22442.2</v>
      </c>
      <c r="V12" s="33">
        <f t="shared" ca="1" si="1"/>
        <v>187698.4</v>
      </c>
      <c r="W12" s="42" t="str">
        <f>VLOOKUP(MONTH(Tabela2[[#This Row],[Data]]),'Auxiliar Compras'!I:J,2,FALSE)</f>
        <v>Dez</v>
      </c>
      <c r="X12" s="43">
        <f>YEAR(Tabela2[[#This Row],[Data]])</f>
        <v>2021</v>
      </c>
      <c r="AA12">
        <v>11</v>
      </c>
      <c r="AB12" t="str">
        <f t="shared" si="6"/>
        <v>Produto 11</v>
      </c>
      <c r="AC12" t="str">
        <f t="shared" si="7"/>
        <v>Comprador 11</v>
      </c>
    </row>
    <row r="13" spans="1:29">
      <c r="A13">
        <v>15656216577</v>
      </c>
      <c r="B13">
        <v>12</v>
      </c>
      <c r="C13" s="1">
        <v>44552</v>
      </c>
      <c r="D13">
        <v>15139603329</v>
      </c>
      <c r="E13" t="str">
        <f t="shared" ca="1" si="2"/>
        <v>Comprador 18</v>
      </c>
      <c r="F13">
        <v>0</v>
      </c>
      <c r="H13" t="s">
        <v>42</v>
      </c>
      <c r="I13">
        <v>15016073255</v>
      </c>
      <c r="J13" t="s">
        <v>160</v>
      </c>
      <c r="L13" t="str">
        <f t="shared" ca="1" si="3"/>
        <v>Produto 08</v>
      </c>
      <c r="M13" s="3">
        <v>4620</v>
      </c>
      <c r="N13" s="62">
        <v>13.9</v>
      </c>
      <c r="O13" t="s">
        <v>406</v>
      </c>
      <c r="P13">
        <v>0</v>
      </c>
      <c r="Q13" s="64">
        <v>5095</v>
      </c>
      <c r="R13" s="30" t="str">
        <f ca="1">VLOOKUP(L13,'Auxiliar Compras'!A:B,2,FALSE)</f>
        <v>Produto 08</v>
      </c>
      <c r="S13" s="32">
        <f ca="1">VLOOKUP(L13,'Auxiliar Compras'!A:D,4,FALSE)</f>
        <v>0</v>
      </c>
      <c r="T13" s="30">
        <f ca="1">VLOOKUP(L13,'Auxiliar Compras'!A:C,3,FALSE)</f>
        <v>1</v>
      </c>
      <c r="U13" s="61">
        <f t="shared" ca="1" si="0"/>
        <v>4620</v>
      </c>
      <c r="V13" s="33">
        <f t="shared" ca="1" si="1"/>
        <v>64218</v>
      </c>
      <c r="W13" s="42" t="str">
        <f>VLOOKUP(MONTH(Tabela2[[#This Row],[Data]]),'Auxiliar Compras'!I:J,2,FALSE)</f>
        <v>Dez</v>
      </c>
      <c r="X13" s="43">
        <f>YEAR(Tabela2[[#This Row],[Data]])</f>
        <v>2021</v>
      </c>
      <c r="AA13">
        <v>12</v>
      </c>
      <c r="AB13" t="str">
        <f t="shared" si="6"/>
        <v>Produto 12</v>
      </c>
      <c r="AC13" t="str">
        <f t="shared" si="7"/>
        <v>Comprador 12</v>
      </c>
    </row>
    <row r="14" spans="1:29">
      <c r="A14">
        <v>15656216577</v>
      </c>
      <c r="B14">
        <v>12</v>
      </c>
      <c r="C14" s="1">
        <v>44552</v>
      </c>
      <c r="D14">
        <v>15139603329</v>
      </c>
      <c r="E14" t="str">
        <f t="shared" ca="1" si="2"/>
        <v>Comprador 05</v>
      </c>
      <c r="F14">
        <v>0</v>
      </c>
      <c r="H14" t="s">
        <v>42</v>
      </c>
      <c r="I14">
        <v>15016093155</v>
      </c>
      <c r="J14" t="s">
        <v>65</v>
      </c>
      <c r="L14" t="str">
        <f t="shared" ca="1" si="3"/>
        <v>Produto 02</v>
      </c>
      <c r="M14" s="3">
        <v>900</v>
      </c>
      <c r="N14" s="62">
        <v>21.1</v>
      </c>
      <c r="O14" t="s">
        <v>406</v>
      </c>
      <c r="P14">
        <v>0</v>
      </c>
      <c r="Q14" s="64">
        <v>5095</v>
      </c>
      <c r="R14" s="30" t="str">
        <f ca="1">VLOOKUP(L14,'Auxiliar Compras'!A:B,2,FALSE)</f>
        <v>Produto 02</v>
      </c>
      <c r="S14" s="32">
        <f ca="1">VLOOKUP(L14,'Auxiliar Compras'!A:D,4,FALSE)</f>
        <v>0.05</v>
      </c>
      <c r="T14" s="30">
        <f ca="1">VLOOKUP(L14,'Auxiliar Compras'!A:C,3,FALSE)</f>
        <v>1</v>
      </c>
      <c r="U14" s="61">
        <f t="shared" ca="1" si="0"/>
        <v>900</v>
      </c>
      <c r="V14" s="33">
        <f t="shared" ca="1" si="1"/>
        <v>19939.5</v>
      </c>
      <c r="W14" s="42" t="str">
        <f>VLOOKUP(MONTH(Tabela2[[#This Row],[Data]]),'Auxiliar Compras'!I:J,2,FALSE)</f>
        <v>Dez</v>
      </c>
      <c r="X14" s="43">
        <f>YEAR(Tabela2[[#This Row],[Data]])</f>
        <v>2021</v>
      </c>
      <c r="AA14">
        <v>13</v>
      </c>
      <c r="AB14" t="str">
        <f t="shared" si="6"/>
        <v>Produto 13</v>
      </c>
      <c r="AC14" t="str">
        <f t="shared" si="7"/>
        <v>Comprador 13</v>
      </c>
    </row>
    <row r="15" spans="1:29">
      <c r="A15">
        <v>15656379350</v>
      </c>
      <c r="B15">
        <v>13</v>
      </c>
      <c r="C15" s="1">
        <v>44552</v>
      </c>
      <c r="D15">
        <v>15018323304</v>
      </c>
      <c r="E15" t="str">
        <f t="shared" ca="1" si="2"/>
        <v>Comprador 13</v>
      </c>
      <c r="F15">
        <v>0</v>
      </c>
      <c r="H15" t="s">
        <v>42</v>
      </c>
      <c r="I15">
        <v>14981313809</v>
      </c>
      <c r="J15" t="s">
        <v>407</v>
      </c>
      <c r="L15" t="str">
        <f t="shared" ca="1" si="3"/>
        <v>Produto 05</v>
      </c>
      <c r="M15" s="3">
        <v>25497</v>
      </c>
      <c r="N15" s="62">
        <v>9.3800000000000008</v>
      </c>
      <c r="O15" t="s">
        <v>408</v>
      </c>
      <c r="P15">
        <v>0</v>
      </c>
      <c r="R15" s="30" t="str">
        <f ca="1">VLOOKUP(L15,'Auxiliar Compras'!A:B,2,FALSE)</f>
        <v>Produto 05</v>
      </c>
      <c r="S15" s="32">
        <f ca="1">VLOOKUP(L15,'Auxiliar Compras'!A:D,4,FALSE)</f>
        <v>0</v>
      </c>
      <c r="T15" s="30">
        <f ca="1">VLOOKUP(L15,'Auxiliar Compras'!A:C,3,FALSE)</f>
        <v>1.42</v>
      </c>
      <c r="U15" s="61">
        <f t="shared" ca="1" si="0"/>
        <v>36205.74</v>
      </c>
      <c r="V15" s="33">
        <f t="shared" ca="1" si="1"/>
        <v>239161.86000000002</v>
      </c>
      <c r="W15" s="42" t="str">
        <f>VLOOKUP(MONTH(Tabela2[[#This Row],[Data]]),'Auxiliar Compras'!I:J,2,FALSE)</f>
        <v>Dez</v>
      </c>
      <c r="X15" s="43">
        <f>YEAR(Tabela2[[#This Row],[Data]])</f>
        <v>2021</v>
      </c>
      <c r="AA15">
        <v>14</v>
      </c>
      <c r="AB15" t="str">
        <f t="shared" si="6"/>
        <v>Produto 14</v>
      </c>
      <c r="AC15" t="str">
        <f t="shared" si="7"/>
        <v>Comprador 14</v>
      </c>
    </row>
    <row r="16" spans="1:29">
      <c r="A16">
        <v>15656392237</v>
      </c>
      <c r="B16">
        <v>14</v>
      </c>
      <c r="C16" s="1">
        <v>44552</v>
      </c>
      <c r="D16">
        <v>15018323304</v>
      </c>
      <c r="E16" t="str">
        <f t="shared" ca="1" si="2"/>
        <v>Comprador 11</v>
      </c>
      <c r="F16">
        <v>0</v>
      </c>
      <c r="H16" t="s">
        <v>42</v>
      </c>
      <c r="I16">
        <v>14981313809</v>
      </c>
      <c r="J16" t="s">
        <v>407</v>
      </c>
      <c r="L16" t="str">
        <f t="shared" ca="1" si="3"/>
        <v>Produto 09</v>
      </c>
      <c r="M16" s="3">
        <v>7100</v>
      </c>
      <c r="N16" s="62">
        <v>9.65</v>
      </c>
      <c r="O16" t="s">
        <v>408</v>
      </c>
      <c r="P16">
        <v>0</v>
      </c>
      <c r="R16" s="30" t="str">
        <f ca="1">VLOOKUP(L16,'Auxiliar Compras'!A:B,2,FALSE)</f>
        <v>Produto 09</v>
      </c>
      <c r="S16" s="32">
        <f ca="1">VLOOKUP(L16,'Auxiliar Compras'!A:D,4,FALSE)</f>
        <v>0</v>
      </c>
      <c r="T16" s="30">
        <f ca="1">VLOOKUP(L16,'Auxiliar Compras'!A:C,3,FALSE)</f>
        <v>1</v>
      </c>
      <c r="U16" s="61">
        <f t="shared" ca="1" si="0"/>
        <v>7100</v>
      </c>
      <c r="V16" s="33">
        <f t="shared" ca="1" si="1"/>
        <v>68515</v>
      </c>
      <c r="W16" s="42" t="str">
        <f>VLOOKUP(MONTH(Tabela2[[#This Row],[Data]]),'Auxiliar Compras'!I:J,2,FALSE)</f>
        <v>Dez</v>
      </c>
      <c r="X16" s="43">
        <f>YEAR(Tabela2[[#This Row],[Data]])</f>
        <v>2021</v>
      </c>
      <c r="AA16">
        <v>15</v>
      </c>
      <c r="AB16" t="str">
        <f t="shared" si="6"/>
        <v>Produto 15</v>
      </c>
      <c r="AC16" t="str">
        <f t="shared" si="7"/>
        <v>Comprador 15</v>
      </c>
    </row>
    <row r="17" spans="1:29">
      <c r="A17">
        <v>15656403917</v>
      </c>
      <c r="B17">
        <v>15</v>
      </c>
      <c r="C17" s="1">
        <v>44552</v>
      </c>
      <c r="D17">
        <v>15018323304</v>
      </c>
      <c r="E17" t="str">
        <f t="shared" ca="1" si="2"/>
        <v>Comprador 03</v>
      </c>
      <c r="F17">
        <v>0</v>
      </c>
      <c r="H17" t="s">
        <v>42</v>
      </c>
      <c r="I17">
        <v>14981313809</v>
      </c>
      <c r="J17" t="s">
        <v>407</v>
      </c>
      <c r="L17" t="str">
        <f t="shared" ca="1" si="3"/>
        <v>Produto 07</v>
      </c>
      <c r="M17" s="3">
        <v>7510</v>
      </c>
      <c r="N17" s="62">
        <v>9.35</v>
      </c>
      <c r="O17" t="s">
        <v>408</v>
      </c>
      <c r="P17">
        <v>0</v>
      </c>
      <c r="R17" s="30" t="str">
        <f ca="1">VLOOKUP(L17,'Auxiliar Compras'!A:B,2,FALSE)</f>
        <v>Produto 07</v>
      </c>
      <c r="S17" s="32">
        <f ca="1">VLOOKUP(L17,'Auxiliar Compras'!A:D,4,FALSE)</f>
        <v>0</v>
      </c>
      <c r="T17" s="30">
        <f ca="1">VLOOKUP(L17,'Auxiliar Compras'!A:C,3,FALSE)</f>
        <v>0.5</v>
      </c>
      <c r="U17" s="61">
        <f t="shared" ca="1" si="0"/>
        <v>3755</v>
      </c>
      <c r="V17" s="33">
        <f t="shared" ca="1" si="1"/>
        <v>70218.5</v>
      </c>
      <c r="W17" s="42" t="str">
        <f>VLOOKUP(MONTH(Tabela2[[#This Row],[Data]]),'Auxiliar Compras'!I:J,2,FALSE)</f>
        <v>Dez</v>
      </c>
      <c r="X17" s="43">
        <f>YEAR(Tabela2[[#This Row],[Data]])</f>
        <v>2021</v>
      </c>
      <c r="AA17">
        <v>16</v>
      </c>
      <c r="AB17" t="str">
        <f t="shared" si="6"/>
        <v>Produto 16</v>
      </c>
      <c r="AC17" t="str">
        <f t="shared" si="7"/>
        <v>Comprador 16</v>
      </c>
    </row>
    <row r="18" spans="1:29">
      <c r="A18">
        <v>15656417923</v>
      </c>
      <c r="B18">
        <v>16</v>
      </c>
      <c r="C18" s="1">
        <v>44552</v>
      </c>
      <c r="D18">
        <v>15018323304</v>
      </c>
      <c r="E18" t="str">
        <f t="shared" ca="1" si="2"/>
        <v>Comprador 02</v>
      </c>
      <c r="F18">
        <v>0</v>
      </c>
      <c r="H18" t="s">
        <v>42</v>
      </c>
      <c r="I18">
        <v>14981313809</v>
      </c>
      <c r="J18" t="s">
        <v>407</v>
      </c>
      <c r="L18" t="str">
        <f t="shared" ca="1" si="3"/>
        <v>Produto 02</v>
      </c>
      <c r="M18" s="3">
        <v>23476</v>
      </c>
      <c r="N18" s="62">
        <v>9.48</v>
      </c>
      <c r="O18" t="s">
        <v>408</v>
      </c>
      <c r="P18">
        <v>0</v>
      </c>
      <c r="R18" s="30" t="str">
        <f ca="1">VLOOKUP(L18,'Auxiliar Compras'!A:B,2,FALSE)</f>
        <v>Produto 02</v>
      </c>
      <c r="S18" s="32">
        <f ca="1">VLOOKUP(L18,'Auxiliar Compras'!A:D,4,FALSE)</f>
        <v>0.05</v>
      </c>
      <c r="T18" s="30">
        <f ca="1">VLOOKUP(L18,'Auxiliar Compras'!A:C,3,FALSE)</f>
        <v>1</v>
      </c>
      <c r="U18" s="61">
        <f t="shared" ca="1" si="0"/>
        <v>23476</v>
      </c>
      <c r="V18" s="33">
        <f t="shared" ca="1" si="1"/>
        <v>233680.10400000002</v>
      </c>
      <c r="W18" s="42" t="str">
        <f>VLOOKUP(MONTH(Tabela2[[#This Row],[Data]]),'Auxiliar Compras'!I:J,2,FALSE)</f>
        <v>Dez</v>
      </c>
      <c r="X18" s="43">
        <f>YEAR(Tabela2[[#This Row],[Data]])</f>
        <v>2021</v>
      </c>
      <c r="AA18">
        <v>17</v>
      </c>
      <c r="AC18" t="str">
        <f t="shared" si="7"/>
        <v>Comprador 17</v>
      </c>
    </row>
    <row r="19" spans="1:29">
      <c r="A19">
        <v>15656431575</v>
      </c>
      <c r="B19">
        <v>17</v>
      </c>
      <c r="C19" s="1">
        <v>44552</v>
      </c>
      <c r="D19">
        <v>15018323304</v>
      </c>
      <c r="E19" t="str">
        <f t="shared" ca="1" si="2"/>
        <v>Comprador 20</v>
      </c>
      <c r="F19">
        <v>0</v>
      </c>
      <c r="H19" t="s">
        <v>42</v>
      </c>
      <c r="I19">
        <v>14981313809</v>
      </c>
      <c r="J19" t="s">
        <v>407</v>
      </c>
      <c r="L19" t="str">
        <f t="shared" ca="1" si="3"/>
        <v>Produto 09</v>
      </c>
      <c r="M19" s="3">
        <v>26808</v>
      </c>
      <c r="N19" s="62">
        <v>9.1999999999999993</v>
      </c>
      <c r="O19" t="s">
        <v>408</v>
      </c>
      <c r="P19">
        <v>0</v>
      </c>
      <c r="R19" s="30" t="str">
        <f ca="1">VLOOKUP(L19,'Auxiliar Compras'!A:B,2,FALSE)</f>
        <v>Produto 09</v>
      </c>
      <c r="S19" s="32">
        <f ca="1">VLOOKUP(L19,'Auxiliar Compras'!A:D,4,FALSE)</f>
        <v>0</v>
      </c>
      <c r="T19" s="30">
        <f ca="1">VLOOKUP(L19,'Auxiliar Compras'!A:C,3,FALSE)</f>
        <v>1</v>
      </c>
      <c r="U19" s="61">
        <f t="shared" ca="1" si="0"/>
        <v>26808</v>
      </c>
      <c r="V19" s="33">
        <f t="shared" ca="1" si="1"/>
        <v>246633.59999999998</v>
      </c>
      <c r="W19" s="42" t="str">
        <f>VLOOKUP(MONTH(Tabela2[[#This Row],[Data]]),'Auxiliar Compras'!I:J,2,FALSE)</f>
        <v>Dez</v>
      </c>
      <c r="X19" s="43">
        <f>YEAR(Tabela2[[#This Row],[Data]])</f>
        <v>2021</v>
      </c>
      <c r="AA19">
        <v>18</v>
      </c>
      <c r="AC19" t="str">
        <f t="shared" si="7"/>
        <v>Comprador 18</v>
      </c>
    </row>
    <row r="20" spans="1:29">
      <c r="A20">
        <v>15656455702</v>
      </c>
      <c r="B20">
        <v>18</v>
      </c>
      <c r="C20" s="1">
        <v>44552</v>
      </c>
      <c r="D20">
        <v>15478914765</v>
      </c>
      <c r="E20" t="str">
        <f t="shared" ca="1" si="2"/>
        <v>Comprador 07</v>
      </c>
      <c r="F20">
        <v>0</v>
      </c>
      <c r="H20" t="s">
        <v>42</v>
      </c>
      <c r="I20">
        <v>15395751673</v>
      </c>
      <c r="J20" t="s">
        <v>268</v>
      </c>
      <c r="L20" t="str">
        <f t="shared" ca="1" si="3"/>
        <v>Produto 11</v>
      </c>
      <c r="M20" s="3">
        <v>1700</v>
      </c>
      <c r="N20" s="62">
        <v>7.14</v>
      </c>
      <c r="O20" t="s">
        <v>406</v>
      </c>
      <c r="P20">
        <v>0</v>
      </c>
      <c r="Q20" s="64">
        <v>5094</v>
      </c>
      <c r="R20" s="30" t="str">
        <f ca="1">VLOOKUP(L20,'Auxiliar Compras'!A:B,2,FALSE)</f>
        <v>Produto 11</v>
      </c>
      <c r="S20" s="32">
        <f ca="1">VLOOKUP(L20,'Auxiliar Compras'!A:D,4,FALSE)</f>
        <v>0</v>
      </c>
      <c r="T20" s="30">
        <f ca="1">VLOOKUP(L20,'Auxiliar Compras'!A:C,3,FALSE)</f>
        <v>1</v>
      </c>
      <c r="U20" s="61">
        <f t="shared" ca="1" si="0"/>
        <v>1700</v>
      </c>
      <c r="V20" s="33">
        <f t="shared" ca="1" si="1"/>
        <v>12138</v>
      </c>
      <c r="W20" s="42" t="str">
        <f>VLOOKUP(MONTH(Tabela2[[#This Row],[Data]]),'Auxiliar Compras'!I:J,2,FALSE)</f>
        <v>Dez</v>
      </c>
      <c r="X20" s="43">
        <f>YEAR(Tabela2[[#This Row],[Data]])</f>
        <v>2021</v>
      </c>
      <c r="AA20">
        <v>19</v>
      </c>
      <c r="AC20" t="str">
        <f t="shared" si="7"/>
        <v>Comprador 19</v>
      </c>
    </row>
    <row r="21" spans="1:29">
      <c r="A21">
        <v>15656725936</v>
      </c>
      <c r="B21">
        <v>19</v>
      </c>
      <c r="C21" s="1">
        <v>44552</v>
      </c>
      <c r="D21">
        <v>14772821922</v>
      </c>
      <c r="E21" t="str">
        <f t="shared" ca="1" si="2"/>
        <v>Comprador 10</v>
      </c>
      <c r="F21">
        <v>0</v>
      </c>
      <c r="H21" t="s">
        <v>42</v>
      </c>
      <c r="I21">
        <v>14980702561</v>
      </c>
      <c r="J21" t="s">
        <v>409</v>
      </c>
      <c r="L21" t="str">
        <f t="shared" ca="1" si="3"/>
        <v>Produto 02</v>
      </c>
      <c r="M21" s="3">
        <v>23968</v>
      </c>
      <c r="N21" s="62">
        <v>9.77</v>
      </c>
      <c r="O21" t="s">
        <v>408</v>
      </c>
      <c r="P21">
        <v>0</v>
      </c>
      <c r="Q21" s="64">
        <v>3646</v>
      </c>
      <c r="R21" s="30" t="str">
        <f ca="1">VLOOKUP(L21,'Auxiliar Compras'!A:B,2,FALSE)</f>
        <v>Produto 02</v>
      </c>
      <c r="S21" s="32">
        <f ca="1">VLOOKUP(L21,'Auxiliar Compras'!A:D,4,FALSE)</f>
        <v>0.05</v>
      </c>
      <c r="T21" s="30">
        <f ca="1">VLOOKUP(L21,'Auxiliar Compras'!A:C,3,FALSE)</f>
        <v>1</v>
      </c>
      <c r="U21" s="61">
        <f t="shared" ca="1" si="0"/>
        <v>23968</v>
      </c>
      <c r="V21" s="33">
        <f t="shared" ca="1" si="1"/>
        <v>245875.72799999997</v>
      </c>
      <c r="W21" s="42" t="str">
        <f>VLOOKUP(MONTH(Tabela2[[#This Row],[Data]]),'Auxiliar Compras'!I:J,2,FALSE)</f>
        <v>Dez</v>
      </c>
      <c r="X21" s="43">
        <f>YEAR(Tabela2[[#This Row],[Data]])</f>
        <v>2021</v>
      </c>
      <c r="AA21">
        <v>20</v>
      </c>
      <c r="AC21" t="str">
        <f t="shared" si="7"/>
        <v>Comprador 20</v>
      </c>
    </row>
    <row r="22" spans="1:29">
      <c r="A22">
        <v>15656740402</v>
      </c>
      <c r="B22">
        <v>20</v>
      </c>
      <c r="C22" s="1">
        <v>44552</v>
      </c>
      <c r="D22">
        <v>14772821922</v>
      </c>
      <c r="E22" t="str">
        <f t="shared" ca="1" si="2"/>
        <v>Comprador 08</v>
      </c>
      <c r="F22">
        <v>0</v>
      </c>
      <c r="H22" t="s">
        <v>42</v>
      </c>
      <c r="I22">
        <v>14980702561</v>
      </c>
      <c r="J22" t="s">
        <v>409</v>
      </c>
      <c r="L22" t="str">
        <f t="shared" ca="1" si="3"/>
        <v>Produto 05</v>
      </c>
      <c r="M22" s="3">
        <v>13440</v>
      </c>
      <c r="N22" s="62">
        <v>9.3000000000000007</v>
      </c>
      <c r="O22" t="s">
        <v>408</v>
      </c>
      <c r="P22">
        <v>0</v>
      </c>
      <c r="Q22" s="64">
        <v>3977</v>
      </c>
      <c r="R22" s="30" t="str">
        <f ca="1">VLOOKUP(L22,'Auxiliar Compras'!A:B,2,FALSE)</f>
        <v>Produto 05</v>
      </c>
      <c r="S22" s="32">
        <f ca="1">VLOOKUP(L22,'Auxiliar Compras'!A:D,4,FALSE)</f>
        <v>0</v>
      </c>
      <c r="T22" s="30">
        <f ca="1">VLOOKUP(L22,'Auxiliar Compras'!A:C,3,FALSE)</f>
        <v>1.42</v>
      </c>
      <c r="U22" s="61">
        <f t="shared" ca="1" si="0"/>
        <v>19084.8</v>
      </c>
      <c r="V22" s="33">
        <f t="shared" ca="1" si="1"/>
        <v>124992.00000000001</v>
      </c>
      <c r="W22" s="42" t="str">
        <f>VLOOKUP(MONTH(Tabela2[[#This Row],[Data]]),'Auxiliar Compras'!I:J,2,FALSE)</f>
        <v>Dez</v>
      </c>
      <c r="X22" s="43">
        <f>YEAR(Tabela2[[#This Row],[Data]])</f>
        <v>2021</v>
      </c>
    </row>
    <row r="23" spans="1:29">
      <c r="A23">
        <v>15656778040</v>
      </c>
      <c r="B23">
        <v>21</v>
      </c>
      <c r="C23" s="1">
        <v>44552</v>
      </c>
      <c r="D23">
        <v>14772821922</v>
      </c>
      <c r="E23" t="str">
        <f t="shared" ca="1" si="2"/>
        <v>Comprador 16</v>
      </c>
      <c r="F23">
        <v>0</v>
      </c>
      <c r="H23" t="s">
        <v>42</v>
      </c>
      <c r="I23">
        <v>14980702561</v>
      </c>
      <c r="J23" t="s">
        <v>409</v>
      </c>
      <c r="L23" t="str">
        <f t="shared" ca="1" si="3"/>
        <v>Produto 13</v>
      </c>
      <c r="M23" s="3">
        <v>11818</v>
      </c>
      <c r="N23" s="62">
        <v>9.3000000000000007</v>
      </c>
      <c r="O23" t="s">
        <v>408</v>
      </c>
      <c r="P23">
        <v>0</v>
      </c>
      <c r="Q23" s="64">
        <v>4013</v>
      </c>
      <c r="R23" s="30" t="str">
        <f ca="1">VLOOKUP(L23,'Auxiliar Compras'!A:B,2,FALSE)</f>
        <v>Produto 13</v>
      </c>
      <c r="S23" s="32">
        <f ca="1">VLOOKUP(L23,'Auxiliar Compras'!A:D,4,FALSE)</f>
        <v>0</v>
      </c>
      <c r="T23" s="30">
        <f ca="1">VLOOKUP(L23,'Auxiliar Compras'!A:C,3,FALSE)</f>
        <v>0.4</v>
      </c>
      <c r="U23" s="61">
        <f t="shared" ca="1" si="0"/>
        <v>4727.2</v>
      </c>
      <c r="V23" s="33">
        <f t="shared" ca="1" si="1"/>
        <v>109907.40000000001</v>
      </c>
      <c r="W23" s="42" t="str">
        <f>VLOOKUP(MONTH(Tabela2[[#This Row],[Data]]),'Auxiliar Compras'!I:J,2,FALSE)</f>
        <v>Dez</v>
      </c>
      <c r="X23" s="43">
        <f>YEAR(Tabela2[[#This Row],[Data]])</f>
        <v>2021</v>
      </c>
    </row>
    <row r="24" spans="1:29">
      <c r="A24">
        <v>15656795929</v>
      </c>
      <c r="B24">
        <v>22</v>
      </c>
      <c r="C24" s="1">
        <v>44552</v>
      </c>
      <c r="D24">
        <v>14772821922</v>
      </c>
      <c r="E24" t="str">
        <f t="shared" ca="1" si="2"/>
        <v>Comprador 07</v>
      </c>
      <c r="F24">
        <v>0</v>
      </c>
      <c r="H24" t="s">
        <v>42</v>
      </c>
      <c r="I24">
        <v>14980702561</v>
      </c>
      <c r="J24" t="s">
        <v>409</v>
      </c>
      <c r="L24" t="str">
        <f t="shared" ca="1" si="3"/>
        <v>Produto 15</v>
      </c>
      <c r="M24" s="3">
        <v>8588</v>
      </c>
      <c r="N24" s="62">
        <v>9.3000000000000007</v>
      </c>
      <c r="O24" t="s">
        <v>408</v>
      </c>
      <c r="P24">
        <v>0</v>
      </c>
      <c r="Q24" s="64">
        <v>4118</v>
      </c>
      <c r="R24" s="30" t="str">
        <f ca="1">VLOOKUP(L24,'Auxiliar Compras'!A:B,2,FALSE)</f>
        <v>Produto 15</v>
      </c>
      <c r="S24" s="32">
        <f ca="1">VLOOKUP(L24,'Auxiliar Compras'!A:D,4,FALSE)</f>
        <v>0</v>
      </c>
      <c r="T24" s="30">
        <f ca="1">VLOOKUP(L24,'Auxiliar Compras'!A:C,3,FALSE)</f>
        <v>1.1000000000000001</v>
      </c>
      <c r="U24" s="61">
        <f t="shared" ca="1" si="0"/>
        <v>9446.8000000000011</v>
      </c>
      <c r="V24" s="33">
        <f t="shared" ca="1" si="1"/>
        <v>79868.400000000009</v>
      </c>
      <c r="W24" s="42" t="str">
        <f>VLOOKUP(MONTH(Tabela2[[#This Row],[Data]]),'Auxiliar Compras'!I:J,2,FALSE)</f>
        <v>Dez</v>
      </c>
      <c r="X24" s="43">
        <f>YEAR(Tabela2[[#This Row],[Data]])</f>
        <v>2021</v>
      </c>
    </row>
    <row r="25" spans="1:29">
      <c r="A25">
        <v>15656813379</v>
      </c>
      <c r="B25">
        <v>23</v>
      </c>
      <c r="C25" s="1">
        <v>44552</v>
      </c>
      <c r="D25">
        <v>14772821922</v>
      </c>
      <c r="E25" t="str">
        <f t="shared" ca="1" si="2"/>
        <v>Comprador 20</v>
      </c>
      <c r="F25">
        <v>0</v>
      </c>
      <c r="H25" t="s">
        <v>42</v>
      </c>
      <c r="I25">
        <v>14980702561</v>
      </c>
      <c r="J25" t="s">
        <v>409</v>
      </c>
      <c r="L25" t="str">
        <f t="shared" ca="1" si="3"/>
        <v>Produto 06</v>
      </c>
      <c r="M25" s="3">
        <v>14106</v>
      </c>
      <c r="N25" s="62">
        <v>7.93</v>
      </c>
      <c r="O25" t="s">
        <v>408</v>
      </c>
      <c r="P25">
        <v>0</v>
      </c>
      <c r="Q25" s="64">
        <v>4606</v>
      </c>
      <c r="R25" s="30" t="str">
        <f ca="1">VLOOKUP(L25,'Auxiliar Compras'!A:B,2,FALSE)</f>
        <v>Produto 06</v>
      </c>
      <c r="S25" s="32">
        <f ca="1">VLOOKUP(L25,'Auxiliar Compras'!A:D,4,FALSE)</f>
        <v>0</v>
      </c>
      <c r="T25" s="30">
        <f ca="1">VLOOKUP(L25,'Auxiliar Compras'!A:C,3,FALSE)</f>
        <v>1.1000000000000001</v>
      </c>
      <c r="U25" s="61">
        <f t="shared" ca="1" si="0"/>
        <v>15516.6</v>
      </c>
      <c r="V25" s="33">
        <f t="shared" ca="1" si="1"/>
        <v>111860.58</v>
      </c>
      <c r="W25" s="42" t="str">
        <f>VLOOKUP(MONTH(Tabela2[[#This Row],[Data]]),'Auxiliar Compras'!I:J,2,FALSE)</f>
        <v>Dez</v>
      </c>
      <c r="X25" s="43">
        <f>YEAR(Tabela2[[#This Row],[Data]])</f>
        <v>2021</v>
      </c>
    </row>
    <row r="26" spans="1:29">
      <c r="A26">
        <v>15656822711</v>
      </c>
      <c r="B26">
        <v>24</v>
      </c>
      <c r="C26" s="1">
        <v>44552</v>
      </c>
      <c r="D26">
        <v>14772821922</v>
      </c>
      <c r="E26" t="str">
        <f t="shared" ca="1" si="2"/>
        <v>Comprador 14</v>
      </c>
      <c r="F26">
        <v>0</v>
      </c>
      <c r="H26" t="s">
        <v>42</v>
      </c>
      <c r="I26">
        <v>14980702561</v>
      </c>
      <c r="J26" t="s">
        <v>409</v>
      </c>
      <c r="L26" t="str">
        <f t="shared" ca="1" si="3"/>
        <v>Produto 08</v>
      </c>
      <c r="M26" s="3">
        <v>27695</v>
      </c>
      <c r="N26" s="62">
        <v>8.98</v>
      </c>
      <c r="O26" t="s">
        <v>408</v>
      </c>
      <c r="P26">
        <v>0</v>
      </c>
      <c r="Q26" s="64">
        <v>4606</v>
      </c>
      <c r="R26" s="30" t="str">
        <f ca="1">VLOOKUP(L26,'Auxiliar Compras'!A:B,2,FALSE)</f>
        <v>Produto 08</v>
      </c>
      <c r="S26" s="32">
        <f ca="1">VLOOKUP(L26,'Auxiliar Compras'!A:D,4,FALSE)</f>
        <v>0</v>
      </c>
      <c r="T26" s="30">
        <f ca="1">VLOOKUP(L26,'Auxiliar Compras'!A:C,3,FALSE)</f>
        <v>1</v>
      </c>
      <c r="U26" s="61">
        <f t="shared" ca="1" si="0"/>
        <v>27695</v>
      </c>
      <c r="V26" s="33">
        <f t="shared" ca="1" si="1"/>
        <v>248701.1</v>
      </c>
      <c r="W26" s="42" t="str">
        <f>VLOOKUP(MONTH(Tabela2[[#This Row],[Data]]),'Auxiliar Compras'!I:J,2,FALSE)</f>
        <v>Dez</v>
      </c>
      <c r="X26" s="43">
        <f>YEAR(Tabela2[[#This Row],[Data]])</f>
        <v>2021</v>
      </c>
    </row>
    <row r="27" spans="1:29">
      <c r="A27">
        <v>15656842731</v>
      </c>
      <c r="B27">
        <v>25</v>
      </c>
      <c r="C27" s="1">
        <v>44552</v>
      </c>
      <c r="D27">
        <v>14772821922</v>
      </c>
      <c r="E27" t="str">
        <f t="shared" ca="1" si="2"/>
        <v>Comprador 06</v>
      </c>
      <c r="F27">
        <v>0</v>
      </c>
      <c r="H27" t="s">
        <v>42</v>
      </c>
      <c r="I27">
        <v>14980702561</v>
      </c>
      <c r="J27" t="s">
        <v>409</v>
      </c>
      <c r="L27" t="str">
        <f t="shared" ca="1" si="3"/>
        <v>Produto 09</v>
      </c>
      <c r="M27" s="3">
        <v>25188</v>
      </c>
      <c r="N27" s="62">
        <v>9.5</v>
      </c>
      <c r="O27" t="s">
        <v>408</v>
      </c>
      <c r="P27">
        <v>0</v>
      </c>
      <c r="Q27" s="64">
        <v>4730</v>
      </c>
      <c r="R27" s="30" t="str">
        <f ca="1">VLOOKUP(L27,'Auxiliar Compras'!A:B,2,FALSE)</f>
        <v>Produto 09</v>
      </c>
      <c r="S27" s="32">
        <f ca="1">VLOOKUP(L27,'Auxiliar Compras'!A:D,4,FALSE)</f>
        <v>0</v>
      </c>
      <c r="T27" s="30">
        <f ca="1">VLOOKUP(L27,'Auxiliar Compras'!A:C,3,FALSE)</f>
        <v>1</v>
      </c>
      <c r="U27" s="61">
        <f t="shared" ca="1" si="0"/>
        <v>25188</v>
      </c>
      <c r="V27" s="33">
        <f t="shared" ca="1" si="1"/>
        <v>239286</v>
      </c>
      <c r="W27" s="42" t="str">
        <f>VLOOKUP(MONTH(Tabela2[[#This Row],[Data]]),'Auxiliar Compras'!I:J,2,FALSE)</f>
        <v>Dez</v>
      </c>
      <c r="X27" s="43">
        <f>YEAR(Tabela2[[#This Row],[Data]])</f>
        <v>2021</v>
      </c>
    </row>
    <row r="28" spans="1:29">
      <c r="A28">
        <v>15656853363</v>
      </c>
      <c r="B28">
        <v>26</v>
      </c>
      <c r="C28" s="1">
        <v>44552</v>
      </c>
      <c r="D28">
        <v>14772821922</v>
      </c>
      <c r="E28" t="str">
        <f t="shared" ca="1" si="2"/>
        <v>Comprador 11</v>
      </c>
      <c r="F28">
        <v>0</v>
      </c>
      <c r="H28" t="s">
        <v>42</v>
      </c>
      <c r="I28">
        <v>14980702561</v>
      </c>
      <c r="J28" t="s">
        <v>409</v>
      </c>
      <c r="L28" t="str">
        <f t="shared" ca="1" si="3"/>
        <v>Produto 16</v>
      </c>
      <c r="M28" s="3">
        <v>25043</v>
      </c>
      <c r="N28" s="62">
        <v>9.4</v>
      </c>
      <c r="O28" t="s">
        <v>408</v>
      </c>
      <c r="P28">
        <v>0</v>
      </c>
      <c r="Q28" s="64">
        <v>4748</v>
      </c>
      <c r="R28" s="30" t="str">
        <f ca="1">VLOOKUP(L28,'Auxiliar Compras'!A:B,2,FALSE)</f>
        <v>Produto 16</v>
      </c>
      <c r="S28" s="32">
        <f ca="1">VLOOKUP(L28,'Auxiliar Compras'!A:D,4,FALSE)</f>
        <v>0.05</v>
      </c>
      <c r="T28" s="30">
        <f ca="1">VLOOKUP(L28,'Auxiliar Compras'!A:C,3,FALSE)</f>
        <v>1</v>
      </c>
      <c r="U28" s="61">
        <f t="shared" ca="1" si="0"/>
        <v>25043</v>
      </c>
      <c r="V28" s="33">
        <f t="shared" ca="1" si="1"/>
        <v>247174.41</v>
      </c>
      <c r="W28" s="42" t="str">
        <f>VLOOKUP(MONTH(Tabela2[[#This Row],[Data]]),'Auxiliar Compras'!I:J,2,FALSE)</f>
        <v>Dez</v>
      </c>
      <c r="X28" s="43">
        <f>YEAR(Tabela2[[#This Row],[Data]])</f>
        <v>2021</v>
      </c>
    </row>
    <row r="29" spans="1:29">
      <c r="A29">
        <v>15656876602</v>
      </c>
      <c r="B29">
        <v>27</v>
      </c>
      <c r="C29" s="1">
        <v>44552</v>
      </c>
      <c r="D29">
        <v>15450924520</v>
      </c>
      <c r="E29" t="str">
        <f t="shared" ca="1" si="2"/>
        <v>Comprador 19</v>
      </c>
      <c r="F29">
        <v>0</v>
      </c>
      <c r="H29" t="s">
        <v>42</v>
      </c>
      <c r="I29">
        <v>14980702561</v>
      </c>
      <c r="J29" t="s">
        <v>409</v>
      </c>
      <c r="L29" t="str">
        <f t="shared" ca="1" si="3"/>
        <v>Produto 02</v>
      </c>
      <c r="M29" s="3">
        <v>22885</v>
      </c>
      <c r="N29" s="62">
        <v>8.75</v>
      </c>
      <c r="O29" t="s">
        <v>408</v>
      </c>
      <c r="P29">
        <v>0</v>
      </c>
      <c r="Q29" s="64">
        <v>4842</v>
      </c>
      <c r="R29" s="30" t="str">
        <f ca="1">VLOOKUP(L29,'Auxiliar Compras'!A:B,2,FALSE)</f>
        <v>Produto 02</v>
      </c>
      <c r="S29" s="32">
        <f ca="1">VLOOKUP(L29,'Auxiliar Compras'!A:D,4,FALSE)</f>
        <v>0.05</v>
      </c>
      <c r="T29" s="30">
        <f ca="1">VLOOKUP(L29,'Auxiliar Compras'!A:C,3,FALSE)</f>
        <v>1</v>
      </c>
      <c r="U29" s="61">
        <f t="shared" ca="1" si="0"/>
        <v>22885</v>
      </c>
      <c r="V29" s="33">
        <f t="shared" ca="1" si="1"/>
        <v>210255.9375</v>
      </c>
      <c r="W29" s="42" t="str">
        <f>VLOOKUP(MONTH(Tabela2[[#This Row],[Data]]),'Auxiliar Compras'!I:J,2,FALSE)</f>
        <v>Dez</v>
      </c>
      <c r="X29" s="43">
        <f>YEAR(Tabela2[[#This Row],[Data]])</f>
        <v>2021</v>
      </c>
    </row>
    <row r="30" spans="1:29">
      <c r="A30">
        <v>15657069663</v>
      </c>
      <c r="B30">
        <v>28</v>
      </c>
      <c r="C30" s="1">
        <v>44552</v>
      </c>
      <c r="D30">
        <v>14979221560</v>
      </c>
      <c r="E30" t="str">
        <f t="shared" ca="1" si="2"/>
        <v>Comprador 08</v>
      </c>
      <c r="F30">
        <v>0</v>
      </c>
      <c r="H30" t="s">
        <v>42</v>
      </c>
      <c r="I30">
        <v>14979354095</v>
      </c>
      <c r="J30" t="s">
        <v>413</v>
      </c>
      <c r="K30">
        <v>50790031</v>
      </c>
      <c r="L30" t="str">
        <f t="shared" ca="1" si="3"/>
        <v>Produto 07</v>
      </c>
      <c r="M30" s="3">
        <v>23968</v>
      </c>
      <c r="N30" s="62">
        <v>0.18</v>
      </c>
      <c r="O30" t="s">
        <v>414</v>
      </c>
      <c r="P30">
        <v>0</v>
      </c>
      <c r="Q30" s="64">
        <v>3682</v>
      </c>
      <c r="R30" s="30" t="str">
        <f ca="1">VLOOKUP(L30,'Auxiliar Compras'!A:B,2,FALSE)</f>
        <v>Produto 07</v>
      </c>
      <c r="S30" s="32">
        <f ca="1">VLOOKUP(L30,'Auxiliar Compras'!A:D,4,FALSE)</f>
        <v>0</v>
      </c>
      <c r="T30" s="30">
        <f ca="1">VLOOKUP(L30,'Auxiliar Compras'!A:C,3,FALSE)</f>
        <v>0.5</v>
      </c>
      <c r="U30" s="61">
        <f t="shared" ca="1" si="0"/>
        <v>11984</v>
      </c>
      <c r="V30" s="33">
        <f t="shared" ca="1" si="1"/>
        <v>4314.24</v>
      </c>
      <c r="W30" s="42" t="str">
        <f>VLOOKUP(MONTH(Tabela2[[#This Row],[Data]]),'Auxiliar Compras'!I:J,2,FALSE)</f>
        <v>Dez</v>
      </c>
      <c r="X30" s="43">
        <f>YEAR(Tabela2[[#This Row],[Data]])</f>
        <v>2021</v>
      </c>
    </row>
    <row r="31" spans="1:29">
      <c r="A31">
        <v>15657078733</v>
      </c>
      <c r="B31">
        <v>29</v>
      </c>
      <c r="C31" s="1">
        <v>44552</v>
      </c>
      <c r="D31">
        <v>14979221560</v>
      </c>
      <c r="E31" t="str">
        <f t="shared" ca="1" si="2"/>
        <v>Comprador 02</v>
      </c>
      <c r="F31">
        <v>0</v>
      </c>
      <c r="H31" t="s">
        <v>42</v>
      </c>
      <c r="I31">
        <v>14979354095</v>
      </c>
      <c r="J31" t="s">
        <v>413</v>
      </c>
      <c r="K31">
        <v>50790031</v>
      </c>
      <c r="L31" t="str">
        <f t="shared" ca="1" si="3"/>
        <v>Produto 10</v>
      </c>
      <c r="M31" s="3">
        <v>30773</v>
      </c>
      <c r="N31" s="62">
        <v>0.18</v>
      </c>
      <c r="O31" t="s">
        <v>414</v>
      </c>
      <c r="P31">
        <v>0</v>
      </c>
      <c r="Q31" s="64" t="s">
        <v>415</v>
      </c>
      <c r="R31" s="30" t="str">
        <f ca="1">VLOOKUP(L31,'Auxiliar Compras'!A:B,2,FALSE)</f>
        <v>Produto 10</v>
      </c>
      <c r="S31" s="32">
        <f ca="1">VLOOKUP(L31,'Auxiliar Compras'!A:D,4,FALSE)</f>
        <v>0</v>
      </c>
      <c r="T31" s="30">
        <f ca="1">VLOOKUP(L31,'Auxiliar Compras'!A:C,3,FALSE)</f>
        <v>1</v>
      </c>
      <c r="U31" s="61">
        <f t="shared" ca="1" si="0"/>
        <v>30773</v>
      </c>
      <c r="V31" s="33">
        <f t="shared" ca="1" si="1"/>
        <v>5539.1399999999994</v>
      </c>
      <c r="W31" s="42" t="str">
        <f>VLOOKUP(MONTH(Tabela2[[#This Row],[Data]]),'Auxiliar Compras'!I:J,2,FALSE)</f>
        <v>Dez</v>
      </c>
      <c r="X31" s="43">
        <f>YEAR(Tabela2[[#This Row],[Data]])</f>
        <v>2021</v>
      </c>
    </row>
    <row r="32" spans="1:29">
      <c r="A32">
        <v>15657087809</v>
      </c>
      <c r="B32">
        <v>30</v>
      </c>
      <c r="C32" s="1">
        <v>44552</v>
      </c>
      <c r="D32">
        <v>14979221560</v>
      </c>
      <c r="E32" t="str">
        <f t="shared" ca="1" si="2"/>
        <v>Comprador 02</v>
      </c>
      <c r="F32">
        <v>0</v>
      </c>
      <c r="H32" t="s">
        <v>42</v>
      </c>
      <c r="I32">
        <v>14979354095</v>
      </c>
      <c r="J32" t="s">
        <v>413</v>
      </c>
      <c r="K32">
        <v>50790031</v>
      </c>
      <c r="L32" t="str">
        <f t="shared" ca="1" si="3"/>
        <v>Produto 02</v>
      </c>
      <c r="M32" s="3">
        <v>42704</v>
      </c>
      <c r="N32" s="62">
        <v>0.18</v>
      </c>
      <c r="O32" t="s">
        <v>414</v>
      </c>
      <c r="P32">
        <v>0</v>
      </c>
      <c r="Q32" s="64" t="s">
        <v>416</v>
      </c>
      <c r="R32" s="30" t="str">
        <f ca="1">VLOOKUP(L32,'Auxiliar Compras'!A:B,2,FALSE)</f>
        <v>Produto 02</v>
      </c>
      <c r="S32" s="32">
        <f ca="1">VLOOKUP(L32,'Auxiliar Compras'!A:D,4,FALSE)</f>
        <v>0.05</v>
      </c>
      <c r="T32" s="30">
        <f ca="1">VLOOKUP(L32,'Auxiliar Compras'!A:C,3,FALSE)</f>
        <v>1</v>
      </c>
      <c r="U32" s="61">
        <f t="shared" ca="1" si="0"/>
        <v>42704</v>
      </c>
      <c r="V32" s="33">
        <f t="shared" ca="1" si="1"/>
        <v>8071.0559999999996</v>
      </c>
      <c r="W32" s="42" t="str">
        <f>VLOOKUP(MONTH(Tabela2[[#This Row],[Data]]),'Auxiliar Compras'!I:J,2,FALSE)</f>
        <v>Dez</v>
      </c>
      <c r="X32" s="43">
        <f>YEAR(Tabela2[[#This Row],[Data]])</f>
        <v>2021</v>
      </c>
    </row>
    <row r="33" spans="1:24">
      <c r="A33">
        <v>15657095851</v>
      </c>
      <c r="B33">
        <v>31</v>
      </c>
      <c r="C33" s="1">
        <v>44552</v>
      </c>
      <c r="D33">
        <v>14979221560</v>
      </c>
      <c r="E33" t="str">
        <f t="shared" ca="1" si="2"/>
        <v>Comprador 01</v>
      </c>
      <c r="F33">
        <v>0</v>
      </c>
      <c r="H33" t="s">
        <v>42</v>
      </c>
      <c r="I33">
        <v>14979354095</v>
      </c>
      <c r="J33" t="s">
        <v>413</v>
      </c>
      <c r="K33">
        <v>50790031</v>
      </c>
      <c r="L33" t="str">
        <f t="shared" ca="1" si="3"/>
        <v>Produto 15</v>
      </c>
      <c r="M33" s="3">
        <v>59789</v>
      </c>
      <c r="N33" s="62">
        <v>0.18</v>
      </c>
      <c r="O33" t="s">
        <v>414</v>
      </c>
      <c r="P33">
        <v>0</v>
      </c>
      <c r="Q33" s="64" t="s">
        <v>417</v>
      </c>
      <c r="R33" s="30" t="str">
        <f ca="1">VLOOKUP(L33,'Auxiliar Compras'!A:B,2,FALSE)</f>
        <v>Produto 15</v>
      </c>
      <c r="S33" s="32">
        <f ca="1">VLOOKUP(L33,'Auxiliar Compras'!A:D,4,FALSE)</f>
        <v>0</v>
      </c>
      <c r="T33" s="30">
        <f ca="1">VLOOKUP(L33,'Auxiliar Compras'!A:C,3,FALSE)</f>
        <v>1.1000000000000001</v>
      </c>
      <c r="U33" s="61">
        <f t="shared" ca="1" si="0"/>
        <v>65767.900000000009</v>
      </c>
      <c r="V33" s="33">
        <f t="shared" ca="1" si="1"/>
        <v>10762.02</v>
      </c>
      <c r="W33" s="42" t="str">
        <f>VLOOKUP(MONTH(Tabela2[[#This Row],[Data]]),'Auxiliar Compras'!I:J,2,FALSE)</f>
        <v>Dez</v>
      </c>
      <c r="X33" s="43">
        <f>YEAR(Tabela2[[#This Row],[Data]])</f>
        <v>2021</v>
      </c>
    </row>
    <row r="34" spans="1:24">
      <c r="A34">
        <v>15657105737</v>
      </c>
      <c r="B34">
        <v>32</v>
      </c>
      <c r="C34" s="1">
        <v>44552</v>
      </c>
      <c r="D34">
        <v>14979221560</v>
      </c>
      <c r="E34" t="str">
        <f t="shared" ca="1" si="2"/>
        <v>Comprador 10</v>
      </c>
      <c r="F34">
        <v>0</v>
      </c>
      <c r="H34" t="s">
        <v>42</v>
      </c>
      <c r="I34">
        <v>14979354095</v>
      </c>
      <c r="J34" t="s">
        <v>413</v>
      </c>
      <c r="K34">
        <v>50790031</v>
      </c>
      <c r="L34" t="str">
        <f t="shared" ca="1" si="3"/>
        <v>Produto 03</v>
      </c>
      <c r="M34" s="3">
        <v>87863</v>
      </c>
      <c r="N34" s="62">
        <v>0.18</v>
      </c>
      <c r="O34" t="s">
        <v>414</v>
      </c>
      <c r="P34">
        <v>0</v>
      </c>
      <c r="Q34" s="64" t="s">
        <v>418</v>
      </c>
      <c r="R34" s="30" t="str">
        <f ca="1">VLOOKUP(L34,'Auxiliar Compras'!A:B,2,FALSE)</f>
        <v>Produto 03</v>
      </c>
      <c r="S34" s="32">
        <f ca="1">VLOOKUP(L34,'Auxiliar Compras'!A:D,4,FALSE)</f>
        <v>0.05</v>
      </c>
      <c r="T34" s="30">
        <f ca="1">VLOOKUP(L34,'Auxiliar Compras'!A:C,3,FALSE)</f>
        <v>1</v>
      </c>
      <c r="U34" s="61">
        <f t="shared" ref="U34:U61" ca="1" si="8">T34*M34</f>
        <v>87863</v>
      </c>
      <c r="V34" s="33">
        <f t="shared" ref="V34:V61" ca="1" si="9">N34*M34+(M34*N34*S34)</f>
        <v>16606.107</v>
      </c>
      <c r="W34" s="42" t="str">
        <f>VLOOKUP(MONTH(Tabela2[[#This Row],[Data]]),'Auxiliar Compras'!I:J,2,FALSE)</f>
        <v>Dez</v>
      </c>
      <c r="X34" s="43">
        <f>YEAR(Tabela2[[#This Row],[Data]])</f>
        <v>2021</v>
      </c>
    </row>
    <row r="35" spans="1:24">
      <c r="A35">
        <v>15657118424</v>
      </c>
      <c r="B35">
        <v>33</v>
      </c>
      <c r="C35" s="1">
        <v>44552</v>
      </c>
      <c r="D35">
        <v>14979221560</v>
      </c>
      <c r="E35" t="str">
        <f t="shared" ca="1" si="2"/>
        <v>Comprador 11</v>
      </c>
      <c r="F35">
        <v>0</v>
      </c>
      <c r="H35" t="s">
        <v>42</v>
      </c>
      <c r="I35">
        <v>14979354095</v>
      </c>
      <c r="J35" t="s">
        <v>413</v>
      </c>
      <c r="K35">
        <v>50790031</v>
      </c>
      <c r="L35" t="str">
        <f t="shared" ca="1" si="3"/>
        <v>Produto 01</v>
      </c>
      <c r="M35" s="3">
        <v>97789</v>
      </c>
      <c r="N35" s="62">
        <v>0.18</v>
      </c>
      <c r="O35" t="s">
        <v>414</v>
      </c>
      <c r="P35">
        <v>0</v>
      </c>
      <c r="Q35" s="64" t="s">
        <v>419</v>
      </c>
      <c r="R35" s="30" t="str">
        <f ca="1">VLOOKUP(L35,'Auxiliar Compras'!A:B,2,FALSE)</f>
        <v>Produto 01</v>
      </c>
      <c r="S35" s="32">
        <f ca="1">VLOOKUP(L35,'Auxiliar Compras'!A:D,4,FALSE)</f>
        <v>0</v>
      </c>
      <c r="T35" s="30">
        <f ca="1">VLOOKUP(L35,'Auxiliar Compras'!A:C,3,FALSE)</f>
        <v>1.1000000000000001</v>
      </c>
      <c r="U35" s="61">
        <f t="shared" ca="1" si="8"/>
        <v>107567.90000000001</v>
      </c>
      <c r="V35" s="33">
        <f t="shared" ca="1" si="9"/>
        <v>17602.02</v>
      </c>
      <c r="W35" s="42" t="str">
        <f>VLOOKUP(MONTH(Tabela2[[#This Row],[Data]]),'Auxiliar Compras'!I:J,2,FALSE)</f>
        <v>Dez</v>
      </c>
      <c r="X35" s="43">
        <f>YEAR(Tabela2[[#This Row],[Data]])</f>
        <v>2021</v>
      </c>
    </row>
    <row r="36" spans="1:24">
      <c r="A36">
        <v>15657154163</v>
      </c>
      <c r="B36">
        <v>34</v>
      </c>
      <c r="C36" s="1">
        <v>44552</v>
      </c>
      <c r="D36">
        <v>15130445011</v>
      </c>
      <c r="E36" t="str">
        <f t="shared" ca="1" si="2"/>
        <v>Comprador 10</v>
      </c>
      <c r="F36">
        <v>0</v>
      </c>
      <c r="H36" t="s">
        <v>42</v>
      </c>
      <c r="I36">
        <v>14981313809</v>
      </c>
      <c r="J36" t="s">
        <v>407</v>
      </c>
      <c r="L36" t="str">
        <f t="shared" ca="1" si="3"/>
        <v>Produto 08</v>
      </c>
      <c r="M36" s="3">
        <v>20690</v>
      </c>
      <c r="N36" s="62">
        <v>9.35</v>
      </c>
      <c r="O36" t="s">
        <v>408</v>
      </c>
      <c r="P36">
        <v>0</v>
      </c>
      <c r="Q36" s="64">
        <v>4597</v>
      </c>
      <c r="R36" s="30" t="str">
        <f ca="1">VLOOKUP(L36,'Auxiliar Compras'!A:B,2,FALSE)</f>
        <v>Produto 08</v>
      </c>
      <c r="S36" s="32">
        <f ca="1">VLOOKUP(L36,'Auxiliar Compras'!A:D,4,FALSE)</f>
        <v>0</v>
      </c>
      <c r="T36" s="30">
        <f ca="1">VLOOKUP(L36,'Auxiliar Compras'!A:C,3,FALSE)</f>
        <v>1</v>
      </c>
      <c r="U36" s="61">
        <f t="shared" ca="1" si="8"/>
        <v>20690</v>
      </c>
      <c r="V36" s="33">
        <f t="shared" ca="1" si="9"/>
        <v>193451.5</v>
      </c>
      <c r="W36" s="42" t="str">
        <f>VLOOKUP(MONTH(Tabela2[[#This Row],[Data]]),'Auxiliar Compras'!I:J,2,FALSE)</f>
        <v>Dez</v>
      </c>
      <c r="X36" s="43">
        <f>YEAR(Tabela2[[#This Row],[Data]])</f>
        <v>2021</v>
      </c>
    </row>
    <row r="37" spans="1:24">
      <c r="A37">
        <v>15657181694</v>
      </c>
      <c r="B37">
        <v>35</v>
      </c>
      <c r="C37" s="1">
        <v>44552</v>
      </c>
      <c r="D37">
        <v>15603436233</v>
      </c>
      <c r="E37" t="str">
        <f t="shared" ca="1" si="2"/>
        <v>Comprador 05</v>
      </c>
      <c r="F37">
        <v>0</v>
      </c>
      <c r="H37" t="s">
        <v>42</v>
      </c>
      <c r="I37">
        <v>15634854583</v>
      </c>
      <c r="J37" t="s">
        <v>412</v>
      </c>
      <c r="L37" t="str">
        <f t="shared" ca="1" si="3"/>
        <v>Produto 07</v>
      </c>
      <c r="M37" s="3">
        <v>1</v>
      </c>
      <c r="N37" s="62">
        <v>700</v>
      </c>
      <c r="O37" t="s">
        <v>408</v>
      </c>
      <c r="P37">
        <v>0</v>
      </c>
      <c r="Q37" s="64">
        <v>5016</v>
      </c>
      <c r="R37" s="30" t="str">
        <f ca="1">VLOOKUP(L37,'Auxiliar Compras'!A:B,2,FALSE)</f>
        <v>Produto 07</v>
      </c>
      <c r="S37" s="32">
        <f ca="1">VLOOKUP(L37,'Auxiliar Compras'!A:D,4,FALSE)</f>
        <v>0</v>
      </c>
      <c r="T37" s="30">
        <f ca="1">VLOOKUP(L37,'Auxiliar Compras'!A:C,3,FALSE)</f>
        <v>0.5</v>
      </c>
      <c r="U37" s="61">
        <f t="shared" ca="1" si="8"/>
        <v>0.5</v>
      </c>
      <c r="V37" s="33">
        <f t="shared" ca="1" si="9"/>
        <v>700</v>
      </c>
      <c r="W37" s="42" t="str">
        <f>VLOOKUP(MONTH(Tabela2[[#This Row],[Data]]),'Auxiliar Compras'!I:J,2,FALSE)</f>
        <v>Dez</v>
      </c>
      <c r="X37" s="43">
        <f>YEAR(Tabela2[[#This Row],[Data]])</f>
        <v>2021</v>
      </c>
    </row>
    <row r="38" spans="1:24">
      <c r="A38">
        <v>15657200117</v>
      </c>
      <c r="B38">
        <v>36</v>
      </c>
      <c r="C38" s="1">
        <v>44552</v>
      </c>
      <c r="D38">
        <v>15603436233</v>
      </c>
      <c r="E38" t="str">
        <f t="shared" ca="1" si="2"/>
        <v>Comprador 12</v>
      </c>
      <c r="F38">
        <v>0</v>
      </c>
      <c r="H38" t="s">
        <v>42</v>
      </c>
      <c r="I38">
        <v>15634854583</v>
      </c>
      <c r="J38" t="s">
        <v>412</v>
      </c>
      <c r="L38" t="str">
        <f t="shared" ca="1" si="3"/>
        <v>Produto 14</v>
      </c>
      <c r="M38" s="3">
        <v>6</v>
      </c>
      <c r="N38" s="62">
        <v>1600</v>
      </c>
      <c r="O38" t="s">
        <v>408</v>
      </c>
      <c r="P38">
        <v>0</v>
      </c>
      <c r="Q38" s="64" t="s">
        <v>420</v>
      </c>
      <c r="R38" s="30" t="str">
        <f ca="1">VLOOKUP(L38,'Auxiliar Compras'!A:B,2,FALSE)</f>
        <v>Produto 14</v>
      </c>
      <c r="S38" s="32">
        <f ca="1">VLOOKUP(L38,'Auxiliar Compras'!A:D,4,FALSE)</f>
        <v>0</v>
      </c>
      <c r="T38" s="30">
        <f ca="1">VLOOKUP(L38,'Auxiliar Compras'!A:C,3,FALSE)</f>
        <v>1.68</v>
      </c>
      <c r="U38" s="61">
        <f t="shared" ca="1" si="8"/>
        <v>10.08</v>
      </c>
      <c r="V38" s="33">
        <f t="shared" ca="1" si="9"/>
        <v>9600</v>
      </c>
      <c r="W38" s="42" t="str">
        <f>VLOOKUP(MONTH(Tabela2[[#This Row],[Data]]),'Auxiliar Compras'!I:J,2,FALSE)</f>
        <v>Dez</v>
      </c>
      <c r="X38" s="43">
        <f>YEAR(Tabela2[[#This Row],[Data]])</f>
        <v>2021</v>
      </c>
    </row>
    <row r="39" spans="1:24">
      <c r="A39">
        <v>15657200117</v>
      </c>
      <c r="B39">
        <v>36</v>
      </c>
      <c r="C39" s="1">
        <v>44552</v>
      </c>
      <c r="D39">
        <v>15603436233</v>
      </c>
      <c r="E39" t="str">
        <f t="shared" ca="1" si="2"/>
        <v>Comprador 20</v>
      </c>
      <c r="F39">
        <v>0</v>
      </c>
      <c r="H39" t="s">
        <v>42</v>
      </c>
      <c r="I39">
        <v>15634854583</v>
      </c>
      <c r="J39" t="s">
        <v>412</v>
      </c>
      <c r="L39" t="str">
        <f t="shared" ca="1" si="3"/>
        <v>Produto 13</v>
      </c>
      <c r="M39" s="3">
        <v>1</v>
      </c>
      <c r="N39" s="62">
        <v>1532.22</v>
      </c>
      <c r="O39" t="s">
        <v>408</v>
      </c>
      <c r="P39">
        <v>0</v>
      </c>
      <c r="Q39" s="64" t="s">
        <v>420</v>
      </c>
      <c r="R39" s="30" t="str">
        <f ca="1">VLOOKUP(L39,'Auxiliar Compras'!A:B,2,FALSE)</f>
        <v>Produto 13</v>
      </c>
      <c r="S39" s="32">
        <f ca="1">VLOOKUP(L39,'Auxiliar Compras'!A:D,4,FALSE)</f>
        <v>0</v>
      </c>
      <c r="T39" s="30">
        <f ca="1">VLOOKUP(L39,'Auxiliar Compras'!A:C,3,FALSE)</f>
        <v>0.4</v>
      </c>
      <c r="U39" s="61">
        <f t="shared" ca="1" si="8"/>
        <v>0.4</v>
      </c>
      <c r="V39" s="33">
        <f t="shared" ca="1" si="9"/>
        <v>1532.22</v>
      </c>
      <c r="W39" s="42" t="str">
        <f>VLOOKUP(MONTH(Tabela2[[#This Row],[Data]]),'Auxiliar Compras'!I:J,2,FALSE)</f>
        <v>Dez</v>
      </c>
      <c r="X39" s="43">
        <f>YEAR(Tabela2[[#This Row],[Data]])</f>
        <v>2021</v>
      </c>
    </row>
    <row r="40" spans="1:24">
      <c r="A40">
        <v>15657315090</v>
      </c>
      <c r="B40">
        <v>37</v>
      </c>
      <c r="C40" s="1">
        <v>44552</v>
      </c>
      <c r="D40">
        <v>15506057572</v>
      </c>
      <c r="E40" t="str">
        <f t="shared" ca="1" si="2"/>
        <v>Comprador 02</v>
      </c>
      <c r="F40">
        <v>0</v>
      </c>
      <c r="H40" t="s">
        <v>42</v>
      </c>
      <c r="I40">
        <v>15657228743</v>
      </c>
      <c r="J40" t="s">
        <v>421</v>
      </c>
      <c r="L40" t="str">
        <f t="shared" ca="1" si="3"/>
        <v>Produto 10</v>
      </c>
      <c r="M40" s="3">
        <v>1</v>
      </c>
      <c r="N40" s="62">
        <v>5460</v>
      </c>
      <c r="O40" t="s">
        <v>408</v>
      </c>
      <c r="P40">
        <v>0</v>
      </c>
      <c r="Q40" s="64" t="s">
        <v>422</v>
      </c>
      <c r="R40" s="30" t="str">
        <f ca="1">VLOOKUP(L40,'Auxiliar Compras'!A:B,2,FALSE)</f>
        <v>Produto 10</v>
      </c>
      <c r="S40" s="32">
        <f ca="1">VLOOKUP(L40,'Auxiliar Compras'!A:D,4,FALSE)</f>
        <v>0</v>
      </c>
      <c r="T40" s="30">
        <f ca="1">VLOOKUP(L40,'Auxiliar Compras'!A:C,3,FALSE)</f>
        <v>1</v>
      </c>
      <c r="U40" s="61">
        <f t="shared" ca="1" si="8"/>
        <v>1</v>
      </c>
      <c r="V40" s="33">
        <f t="shared" ca="1" si="9"/>
        <v>5460</v>
      </c>
      <c r="W40" s="42" t="str">
        <f>VLOOKUP(MONTH(Tabela2[[#This Row],[Data]]),'Auxiliar Compras'!I:J,2,FALSE)</f>
        <v>Dez</v>
      </c>
      <c r="X40" s="43">
        <f>YEAR(Tabela2[[#This Row],[Data]])</f>
        <v>2021</v>
      </c>
    </row>
    <row r="41" spans="1:24">
      <c r="A41">
        <v>15657315090</v>
      </c>
      <c r="B41">
        <v>37</v>
      </c>
      <c r="C41" s="1">
        <v>44552</v>
      </c>
      <c r="D41">
        <v>15506057572</v>
      </c>
      <c r="E41" t="str">
        <f t="shared" ca="1" si="2"/>
        <v>Comprador 02</v>
      </c>
      <c r="F41">
        <v>0</v>
      </c>
      <c r="H41" t="s">
        <v>42</v>
      </c>
      <c r="I41">
        <v>15657228743</v>
      </c>
      <c r="J41" t="s">
        <v>421</v>
      </c>
      <c r="L41" t="str">
        <f t="shared" ca="1" si="3"/>
        <v>Produto 10</v>
      </c>
      <c r="M41" s="3">
        <v>1</v>
      </c>
      <c r="N41" s="62">
        <v>2940</v>
      </c>
      <c r="O41" t="s">
        <v>408</v>
      </c>
      <c r="P41">
        <v>0</v>
      </c>
      <c r="Q41" s="64" t="s">
        <v>422</v>
      </c>
      <c r="R41" s="30" t="str">
        <f ca="1">VLOOKUP(L41,'Auxiliar Compras'!A:B,2,FALSE)</f>
        <v>Produto 10</v>
      </c>
      <c r="S41" s="32">
        <f ca="1">VLOOKUP(L41,'Auxiliar Compras'!A:D,4,FALSE)</f>
        <v>0</v>
      </c>
      <c r="T41" s="30">
        <f ca="1">VLOOKUP(L41,'Auxiliar Compras'!A:C,3,FALSE)</f>
        <v>1</v>
      </c>
      <c r="U41" s="61">
        <f t="shared" ca="1" si="8"/>
        <v>1</v>
      </c>
      <c r="V41" s="33">
        <f t="shared" ca="1" si="9"/>
        <v>2940</v>
      </c>
      <c r="W41" s="42" t="str">
        <f>VLOOKUP(MONTH(Tabela2[[#This Row],[Data]]),'Auxiliar Compras'!I:J,2,FALSE)</f>
        <v>Dez</v>
      </c>
      <c r="X41" s="43">
        <f>YEAR(Tabela2[[#This Row],[Data]])</f>
        <v>2021</v>
      </c>
    </row>
    <row r="42" spans="1:24">
      <c r="A42">
        <v>15664190124</v>
      </c>
      <c r="B42">
        <v>38</v>
      </c>
      <c r="C42" s="1">
        <v>44553</v>
      </c>
      <c r="D42">
        <v>14772821922</v>
      </c>
      <c r="E42" t="str">
        <f t="shared" ca="1" si="2"/>
        <v>Comprador 16</v>
      </c>
      <c r="F42">
        <v>0</v>
      </c>
      <c r="H42" t="s">
        <v>42</v>
      </c>
      <c r="I42">
        <v>14980702561</v>
      </c>
      <c r="J42" t="s">
        <v>409</v>
      </c>
      <c r="L42" t="str">
        <f t="shared" ca="1" si="3"/>
        <v>Produto 08</v>
      </c>
      <c r="M42" s="3">
        <v>15214</v>
      </c>
      <c r="N42" s="62">
        <v>9.1</v>
      </c>
      <c r="O42" t="s">
        <v>408</v>
      </c>
      <c r="P42">
        <v>0</v>
      </c>
      <c r="Q42" s="64">
        <v>5138</v>
      </c>
      <c r="R42" s="30" t="str">
        <f ca="1">VLOOKUP(L42,'Auxiliar Compras'!A:B,2,FALSE)</f>
        <v>Produto 08</v>
      </c>
      <c r="S42" s="32">
        <f ca="1">VLOOKUP(L42,'Auxiliar Compras'!A:D,4,FALSE)</f>
        <v>0</v>
      </c>
      <c r="T42" s="30">
        <f ca="1">VLOOKUP(L42,'Auxiliar Compras'!A:C,3,FALSE)</f>
        <v>1</v>
      </c>
      <c r="U42" s="61">
        <f t="shared" ca="1" si="8"/>
        <v>15214</v>
      </c>
      <c r="V42" s="33">
        <f t="shared" ca="1" si="9"/>
        <v>138447.4</v>
      </c>
      <c r="W42" s="42" t="str">
        <f>VLOOKUP(MONTH(Tabela2[[#This Row],[Data]]),'Auxiliar Compras'!I:J,2,FALSE)</f>
        <v>Dez</v>
      </c>
      <c r="X42" s="43">
        <f>YEAR(Tabela2[[#This Row],[Data]])</f>
        <v>2021</v>
      </c>
    </row>
    <row r="43" spans="1:24">
      <c r="A43">
        <v>15765793815</v>
      </c>
      <c r="B43">
        <v>39</v>
      </c>
      <c r="C43" s="1">
        <v>44568</v>
      </c>
      <c r="D43">
        <v>15612894064</v>
      </c>
      <c r="E43" t="str">
        <f t="shared" ca="1" si="2"/>
        <v>Comprador 06</v>
      </c>
      <c r="F43">
        <v>0</v>
      </c>
      <c r="H43" t="s">
        <v>42</v>
      </c>
      <c r="I43">
        <v>15505704439</v>
      </c>
      <c r="J43" t="s">
        <v>503</v>
      </c>
      <c r="L43" t="str">
        <f t="shared" ca="1" si="3"/>
        <v>Produto 01</v>
      </c>
      <c r="M43" s="3">
        <v>20402</v>
      </c>
      <c r="N43" s="62">
        <v>0.25</v>
      </c>
      <c r="O43" t="s">
        <v>408</v>
      </c>
      <c r="P43">
        <v>0</v>
      </c>
      <c r="Q43" s="64" t="s">
        <v>504</v>
      </c>
      <c r="R43" s="30" t="str">
        <f ca="1">VLOOKUP(L43,'Auxiliar Compras'!A:B,2,FALSE)</f>
        <v>Produto 01</v>
      </c>
      <c r="S43" s="32">
        <f ca="1">VLOOKUP(L43,'Auxiliar Compras'!A:D,4,FALSE)</f>
        <v>0</v>
      </c>
      <c r="T43" s="30">
        <f ca="1">VLOOKUP(L43,'Auxiliar Compras'!A:C,3,FALSE)</f>
        <v>1.1000000000000001</v>
      </c>
      <c r="U43" s="61">
        <f t="shared" ca="1" si="8"/>
        <v>22442.2</v>
      </c>
      <c r="V43" s="33">
        <f t="shared" ca="1" si="9"/>
        <v>5100.5</v>
      </c>
      <c r="W43" s="42" t="str">
        <f>VLOOKUP(MONTH(Tabela2[[#This Row],[Data]]),'Auxiliar Compras'!I:J,2,FALSE)</f>
        <v>Jan</v>
      </c>
      <c r="X43" s="43">
        <f>YEAR(Tabela2[[#This Row],[Data]])</f>
        <v>2022</v>
      </c>
    </row>
    <row r="44" spans="1:24">
      <c r="A44">
        <v>15765833563</v>
      </c>
      <c r="B44">
        <v>40</v>
      </c>
      <c r="C44" s="1">
        <v>44568</v>
      </c>
      <c r="D44">
        <v>15615465528</v>
      </c>
      <c r="E44" t="str">
        <f t="shared" ca="1" si="2"/>
        <v>Comprador 08</v>
      </c>
      <c r="F44">
        <v>0</v>
      </c>
      <c r="H44" t="s">
        <v>42</v>
      </c>
      <c r="I44">
        <v>14981306750</v>
      </c>
      <c r="J44" t="s">
        <v>410</v>
      </c>
      <c r="L44" t="str">
        <f t="shared" ca="1" si="3"/>
        <v>Produto 12</v>
      </c>
      <c r="M44" s="3">
        <v>4</v>
      </c>
      <c r="N44" s="62">
        <v>150</v>
      </c>
      <c r="O44" t="s">
        <v>411</v>
      </c>
      <c r="P44">
        <v>0</v>
      </c>
      <c r="Q44" s="64">
        <v>5191</v>
      </c>
      <c r="R44" s="30" t="str">
        <f ca="1">VLOOKUP(L44,'Auxiliar Compras'!A:B,2,FALSE)</f>
        <v>Produto 12</v>
      </c>
      <c r="S44" s="32">
        <f ca="1">VLOOKUP(L44,'Auxiliar Compras'!A:D,4,FALSE)</f>
        <v>0</v>
      </c>
      <c r="T44" s="30">
        <f ca="1">VLOOKUP(L44,'Auxiliar Compras'!A:C,3,FALSE)</f>
        <v>1</v>
      </c>
      <c r="U44" s="61">
        <f t="shared" ca="1" si="8"/>
        <v>4</v>
      </c>
      <c r="V44" s="33">
        <f t="shared" ca="1" si="9"/>
        <v>600</v>
      </c>
      <c r="W44" s="42" t="str">
        <f>VLOOKUP(MONTH(Tabela2[[#This Row],[Data]]),'Auxiliar Compras'!I:J,2,FALSE)</f>
        <v>Jan</v>
      </c>
      <c r="X44" s="43">
        <f>YEAR(Tabela2[[#This Row],[Data]])</f>
        <v>2022</v>
      </c>
    </row>
    <row r="45" spans="1:24">
      <c r="A45">
        <v>15767585396</v>
      </c>
      <c r="B45">
        <v>41</v>
      </c>
      <c r="C45" s="1">
        <v>44568</v>
      </c>
      <c r="D45">
        <v>15615669447</v>
      </c>
      <c r="E45" t="str">
        <f t="shared" ca="1" si="2"/>
        <v>Comprador 17</v>
      </c>
      <c r="F45">
        <v>0</v>
      </c>
      <c r="H45" t="s">
        <v>42</v>
      </c>
      <c r="I45">
        <v>15515026542</v>
      </c>
      <c r="J45" t="s">
        <v>505</v>
      </c>
      <c r="L45" t="str">
        <f t="shared" ca="1" si="3"/>
        <v>Produto 01</v>
      </c>
      <c r="M45" s="3">
        <v>2</v>
      </c>
      <c r="N45" s="62">
        <v>335</v>
      </c>
      <c r="O45" t="s">
        <v>506</v>
      </c>
      <c r="P45">
        <v>0</v>
      </c>
      <c r="Q45" s="64">
        <v>5193</v>
      </c>
      <c r="R45" s="30" t="str">
        <f ca="1">VLOOKUP(L45,'Auxiliar Compras'!A:B,2,FALSE)</f>
        <v>Produto 01</v>
      </c>
      <c r="S45" s="32">
        <f ca="1">VLOOKUP(L45,'Auxiliar Compras'!A:D,4,FALSE)</f>
        <v>0</v>
      </c>
      <c r="T45" s="30">
        <f ca="1">VLOOKUP(L45,'Auxiliar Compras'!A:C,3,FALSE)</f>
        <v>1.1000000000000001</v>
      </c>
      <c r="U45" s="61">
        <f t="shared" ca="1" si="8"/>
        <v>2.2000000000000002</v>
      </c>
      <c r="V45" s="33">
        <f t="shared" ca="1" si="9"/>
        <v>670</v>
      </c>
      <c r="W45" s="42" t="str">
        <f>VLOOKUP(MONTH(Tabela2[[#This Row],[Data]]),'Auxiliar Compras'!I:J,2,FALSE)</f>
        <v>Jan</v>
      </c>
      <c r="X45" s="43">
        <f>YEAR(Tabela2[[#This Row],[Data]])</f>
        <v>2022</v>
      </c>
    </row>
    <row r="46" spans="1:24">
      <c r="A46">
        <v>15786585521</v>
      </c>
      <c r="B46">
        <v>42</v>
      </c>
      <c r="C46" s="1">
        <v>44571</v>
      </c>
      <c r="D46">
        <v>15478914765</v>
      </c>
      <c r="E46" t="str">
        <f t="shared" ca="1" si="2"/>
        <v>Comprador 18</v>
      </c>
      <c r="F46">
        <v>0</v>
      </c>
      <c r="H46" t="s">
        <v>42</v>
      </c>
      <c r="I46">
        <v>15290493701</v>
      </c>
      <c r="J46" t="s">
        <v>291</v>
      </c>
      <c r="L46" t="str">
        <f t="shared" ca="1" si="3"/>
        <v>Produto 01</v>
      </c>
      <c r="M46" s="3">
        <v>500</v>
      </c>
      <c r="N46" s="62">
        <v>6.46</v>
      </c>
      <c r="O46" t="s">
        <v>406</v>
      </c>
      <c r="P46">
        <v>0</v>
      </c>
      <c r="Q46" s="64">
        <v>5213</v>
      </c>
      <c r="R46" s="30" t="str">
        <f ca="1">VLOOKUP(L46,'Auxiliar Compras'!A:B,2,FALSE)</f>
        <v>Produto 01</v>
      </c>
      <c r="S46" s="32">
        <f ca="1">VLOOKUP(L46,'Auxiliar Compras'!A:D,4,FALSE)</f>
        <v>0</v>
      </c>
      <c r="T46" s="30">
        <f ca="1">VLOOKUP(L46,'Auxiliar Compras'!A:C,3,FALSE)</f>
        <v>1.1000000000000001</v>
      </c>
      <c r="U46" s="61">
        <f t="shared" ca="1" si="8"/>
        <v>550</v>
      </c>
      <c r="V46" s="33">
        <f t="shared" ca="1" si="9"/>
        <v>3230</v>
      </c>
      <c r="W46" s="42" t="str">
        <f>VLOOKUP(MONTH(Tabela2[[#This Row],[Data]]),'Auxiliar Compras'!I:J,2,FALSE)</f>
        <v>Jan</v>
      </c>
      <c r="X46" s="43">
        <f>YEAR(Tabela2[[#This Row],[Data]])</f>
        <v>2022</v>
      </c>
    </row>
    <row r="47" spans="1:24">
      <c r="A47">
        <v>15786585521</v>
      </c>
      <c r="B47">
        <v>42</v>
      </c>
      <c r="C47" s="1">
        <v>44571</v>
      </c>
      <c r="D47">
        <v>15478914765</v>
      </c>
      <c r="E47" t="str">
        <f t="shared" ca="1" si="2"/>
        <v>Comprador 05</v>
      </c>
      <c r="F47">
        <v>0</v>
      </c>
      <c r="H47" t="s">
        <v>42</v>
      </c>
      <c r="I47">
        <v>15395751673</v>
      </c>
      <c r="J47" t="s">
        <v>268</v>
      </c>
      <c r="L47" t="str">
        <f t="shared" ca="1" si="3"/>
        <v>Produto 11</v>
      </c>
      <c r="M47" s="3">
        <v>1000</v>
      </c>
      <c r="N47" s="62">
        <v>7.14</v>
      </c>
      <c r="O47" t="s">
        <v>406</v>
      </c>
      <c r="P47">
        <v>0</v>
      </c>
      <c r="Q47" s="64">
        <v>5213</v>
      </c>
      <c r="R47" s="30" t="str">
        <f ca="1">VLOOKUP(L47,'Auxiliar Compras'!A:B,2,FALSE)</f>
        <v>Produto 11</v>
      </c>
      <c r="S47" s="32">
        <f ca="1">VLOOKUP(L47,'Auxiliar Compras'!A:D,4,FALSE)</f>
        <v>0</v>
      </c>
      <c r="T47" s="30">
        <f ca="1">VLOOKUP(L47,'Auxiliar Compras'!A:C,3,FALSE)</f>
        <v>1</v>
      </c>
      <c r="U47" s="61">
        <f t="shared" ca="1" si="8"/>
        <v>1000</v>
      </c>
      <c r="V47" s="33">
        <f t="shared" ca="1" si="9"/>
        <v>7140</v>
      </c>
      <c r="W47" s="42" t="str">
        <f>VLOOKUP(MONTH(Tabela2[[#This Row],[Data]]),'Auxiliar Compras'!I:J,2,FALSE)</f>
        <v>Jan</v>
      </c>
      <c r="X47" s="43">
        <f>YEAR(Tabela2[[#This Row],[Data]])</f>
        <v>2022</v>
      </c>
    </row>
    <row r="48" spans="1:24">
      <c r="A48">
        <v>15786665795</v>
      </c>
      <c r="B48">
        <v>43</v>
      </c>
      <c r="C48" s="1">
        <v>44571</v>
      </c>
      <c r="D48">
        <v>14979221560</v>
      </c>
      <c r="E48" t="str">
        <f t="shared" ca="1" si="2"/>
        <v>Comprador 13</v>
      </c>
      <c r="F48">
        <v>0</v>
      </c>
      <c r="H48" t="s">
        <v>42</v>
      </c>
      <c r="I48">
        <v>14979354095</v>
      </c>
      <c r="J48" t="s">
        <v>413</v>
      </c>
      <c r="K48">
        <v>50790031</v>
      </c>
      <c r="L48" t="str">
        <f t="shared" ca="1" si="3"/>
        <v>Produto 03</v>
      </c>
      <c r="M48" s="3">
        <v>15214</v>
      </c>
      <c r="N48" s="62">
        <v>0.18</v>
      </c>
      <c r="O48" t="s">
        <v>414</v>
      </c>
      <c r="P48">
        <v>0</v>
      </c>
      <c r="Q48" s="64">
        <v>5215</v>
      </c>
      <c r="R48" s="30" t="str">
        <f ca="1">VLOOKUP(L48,'Auxiliar Compras'!A:B,2,FALSE)</f>
        <v>Produto 03</v>
      </c>
      <c r="S48" s="57">
        <f ca="1">VLOOKUP(L48,'Auxiliar Compras'!A:D,4,FALSE)</f>
        <v>0.05</v>
      </c>
      <c r="T48" s="30">
        <f ca="1">VLOOKUP(L48,'Auxiliar Compras'!A:C,3,FALSE)</f>
        <v>1</v>
      </c>
      <c r="U48" s="61">
        <f t="shared" ca="1" si="8"/>
        <v>15214</v>
      </c>
      <c r="V48" s="58">
        <f t="shared" ca="1" si="9"/>
        <v>2875.4459999999999</v>
      </c>
      <c r="W48" s="59" t="str">
        <f>VLOOKUP(MONTH(Tabela2[[#This Row],[Data]]),'Auxiliar Compras'!I:J,2,FALSE)</f>
        <v>Jan</v>
      </c>
      <c r="X48" s="60">
        <f>YEAR(Tabela2[[#This Row],[Data]])</f>
        <v>2022</v>
      </c>
    </row>
    <row r="49" spans="1:24">
      <c r="A49">
        <v>15804839090</v>
      </c>
      <c r="B49">
        <v>44</v>
      </c>
      <c r="C49" s="1">
        <v>44573</v>
      </c>
      <c r="D49">
        <v>15139603329</v>
      </c>
      <c r="E49" t="str">
        <f t="shared" ca="1" si="2"/>
        <v>Comprador 05</v>
      </c>
      <c r="F49">
        <v>0</v>
      </c>
      <c r="H49" t="s">
        <v>42</v>
      </c>
      <c r="I49">
        <v>15016073255</v>
      </c>
      <c r="J49" t="s">
        <v>160</v>
      </c>
      <c r="L49" t="str">
        <f t="shared" ca="1" si="3"/>
        <v>Produto 01</v>
      </c>
      <c r="M49" s="3">
        <v>6720</v>
      </c>
      <c r="N49" s="63">
        <v>13.9</v>
      </c>
      <c r="O49" s="7" t="s">
        <v>406</v>
      </c>
      <c r="P49" s="19">
        <v>0</v>
      </c>
      <c r="Q49" s="64">
        <v>5225</v>
      </c>
      <c r="R49" s="30" t="str">
        <f ca="1">VLOOKUP(L49,'Auxiliar Compras'!A:B,2,FALSE)</f>
        <v>Produto 01</v>
      </c>
      <c r="S49" s="57">
        <f ca="1">VLOOKUP(L49,'Auxiliar Compras'!A:D,4,FALSE)</f>
        <v>0</v>
      </c>
      <c r="T49" s="30">
        <f ca="1">VLOOKUP(L49,'Auxiliar Compras'!A:C,3,FALSE)</f>
        <v>1.1000000000000001</v>
      </c>
      <c r="U49" s="61">
        <f t="shared" ca="1" si="8"/>
        <v>7392.0000000000009</v>
      </c>
      <c r="V49" s="58">
        <f t="shared" ca="1" si="9"/>
        <v>93408</v>
      </c>
      <c r="W49" s="59" t="str">
        <f>VLOOKUP(MONTH(Tabela2[[#This Row],[Data]]),'Auxiliar Compras'!I:J,2,FALSE)</f>
        <v>Jan</v>
      </c>
      <c r="X49" s="60">
        <f>YEAR(Tabela2[[#This Row],[Data]])</f>
        <v>2022</v>
      </c>
    </row>
    <row r="50" spans="1:24">
      <c r="A50">
        <v>15804839090</v>
      </c>
      <c r="B50">
        <v>44</v>
      </c>
      <c r="C50" s="1">
        <v>44573</v>
      </c>
      <c r="D50">
        <v>15139603329</v>
      </c>
      <c r="E50" t="str">
        <f t="shared" ca="1" si="2"/>
        <v>Comprador 01</v>
      </c>
      <c r="F50">
        <v>0</v>
      </c>
      <c r="H50" t="s">
        <v>42</v>
      </c>
      <c r="I50">
        <v>15016093155</v>
      </c>
      <c r="J50" t="s">
        <v>65</v>
      </c>
      <c r="L50" t="str">
        <f t="shared" ca="1" si="3"/>
        <v>Produto 14</v>
      </c>
      <c r="M50" s="3">
        <v>350</v>
      </c>
      <c r="N50" s="63">
        <v>21.1</v>
      </c>
      <c r="O50" s="7" t="s">
        <v>406</v>
      </c>
      <c r="P50" s="19">
        <v>0</v>
      </c>
      <c r="Q50" s="64">
        <v>5225</v>
      </c>
      <c r="R50" s="30" t="str">
        <f ca="1">VLOOKUP(L50,'Auxiliar Compras'!A:B,2,FALSE)</f>
        <v>Produto 14</v>
      </c>
      <c r="S50" s="57">
        <f ca="1">VLOOKUP(L50,'Auxiliar Compras'!A:D,4,FALSE)</f>
        <v>0</v>
      </c>
      <c r="T50" s="30">
        <f ca="1">VLOOKUP(L50,'Auxiliar Compras'!A:C,3,FALSE)</f>
        <v>1.68</v>
      </c>
      <c r="U50" s="61">
        <f t="shared" ca="1" si="8"/>
        <v>588</v>
      </c>
      <c r="V50" s="58">
        <f t="shared" ca="1" si="9"/>
        <v>7385.0000000000009</v>
      </c>
      <c r="W50" s="59" t="str">
        <f>VLOOKUP(MONTH(Tabela2[[#This Row],[Data]]),'Auxiliar Compras'!I:J,2,FALSE)</f>
        <v>Jan</v>
      </c>
      <c r="X50" s="60">
        <f>YEAR(Tabela2[[#This Row],[Data]])</f>
        <v>2022</v>
      </c>
    </row>
    <row r="51" spans="1:24">
      <c r="A51">
        <v>15804839090</v>
      </c>
      <c r="B51">
        <v>44</v>
      </c>
      <c r="C51" s="1">
        <v>44573</v>
      </c>
      <c r="D51">
        <v>15139603329</v>
      </c>
      <c r="E51" t="str">
        <f t="shared" ca="1" si="2"/>
        <v>Comprador 18</v>
      </c>
      <c r="F51">
        <v>0</v>
      </c>
      <c r="H51" t="s">
        <v>42</v>
      </c>
      <c r="I51">
        <v>15139667431</v>
      </c>
      <c r="J51" t="s">
        <v>145</v>
      </c>
      <c r="L51" t="str">
        <f t="shared" ca="1" si="3"/>
        <v>Produto 10</v>
      </c>
      <c r="M51" s="3">
        <v>300</v>
      </c>
      <c r="N51" s="63">
        <v>23.5</v>
      </c>
      <c r="O51" s="7" t="s">
        <v>406</v>
      </c>
      <c r="P51" s="19">
        <v>0</v>
      </c>
      <c r="Q51" s="64">
        <v>5225</v>
      </c>
      <c r="R51" s="30" t="str">
        <f ca="1">VLOOKUP(L51,'Auxiliar Compras'!A:B,2,FALSE)</f>
        <v>Produto 10</v>
      </c>
      <c r="S51" s="57">
        <f ca="1">VLOOKUP(L51,'Auxiliar Compras'!A:D,4,FALSE)</f>
        <v>0</v>
      </c>
      <c r="T51" s="30">
        <f ca="1">VLOOKUP(L51,'Auxiliar Compras'!A:C,3,FALSE)</f>
        <v>1</v>
      </c>
      <c r="U51" s="61">
        <f t="shared" ca="1" si="8"/>
        <v>300</v>
      </c>
      <c r="V51" s="58">
        <f t="shared" ca="1" si="9"/>
        <v>7050</v>
      </c>
      <c r="W51" s="59" t="str">
        <f>VLOOKUP(MONTH(Tabela2[[#This Row],[Data]]),'Auxiliar Compras'!I:J,2,FALSE)</f>
        <v>Jan</v>
      </c>
      <c r="X51" s="60">
        <f>YEAR(Tabela2[[#This Row],[Data]])</f>
        <v>2022</v>
      </c>
    </row>
    <row r="52" spans="1:24">
      <c r="A52">
        <v>15824177907</v>
      </c>
      <c r="B52">
        <v>45</v>
      </c>
      <c r="C52" s="1">
        <v>44575</v>
      </c>
      <c r="D52">
        <v>15139603329</v>
      </c>
      <c r="E52" t="str">
        <f t="shared" ca="1" si="2"/>
        <v>Comprador 09</v>
      </c>
      <c r="F52">
        <v>0</v>
      </c>
      <c r="H52" t="s">
        <v>42</v>
      </c>
      <c r="I52">
        <v>15016073255</v>
      </c>
      <c r="J52" t="s">
        <v>160</v>
      </c>
      <c r="L52" t="str">
        <f t="shared" ca="1" si="3"/>
        <v>Produto 03</v>
      </c>
      <c r="M52" s="3">
        <v>840</v>
      </c>
      <c r="N52" s="63">
        <v>14.2</v>
      </c>
      <c r="O52" s="7" t="s">
        <v>406</v>
      </c>
      <c r="P52" s="19">
        <v>0</v>
      </c>
      <c r="Q52" s="64">
        <v>4594</v>
      </c>
      <c r="R52" s="30" t="str">
        <f ca="1">VLOOKUP(L52,'Auxiliar Compras'!A:B,2,FALSE)</f>
        <v>Produto 03</v>
      </c>
      <c r="S52" s="57">
        <f ca="1">VLOOKUP(L52,'Auxiliar Compras'!A:D,4,FALSE)</f>
        <v>0.05</v>
      </c>
      <c r="T52" s="30">
        <f ca="1">VLOOKUP(L52,'Auxiliar Compras'!A:C,3,FALSE)</f>
        <v>1</v>
      </c>
      <c r="U52" s="61">
        <f t="shared" ca="1" si="8"/>
        <v>840</v>
      </c>
      <c r="V52" s="58">
        <f t="shared" ca="1" si="9"/>
        <v>12524.4</v>
      </c>
      <c r="W52" s="59" t="str">
        <f>VLOOKUP(MONTH(Tabela2[[#This Row],[Data]]),'Auxiliar Compras'!I:J,2,FALSE)</f>
        <v>Jan</v>
      </c>
      <c r="X52" s="60">
        <f>YEAR(Tabela2[[#This Row],[Data]])</f>
        <v>2022</v>
      </c>
    </row>
    <row r="53" spans="1:24">
      <c r="A53">
        <v>15824177907</v>
      </c>
      <c r="B53">
        <v>45</v>
      </c>
      <c r="C53" s="1">
        <v>44575</v>
      </c>
      <c r="D53">
        <v>15139603329</v>
      </c>
      <c r="E53" t="str">
        <f t="shared" ca="1" si="2"/>
        <v>Comprador 19</v>
      </c>
      <c r="F53">
        <v>0</v>
      </c>
      <c r="H53" t="s">
        <v>42</v>
      </c>
      <c r="I53">
        <v>15016093155</v>
      </c>
      <c r="J53" t="s">
        <v>65</v>
      </c>
      <c r="L53" t="str">
        <f t="shared" ca="1" si="3"/>
        <v>Produto 01</v>
      </c>
      <c r="M53" s="3">
        <v>1200</v>
      </c>
      <c r="N53" s="63">
        <v>22.25</v>
      </c>
      <c r="O53" s="7" t="s">
        <v>406</v>
      </c>
      <c r="P53" s="19">
        <v>0</v>
      </c>
      <c r="Q53" s="64">
        <v>4594</v>
      </c>
      <c r="R53" s="30" t="str">
        <f ca="1">VLOOKUP(L53,'Auxiliar Compras'!A:B,2,FALSE)</f>
        <v>Produto 01</v>
      </c>
      <c r="S53" s="57">
        <f ca="1">VLOOKUP(L53,'Auxiliar Compras'!A:D,4,FALSE)</f>
        <v>0</v>
      </c>
      <c r="T53" s="30">
        <f ca="1">VLOOKUP(L53,'Auxiliar Compras'!A:C,3,FALSE)</f>
        <v>1.1000000000000001</v>
      </c>
      <c r="U53" s="61">
        <f t="shared" ca="1" si="8"/>
        <v>1320</v>
      </c>
      <c r="V53" s="58">
        <f t="shared" ca="1" si="9"/>
        <v>26700</v>
      </c>
      <c r="W53" s="59" t="str">
        <f>VLOOKUP(MONTH(Tabela2[[#This Row],[Data]]),'Auxiliar Compras'!I:J,2,FALSE)</f>
        <v>Jan</v>
      </c>
      <c r="X53" s="60">
        <f>YEAR(Tabela2[[#This Row],[Data]])</f>
        <v>2022</v>
      </c>
    </row>
    <row r="54" spans="1:24">
      <c r="A54">
        <v>15824177907</v>
      </c>
      <c r="B54">
        <v>45</v>
      </c>
      <c r="C54" s="1">
        <v>44575</v>
      </c>
      <c r="D54">
        <v>15139603329</v>
      </c>
      <c r="E54" t="str">
        <f t="shared" ca="1" si="2"/>
        <v>Comprador 05</v>
      </c>
      <c r="F54">
        <v>0</v>
      </c>
      <c r="H54" t="s">
        <v>42</v>
      </c>
      <c r="I54">
        <v>15139667431</v>
      </c>
      <c r="J54" t="s">
        <v>145</v>
      </c>
      <c r="L54" t="str">
        <f t="shared" ca="1" si="3"/>
        <v>Produto 05</v>
      </c>
      <c r="M54" s="3">
        <v>1400</v>
      </c>
      <c r="N54" s="63">
        <v>19.850000000000001</v>
      </c>
      <c r="O54" s="7" t="s">
        <v>406</v>
      </c>
      <c r="P54" s="19">
        <v>0</v>
      </c>
      <c r="Q54" s="64">
        <v>4594</v>
      </c>
      <c r="R54" s="30" t="str">
        <f ca="1">VLOOKUP(L54,'Auxiliar Compras'!A:B,2,FALSE)</f>
        <v>Produto 05</v>
      </c>
      <c r="S54" s="57">
        <f ca="1">VLOOKUP(L54,'Auxiliar Compras'!A:D,4,FALSE)</f>
        <v>0</v>
      </c>
      <c r="T54" s="30">
        <f ca="1">VLOOKUP(L54,'Auxiliar Compras'!A:C,3,FALSE)</f>
        <v>1.42</v>
      </c>
      <c r="U54" s="61">
        <f t="shared" ca="1" si="8"/>
        <v>1988</v>
      </c>
      <c r="V54" s="58">
        <f t="shared" ca="1" si="9"/>
        <v>27790.000000000004</v>
      </c>
      <c r="W54" s="59" t="str">
        <f>VLOOKUP(MONTH(Tabela2[[#This Row],[Data]]),'Auxiliar Compras'!I:J,2,FALSE)</f>
        <v>Jan</v>
      </c>
      <c r="X54" s="60">
        <f>YEAR(Tabela2[[#This Row],[Data]])</f>
        <v>2022</v>
      </c>
    </row>
    <row r="55" spans="1:24">
      <c r="A55">
        <v>15824177907</v>
      </c>
      <c r="B55">
        <v>45</v>
      </c>
      <c r="C55" s="1">
        <v>44575</v>
      </c>
      <c r="D55">
        <v>15139603329</v>
      </c>
      <c r="E55" t="str">
        <f t="shared" ca="1" si="2"/>
        <v>Comprador 18</v>
      </c>
      <c r="F55">
        <v>0</v>
      </c>
      <c r="H55" t="s">
        <v>42</v>
      </c>
      <c r="I55">
        <v>15016066088</v>
      </c>
      <c r="J55" t="s">
        <v>126</v>
      </c>
      <c r="L55" t="str">
        <f t="shared" ca="1" si="3"/>
        <v>Produto 12</v>
      </c>
      <c r="M55" s="3">
        <v>840</v>
      </c>
      <c r="N55" s="63">
        <v>13</v>
      </c>
      <c r="O55" s="7" t="s">
        <v>406</v>
      </c>
      <c r="P55" s="19">
        <v>0</v>
      </c>
      <c r="Q55" s="64">
        <v>4594</v>
      </c>
      <c r="R55" s="30" t="str">
        <f ca="1">VLOOKUP(L55,'Auxiliar Compras'!A:B,2,FALSE)</f>
        <v>Produto 12</v>
      </c>
      <c r="S55" s="57">
        <f ca="1">VLOOKUP(L55,'Auxiliar Compras'!A:D,4,FALSE)</f>
        <v>0</v>
      </c>
      <c r="T55" s="30">
        <f ca="1">VLOOKUP(L55,'Auxiliar Compras'!A:C,3,FALSE)</f>
        <v>1</v>
      </c>
      <c r="U55" s="61">
        <f t="shared" ca="1" si="8"/>
        <v>840</v>
      </c>
      <c r="V55" s="58">
        <f t="shared" ca="1" si="9"/>
        <v>10920</v>
      </c>
      <c r="W55" s="59" t="str">
        <f>VLOOKUP(MONTH(Tabela2[[#This Row],[Data]]),'Auxiliar Compras'!I:J,2,FALSE)</f>
        <v>Jan</v>
      </c>
      <c r="X55" s="60">
        <f>YEAR(Tabela2[[#This Row],[Data]])</f>
        <v>2022</v>
      </c>
    </row>
    <row r="56" spans="1:24">
      <c r="A56">
        <v>15824237214</v>
      </c>
      <c r="B56">
        <v>46</v>
      </c>
      <c r="C56" s="1">
        <v>44575</v>
      </c>
      <c r="D56">
        <v>15139603329</v>
      </c>
      <c r="E56" t="str">
        <f t="shared" ca="1" si="2"/>
        <v>Comprador 16</v>
      </c>
      <c r="F56">
        <v>0</v>
      </c>
      <c r="H56" t="s">
        <v>42</v>
      </c>
      <c r="I56">
        <v>15016073255</v>
      </c>
      <c r="J56" t="s">
        <v>160</v>
      </c>
      <c r="L56" t="str">
        <f t="shared" ca="1" si="3"/>
        <v>Produto 08</v>
      </c>
      <c r="M56" s="3">
        <v>2520</v>
      </c>
      <c r="N56" s="63">
        <v>14.2</v>
      </c>
      <c r="O56" s="7" t="s">
        <v>406</v>
      </c>
      <c r="P56" s="19">
        <v>0</v>
      </c>
      <c r="Q56" s="64">
        <v>4741</v>
      </c>
      <c r="R56" s="30" t="str">
        <f ca="1">VLOOKUP(L56,'Auxiliar Compras'!A:B,2,FALSE)</f>
        <v>Produto 08</v>
      </c>
      <c r="S56" s="57">
        <f ca="1">VLOOKUP(L56,'Auxiliar Compras'!A:D,4,FALSE)</f>
        <v>0</v>
      </c>
      <c r="T56" s="30">
        <f ca="1">VLOOKUP(L56,'Auxiliar Compras'!A:C,3,FALSE)</f>
        <v>1</v>
      </c>
      <c r="U56" s="61">
        <f t="shared" ca="1" si="8"/>
        <v>2520</v>
      </c>
      <c r="V56" s="58">
        <f t="shared" ca="1" si="9"/>
        <v>35784</v>
      </c>
      <c r="W56" s="59" t="str">
        <f>VLOOKUP(MONTH(Tabela2[[#This Row],[Data]]),'Auxiliar Compras'!I:J,2,FALSE)</f>
        <v>Jan</v>
      </c>
      <c r="X56" s="60">
        <f>YEAR(Tabela2[[#This Row],[Data]])</f>
        <v>2022</v>
      </c>
    </row>
    <row r="57" spans="1:24">
      <c r="A57">
        <v>15824299611</v>
      </c>
      <c r="B57">
        <v>47</v>
      </c>
      <c r="C57" s="1">
        <v>44575</v>
      </c>
      <c r="D57">
        <v>14772879804</v>
      </c>
      <c r="E57" t="str">
        <f t="shared" ca="1" si="2"/>
        <v>Comprador 05</v>
      </c>
      <c r="F57">
        <v>0</v>
      </c>
      <c r="H57" t="s">
        <v>42</v>
      </c>
      <c r="I57">
        <v>14981313809</v>
      </c>
      <c r="J57" t="s">
        <v>407</v>
      </c>
      <c r="L57" t="str">
        <f t="shared" ca="1" si="3"/>
        <v>Produto 06</v>
      </c>
      <c r="M57" s="3">
        <v>2349</v>
      </c>
      <c r="N57" s="63">
        <v>10.5</v>
      </c>
      <c r="O57" s="7" t="s">
        <v>408</v>
      </c>
      <c r="P57" s="19">
        <v>0</v>
      </c>
      <c r="Q57" s="64">
        <v>4317</v>
      </c>
      <c r="R57" s="30" t="str">
        <f ca="1">VLOOKUP(L57,'Auxiliar Compras'!A:B,2,FALSE)</f>
        <v>Produto 06</v>
      </c>
      <c r="S57" s="57">
        <f ca="1">VLOOKUP(L57,'Auxiliar Compras'!A:D,4,FALSE)</f>
        <v>0</v>
      </c>
      <c r="T57" s="30">
        <f ca="1">VLOOKUP(L57,'Auxiliar Compras'!A:C,3,FALSE)</f>
        <v>1.1000000000000001</v>
      </c>
      <c r="U57" s="61">
        <f t="shared" ca="1" si="8"/>
        <v>2583.9</v>
      </c>
      <c r="V57" s="58">
        <f t="shared" ca="1" si="9"/>
        <v>24664.5</v>
      </c>
      <c r="W57" s="59" t="str">
        <f>VLOOKUP(MONTH(Tabela2[[#This Row],[Data]]),'Auxiliar Compras'!I:J,2,FALSE)</f>
        <v>Jan</v>
      </c>
      <c r="X57" s="60">
        <f>YEAR(Tabela2[[#This Row],[Data]])</f>
        <v>2022</v>
      </c>
    </row>
    <row r="58" spans="1:24">
      <c r="A58">
        <v>15824299611</v>
      </c>
      <c r="B58">
        <v>47</v>
      </c>
      <c r="C58" s="1">
        <v>44575</v>
      </c>
      <c r="D58">
        <v>14772879804</v>
      </c>
      <c r="E58" t="str">
        <f t="shared" ca="1" si="2"/>
        <v>Comprador 10</v>
      </c>
      <c r="F58">
        <v>0</v>
      </c>
      <c r="H58" t="s">
        <v>42</v>
      </c>
      <c r="I58">
        <v>14981313809</v>
      </c>
      <c r="J58" t="s">
        <v>407</v>
      </c>
      <c r="L58" t="str">
        <f t="shared" ca="1" si="3"/>
        <v>Produto 16</v>
      </c>
      <c r="M58" s="3">
        <v>6270</v>
      </c>
      <c r="N58" s="63">
        <v>10.6</v>
      </c>
      <c r="O58" s="7" t="s">
        <v>408</v>
      </c>
      <c r="P58" s="19">
        <v>0</v>
      </c>
      <c r="Q58" s="64">
        <v>4317</v>
      </c>
      <c r="R58" s="30" t="str">
        <f ca="1">VLOOKUP(L58,'Auxiliar Compras'!A:B,2,FALSE)</f>
        <v>Produto 16</v>
      </c>
      <c r="S58" s="57">
        <f ca="1">VLOOKUP(L58,'Auxiliar Compras'!A:D,4,FALSE)</f>
        <v>0.05</v>
      </c>
      <c r="T58" s="30">
        <f ca="1">VLOOKUP(L58,'Auxiliar Compras'!A:C,3,FALSE)</f>
        <v>1</v>
      </c>
      <c r="U58" s="61">
        <f t="shared" ca="1" si="8"/>
        <v>6270</v>
      </c>
      <c r="V58" s="58">
        <f t="shared" ca="1" si="9"/>
        <v>69785.100000000006</v>
      </c>
      <c r="W58" s="59" t="str">
        <f>VLOOKUP(MONTH(Tabela2[[#This Row],[Data]]),'Auxiliar Compras'!I:J,2,FALSE)</f>
        <v>Jan</v>
      </c>
      <c r="X58" s="60">
        <f>YEAR(Tabela2[[#This Row],[Data]])</f>
        <v>2022</v>
      </c>
    </row>
    <row r="59" spans="1:24">
      <c r="A59">
        <v>15824311715</v>
      </c>
      <c r="B59">
        <v>48</v>
      </c>
      <c r="C59" s="1">
        <v>44575</v>
      </c>
      <c r="D59">
        <v>14981313759</v>
      </c>
      <c r="E59" t="str">
        <f t="shared" ca="1" si="2"/>
        <v>Comprador 03</v>
      </c>
      <c r="F59">
        <v>0</v>
      </c>
      <c r="H59" t="s">
        <v>42</v>
      </c>
      <c r="I59">
        <v>14981313809</v>
      </c>
      <c r="J59" t="s">
        <v>407</v>
      </c>
      <c r="K59">
        <v>1277</v>
      </c>
      <c r="L59" t="str">
        <f t="shared" ca="1" si="3"/>
        <v>Produto 16</v>
      </c>
      <c r="M59" s="3">
        <v>7732</v>
      </c>
      <c r="N59" s="63">
        <v>9.35</v>
      </c>
      <c r="O59" s="7" t="s">
        <v>408</v>
      </c>
      <c r="P59" s="19">
        <v>0</v>
      </c>
      <c r="Q59" s="64">
        <v>4397</v>
      </c>
      <c r="R59" s="30" t="str">
        <f ca="1">VLOOKUP(L59,'Auxiliar Compras'!A:B,2,FALSE)</f>
        <v>Produto 16</v>
      </c>
      <c r="S59" s="57">
        <f ca="1">VLOOKUP(L59,'Auxiliar Compras'!A:D,4,FALSE)</f>
        <v>0.05</v>
      </c>
      <c r="T59" s="30">
        <f ca="1">VLOOKUP(L59,'Auxiliar Compras'!A:C,3,FALSE)</f>
        <v>1</v>
      </c>
      <c r="U59" s="61">
        <f t="shared" ca="1" si="8"/>
        <v>7732</v>
      </c>
      <c r="V59" s="58">
        <f t="shared" ca="1" si="9"/>
        <v>75908.91</v>
      </c>
      <c r="W59" s="59" t="str">
        <f>VLOOKUP(MONTH(Tabela2[[#This Row],[Data]]),'Auxiliar Compras'!I:J,2,FALSE)</f>
        <v>Jan</v>
      </c>
      <c r="X59" s="60">
        <f>YEAR(Tabela2[[#This Row],[Data]])</f>
        <v>2022</v>
      </c>
    </row>
    <row r="60" spans="1:24">
      <c r="A60">
        <v>15824338077</v>
      </c>
      <c r="B60">
        <v>49</v>
      </c>
      <c r="C60" s="1">
        <v>44575</v>
      </c>
      <c r="D60">
        <v>14981313759</v>
      </c>
      <c r="E60" t="str">
        <f t="shared" ca="1" si="2"/>
        <v>Comprador 20</v>
      </c>
      <c r="F60">
        <v>0</v>
      </c>
      <c r="H60" t="s">
        <v>42</v>
      </c>
      <c r="I60">
        <v>14980996381</v>
      </c>
      <c r="J60" t="s">
        <v>507</v>
      </c>
      <c r="L60" t="str">
        <f t="shared" ca="1" si="3"/>
        <v>Produto 12</v>
      </c>
      <c r="M60" s="3">
        <v>8378</v>
      </c>
      <c r="N60" s="63">
        <v>8.99</v>
      </c>
      <c r="O60" s="7" t="s">
        <v>408</v>
      </c>
      <c r="P60" s="19">
        <v>0</v>
      </c>
      <c r="Q60" s="64">
        <v>4540</v>
      </c>
      <c r="R60" s="30" t="str">
        <f ca="1">VLOOKUP(L60,'Auxiliar Compras'!A:B,2,FALSE)</f>
        <v>Produto 12</v>
      </c>
      <c r="S60" s="57">
        <f ca="1">VLOOKUP(L60,'Auxiliar Compras'!A:D,4,FALSE)</f>
        <v>0</v>
      </c>
      <c r="T60" s="30">
        <f ca="1">VLOOKUP(L60,'Auxiliar Compras'!A:C,3,FALSE)</f>
        <v>1</v>
      </c>
      <c r="U60" s="61">
        <f t="shared" ca="1" si="8"/>
        <v>8378</v>
      </c>
      <c r="V60" s="58">
        <f t="shared" ca="1" si="9"/>
        <v>75318.22</v>
      </c>
      <c r="W60" s="59" t="str">
        <f>VLOOKUP(MONTH(Tabela2[[#This Row],[Data]]),'Auxiliar Compras'!I:J,2,FALSE)</f>
        <v>Jan</v>
      </c>
      <c r="X60" s="60">
        <f>YEAR(Tabela2[[#This Row],[Data]])</f>
        <v>2022</v>
      </c>
    </row>
    <row r="61" spans="1:24">
      <c r="A61">
        <v>15824466620</v>
      </c>
      <c r="B61">
        <v>50</v>
      </c>
      <c r="C61" s="1">
        <v>44575</v>
      </c>
      <c r="D61">
        <v>15622257299</v>
      </c>
      <c r="E61" t="str">
        <f t="shared" ca="1" si="2"/>
        <v>Comprador 06</v>
      </c>
      <c r="F61">
        <v>0</v>
      </c>
      <c r="H61" t="s">
        <v>42</v>
      </c>
      <c r="I61">
        <v>14981313809</v>
      </c>
      <c r="J61" t="s">
        <v>407</v>
      </c>
      <c r="L61" t="str">
        <f t="shared" ca="1" si="3"/>
        <v>Produto 16</v>
      </c>
      <c r="M61" s="3">
        <v>4210</v>
      </c>
      <c r="N61" s="63">
        <v>9.1999999999999993</v>
      </c>
      <c r="O61" s="7" t="s">
        <v>408</v>
      </c>
      <c r="P61" s="19">
        <v>0</v>
      </c>
      <c r="Q61" s="64">
        <v>4814</v>
      </c>
      <c r="R61" s="30" t="str">
        <f ca="1">VLOOKUP(L61,'Auxiliar Compras'!A:B,2,FALSE)</f>
        <v>Produto 16</v>
      </c>
      <c r="S61" s="57">
        <f ca="1">VLOOKUP(L61,'Auxiliar Compras'!A:D,4,FALSE)</f>
        <v>0.05</v>
      </c>
      <c r="T61" s="30">
        <f ca="1">VLOOKUP(L61,'Auxiliar Compras'!A:C,3,FALSE)</f>
        <v>1</v>
      </c>
      <c r="U61" s="61">
        <f t="shared" ca="1" si="8"/>
        <v>4210</v>
      </c>
      <c r="V61" s="58">
        <f t="shared" ca="1" si="9"/>
        <v>40668.6</v>
      </c>
      <c r="W61" s="59" t="str">
        <f>VLOOKUP(MONTH(Tabela2[[#This Row],[Data]]),'Auxiliar Compras'!I:J,2,FALSE)</f>
        <v>Jan</v>
      </c>
      <c r="X61" s="60">
        <f>YEAR(Tabela2[[#This Row],[Data]])</f>
        <v>2022</v>
      </c>
    </row>
    <row r="62" spans="1:24">
      <c r="B62">
        <v>51</v>
      </c>
      <c r="C62" s="1">
        <v>44698</v>
      </c>
      <c r="D62" s="1"/>
      <c r="E62" t="str">
        <f t="shared" ca="1" si="2"/>
        <v>Comprador 16</v>
      </c>
      <c r="L62" t="str">
        <f t="shared" ca="1" si="3"/>
        <v>Produto 03</v>
      </c>
      <c r="M62" s="3">
        <v>6071</v>
      </c>
      <c r="N62" s="63">
        <v>16</v>
      </c>
      <c r="O62" s="7" t="s">
        <v>406</v>
      </c>
      <c r="R62" s="30" t="str">
        <f ca="1">VLOOKUP(L62,'Auxiliar Compras'!A:B,2,FALSE)</f>
        <v>Produto 03</v>
      </c>
      <c r="S62" s="57">
        <f ca="1">VLOOKUP(L62,'Auxiliar Compras'!A:D,4,FALSE)</f>
        <v>0.05</v>
      </c>
      <c r="T62" s="59">
        <f ca="1">VLOOKUP(L62,'Auxiliar Compras'!A:C,3,FALSE)</f>
        <v>1</v>
      </c>
      <c r="U62" s="59">
        <f t="shared" ref="U62:U93" ca="1" si="10">T62*M62</f>
        <v>6071</v>
      </c>
      <c r="V62" s="58">
        <f t="shared" ref="V62:V93" ca="1" si="11">N62*M62+(M62*N62*S62)</f>
        <v>101992.8</v>
      </c>
      <c r="W62" s="59" t="str">
        <f>VLOOKUP(MONTH(Tabela2[[#This Row],[Data]]),'Auxiliar Compras'!I:J,2,FALSE)</f>
        <v>Mai</v>
      </c>
      <c r="X62" s="60">
        <f>YEAR(Tabela2[[#This Row],[Data]])</f>
        <v>2022</v>
      </c>
    </row>
    <row r="63" spans="1:24">
      <c r="B63">
        <v>52</v>
      </c>
      <c r="C63" s="1">
        <v>44582</v>
      </c>
      <c r="D63" s="1"/>
      <c r="E63" t="str">
        <f t="shared" ca="1" si="2"/>
        <v>Comprador 12</v>
      </c>
      <c r="L63" t="str">
        <f t="shared" ca="1" si="3"/>
        <v>Produto 10</v>
      </c>
      <c r="M63" s="3">
        <v>6150</v>
      </c>
      <c r="N63" s="63">
        <v>23</v>
      </c>
      <c r="O63" s="7" t="s">
        <v>406</v>
      </c>
      <c r="R63" s="30" t="str">
        <f ca="1">VLOOKUP(L63,'Auxiliar Compras'!A:B,2,FALSE)</f>
        <v>Produto 10</v>
      </c>
      <c r="S63" s="57">
        <f ca="1">VLOOKUP(L63,'Auxiliar Compras'!A:D,4,FALSE)</f>
        <v>0</v>
      </c>
      <c r="T63" s="59">
        <f ca="1">VLOOKUP(L63,'Auxiliar Compras'!A:C,3,FALSE)</f>
        <v>1</v>
      </c>
      <c r="U63" s="59">
        <f t="shared" ca="1" si="10"/>
        <v>6150</v>
      </c>
      <c r="V63" s="58">
        <f t="shared" ca="1" si="11"/>
        <v>141450</v>
      </c>
      <c r="W63" s="59" t="str">
        <f>VLOOKUP(MONTH(Tabela2[[#This Row],[Data]]),'Auxiliar Compras'!I:J,2,FALSE)</f>
        <v>Jan</v>
      </c>
      <c r="X63" s="60">
        <f>YEAR(Tabela2[[#This Row],[Data]])</f>
        <v>2022</v>
      </c>
    </row>
    <row r="64" spans="1:24">
      <c r="B64">
        <v>53</v>
      </c>
      <c r="C64" s="1">
        <v>44661</v>
      </c>
      <c r="E64" t="str">
        <f t="shared" ca="1" si="2"/>
        <v>Comprador 01</v>
      </c>
      <c r="L64" t="str">
        <f t="shared" ca="1" si="3"/>
        <v>Produto 04</v>
      </c>
      <c r="M64" s="3">
        <v>4159</v>
      </c>
      <c r="N64" s="63">
        <v>17</v>
      </c>
      <c r="O64" s="7" t="s">
        <v>406</v>
      </c>
      <c r="R64" s="30" t="str">
        <f ca="1">VLOOKUP(L64,'Auxiliar Compras'!A:B,2,FALSE)</f>
        <v>Produto 04</v>
      </c>
      <c r="S64" s="57">
        <f ca="1">VLOOKUP(L64,'Auxiliar Compras'!A:D,4,FALSE)</f>
        <v>0</v>
      </c>
      <c r="T64" s="59">
        <f ca="1">VLOOKUP(L64,'Auxiliar Compras'!A:C,3,FALSE)</f>
        <v>1.1000000000000001</v>
      </c>
      <c r="U64" s="59">
        <f t="shared" ca="1" si="10"/>
        <v>4574.9000000000005</v>
      </c>
      <c r="V64" s="58">
        <f t="shared" ca="1" si="11"/>
        <v>70703</v>
      </c>
      <c r="W64" s="59" t="str">
        <f>VLOOKUP(MONTH(Tabela2[[#This Row],[Data]]),'Auxiliar Compras'!I:J,2,FALSE)</f>
        <v>Abr</v>
      </c>
      <c r="X64" s="60">
        <f>YEAR(Tabela2[[#This Row],[Data]])</f>
        <v>2022</v>
      </c>
    </row>
    <row r="65" spans="2:24">
      <c r="B65">
        <v>54</v>
      </c>
      <c r="C65" s="1">
        <v>44646</v>
      </c>
      <c r="E65" t="str">
        <f t="shared" ca="1" si="2"/>
        <v>Comprador 02</v>
      </c>
      <c r="L65" t="str">
        <f t="shared" ca="1" si="3"/>
        <v>Produto 09</v>
      </c>
      <c r="M65" s="3">
        <v>1772</v>
      </c>
      <c r="N65" s="63">
        <v>22</v>
      </c>
      <c r="O65" s="7" t="s">
        <v>406</v>
      </c>
      <c r="R65" s="30" t="str">
        <f ca="1">VLOOKUP(L65,'Auxiliar Compras'!A:B,2,FALSE)</f>
        <v>Produto 09</v>
      </c>
      <c r="S65" s="57">
        <f ca="1">VLOOKUP(L65,'Auxiliar Compras'!A:D,4,FALSE)</f>
        <v>0</v>
      </c>
      <c r="T65" s="59">
        <f ca="1">VLOOKUP(L65,'Auxiliar Compras'!A:C,3,FALSE)</f>
        <v>1</v>
      </c>
      <c r="U65" s="59">
        <f t="shared" ca="1" si="10"/>
        <v>1772</v>
      </c>
      <c r="V65" s="58">
        <f t="shared" ca="1" si="11"/>
        <v>38984</v>
      </c>
      <c r="W65" s="59" t="str">
        <f>VLOOKUP(MONTH(Tabela2[[#This Row],[Data]]),'Auxiliar Compras'!I:J,2,FALSE)</f>
        <v>Mar</v>
      </c>
      <c r="X65" s="60">
        <f>YEAR(Tabela2[[#This Row],[Data]])</f>
        <v>2022</v>
      </c>
    </row>
    <row r="66" spans="2:24">
      <c r="B66">
        <v>55</v>
      </c>
      <c r="C66" s="1">
        <v>44589</v>
      </c>
      <c r="E66" t="str">
        <f t="shared" ca="1" si="2"/>
        <v>Comprador 01</v>
      </c>
      <c r="L66" t="str">
        <f t="shared" ca="1" si="3"/>
        <v>Produto 06</v>
      </c>
      <c r="M66" s="3">
        <v>1568</v>
      </c>
      <c r="N66" s="63">
        <v>20</v>
      </c>
      <c r="O66" s="7" t="s">
        <v>406</v>
      </c>
      <c r="R66" s="30" t="str">
        <f ca="1">VLOOKUP(L66,'Auxiliar Compras'!A:B,2,FALSE)</f>
        <v>Produto 06</v>
      </c>
      <c r="S66" s="57">
        <f ca="1">VLOOKUP(L66,'Auxiliar Compras'!A:D,4,FALSE)</f>
        <v>0</v>
      </c>
      <c r="T66" s="59">
        <f ca="1">VLOOKUP(L66,'Auxiliar Compras'!A:C,3,FALSE)</f>
        <v>1.1000000000000001</v>
      </c>
      <c r="U66" s="59">
        <f t="shared" ca="1" si="10"/>
        <v>1724.8000000000002</v>
      </c>
      <c r="V66" s="58">
        <f t="shared" ca="1" si="11"/>
        <v>31360</v>
      </c>
      <c r="W66" s="59" t="str">
        <f>VLOOKUP(MONTH(Tabela2[[#This Row],[Data]]),'Auxiliar Compras'!I:J,2,FALSE)</f>
        <v>Jan</v>
      </c>
      <c r="X66" s="60">
        <f>YEAR(Tabela2[[#This Row],[Data]])</f>
        <v>2022</v>
      </c>
    </row>
    <row r="67" spans="2:24">
      <c r="B67">
        <v>56</v>
      </c>
      <c r="C67" s="1">
        <v>44594</v>
      </c>
      <c r="E67" t="str">
        <f t="shared" ref="E67:E130" ca="1" si="12">VLOOKUP(RANDBETWEEN(1,20),AA:AC,3,FALSE)</f>
        <v>Comprador 02</v>
      </c>
      <c r="L67" t="str">
        <f t="shared" ref="L67:L130" ca="1" si="13">VLOOKUP(RANDBETWEEN(1,16),AA:AC,2,FALSE)</f>
        <v>Produto 04</v>
      </c>
      <c r="M67" s="3">
        <v>4265</v>
      </c>
      <c r="N67" s="63">
        <v>12</v>
      </c>
      <c r="O67" s="7" t="s">
        <v>406</v>
      </c>
      <c r="R67" s="30" t="str">
        <f ca="1">VLOOKUP(L67,'Auxiliar Compras'!A:B,2,FALSE)</f>
        <v>Produto 04</v>
      </c>
      <c r="S67" s="57">
        <f ca="1">VLOOKUP(L67,'Auxiliar Compras'!A:D,4,FALSE)</f>
        <v>0</v>
      </c>
      <c r="T67" s="59">
        <f ca="1">VLOOKUP(L67,'Auxiliar Compras'!A:C,3,FALSE)</f>
        <v>1.1000000000000001</v>
      </c>
      <c r="U67" s="59">
        <f t="shared" ca="1" si="10"/>
        <v>4691.5</v>
      </c>
      <c r="V67" s="58">
        <f t="shared" ca="1" si="11"/>
        <v>51180</v>
      </c>
      <c r="W67" s="59" t="str">
        <f>VLOOKUP(MONTH(Tabela2[[#This Row],[Data]]),'Auxiliar Compras'!I:J,2,FALSE)</f>
        <v>Fev</v>
      </c>
      <c r="X67" s="60">
        <f>YEAR(Tabela2[[#This Row],[Data]])</f>
        <v>2022</v>
      </c>
    </row>
    <row r="68" spans="2:24">
      <c r="B68">
        <v>57</v>
      </c>
      <c r="C68" s="1">
        <v>44704</v>
      </c>
      <c r="E68" t="str">
        <f t="shared" ca="1" si="12"/>
        <v>Comprador 05</v>
      </c>
      <c r="L68" t="str">
        <f t="shared" ca="1" si="13"/>
        <v>Produto 05</v>
      </c>
      <c r="M68" s="3">
        <v>5280</v>
      </c>
      <c r="N68" s="63">
        <v>18</v>
      </c>
      <c r="O68" s="7" t="s">
        <v>406</v>
      </c>
      <c r="R68" s="30" t="str">
        <f ca="1">VLOOKUP(L68,'Auxiliar Compras'!A:B,2,FALSE)</f>
        <v>Produto 05</v>
      </c>
      <c r="S68" s="57">
        <f ca="1">VLOOKUP(L68,'Auxiliar Compras'!A:D,4,FALSE)</f>
        <v>0</v>
      </c>
      <c r="T68" s="59">
        <f ca="1">VLOOKUP(L68,'Auxiliar Compras'!A:C,3,FALSE)</f>
        <v>1.42</v>
      </c>
      <c r="U68" s="59">
        <f t="shared" ca="1" si="10"/>
        <v>7497.5999999999995</v>
      </c>
      <c r="V68" s="58">
        <f t="shared" ca="1" si="11"/>
        <v>95040</v>
      </c>
      <c r="W68" s="59" t="str">
        <f>VLOOKUP(MONTH(Tabela2[[#This Row],[Data]]),'Auxiliar Compras'!I:J,2,FALSE)</f>
        <v>Mai</v>
      </c>
      <c r="X68" s="60">
        <f>YEAR(Tabela2[[#This Row],[Data]])</f>
        <v>2022</v>
      </c>
    </row>
    <row r="69" spans="2:24">
      <c r="B69">
        <v>58</v>
      </c>
      <c r="C69" s="1">
        <v>44654</v>
      </c>
      <c r="E69" t="str">
        <f t="shared" ca="1" si="12"/>
        <v>Comprador 03</v>
      </c>
      <c r="L69" t="str">
        <f t="shared" ca="1" si="13"/>
        <v>Produto 07</v>
      </c>
      <c r="M69" s="3">
        <v>5367</v>
      </c>
      <c r="N69" s="63">
        <v>16</v>
      </c>
      <c r="O69" s="7" t="s">
        <v>406</v>
      </c>
      <c r="R69" s="30" t="str">
        <f ca="1">VLOOKUP(L69,'Auxiliar Compras'!A:B,2,FALSE)</f>
        <v>Produto 07</v>
      </c>
      <c r="S69" s="57">
        <f ca="1">VLOOKUP(L69,'Auxiliar Compras'!A:D,4,FALSE)</f>
        <v>0</v>
      </c>
      <c r="T69" s="59">
        <f ca="1">VLOOKUP(L69,'Auxiliar Compras'!A:C,3,FALSE)</f>
        <v>0.5</v>
      </c>
      <c r="U69" s="59">
        <f t="shared" ca="1" si="10"/>
        <v>2683.5</v>
      </c>
      <c r="V69" s="58">
        <f t="shared" ca="1" si="11"/>
        <v>85872</v>
      </c>
      <c r="W69" s="59" t="str">
        <f>VLOOKUP(MONTH(Tabela2[[#This Row],[Data]]),'Auxiliar Compras'!I:J,2,FALSE)</f>
        <v>Abr</v>
      </c>
      <c r="X69" s="60">
        <f>YEAR(Tabela2[[#This Row],[Data]])</f>
        <v>2022</v>
      </c>
    </row>
    <row r="70" spans="2:24">
      <c r="B70">
        <v>59</v>
      </c>
      <c r="C70" s="1">
        <v>44648</v>
      </c>
      <c r="E70" t="str">
        <f t="shared" ca="1" si="12"/>
        <v>Comprador 07</v>
      </c>
      <c r="L70" t="str">
        <f t="shared" ca="1" si="13"/>
        <v>Produto 16</v>
      </c>
      <c r="M70" s="3">
        <v>1706</v>
      </c>
      <c r="N70" s="63">
        <v>14</v>
      </c>
      <c r="O70" s="7" t="s">
        <v>408</v>
      </c>
      <c r="R70" s="30" t="str">
        <f ca="1">VLOOKUP(L70,'Auxiliar Compras'!A:B,2,FALSE)</f>
        <v>Produto 16</v>
      </c>
      <c r="S70" s="57">
        <f ca="1">VLOOKUP(L70,'Auxiliar Compras'!A:D,4,FALSE)</f>
        <v>0.05</v>
      </c>
      <c r="T70" s="59">
        <f ca="1">VLOOKUP(L70,'Auxiliar Compras'!A:C,3,FALSE)</f>
        <v>1</v>
      </c>
      <c r="U70" s="59">
        <f t="shared" ca="1" si="10"/>
        <v>1706</v>
      </c>
      <c r="V70" s="58">
        <f t="shared" ca="1" si="11"/>
        <v>25078.2</v>
      </c>
      <c r="W70" s="59" t="str">
        <f>VLOOKUP(MONTH(Tabela2[[#This Row],[Data]]),'Auxiliar Compras'!I:J,2,FALSE)</f>
        <v>Mar</v>
      </c>
      <c r="X70" s="60">
        <f>YEAR(Tabela2[[#This Row],[Data]])</f>
        <v>2022</v>
      </c>
    </row>
    <row r="71" spans="2:24">
      <c r="B71">
        <v>60</v>
      </c>
      <c r="C71" s="1">
        <v>44630</v>
      </c>
      <c r="E71" t="str">
        <f t="shared" ca="1" si="12"/>
        <v>Comprador 13</v>
      </c>
      <c r="L71" t="str">
        <f t="shared" ca="1" si="13"/>
        <v>Produto 01</v>
      </c>
      <c r="M71" s="3">
        <v>2645</v>
      </c>
      <c r="N71" s="63">
        <v>3</v>
      </c>
      <c r="O71" s="7" t="s">
        <v>408</v>
      </c>
      <c r="R71" s="30" t="str">
        <f ca="1">VLOOKUP(L71,'Auxiliar Compras'!A:B,2,FALSE)</f>
        <v>Produto 01</v>
      </c>
      <c r="S71" s="57">
        <f ca="1">VLOOKUP(L71,'Auxiliar Compras'!A:D,4,FALSE)</f>
        <v>0</v>
      </c>
      <c r="T71" s="59">
        <f ca="1">VLOOKUP(L71,'Auxiliar Compras'!A:C,3,FALSE)</f>
        <v>1.1000000000000001</v>
      </c>
      <c r="U71" s="59">
        <f t="shared" ca="1" si="10"/>
        <v>2909.5000000000005</v>
      </c>
      <c r="V71" s="58">
        <f t="shared" ca="1" si="11"/>
        <v>7935</v>
      </c>
      <c r="W71" s="59" t="str">
        <f>VLOOKUP(MONTH(Tabela2[[#This Row],[Data]]),'Auxiliar Compras'!I:J,2,FALSE)</f>
        <v>Mar</v>
      </c>
      <c r="X71" s="60">
        <f>YEAR(Tabela2[[#This Row],[Data]])</f>
        <v>2022</v>
      </c>
    </row>
    <row r="72" spans="2:24">
      <c r="B72">
        <v>61</v>
      </c>
      <c r="C72" s="1">
        <v>44709</v>
      </c>
      <c r="E72" t="str">
        <f t="shared" ca="1" si="12"/>
        <v>Comprador 02</v>
      </c>
      <c r="L72" t="str">
        <f t="shared" ca="1" si="13"/>
        <v>Produto 02</v>
      </c>
      <c r="M72" s="3">
        <v>2032</v>
      </c>
      <c r="N72" s="63">
        <v>3</v>
      </c>
      <c r="O72" s="7" t="s">
        <v>408</v>
      </c>
      <c r="R72" s="30" t="str">
        <f ca="1">VLOOKUP(L72,'Auxiliar Compras'!A:B,2,FALSE)</f>
        <v>Produto 02</v>
      </c>
      <c r="S72" s="57">
        <f ca="1">VLOOKUP(L72,'Auxiliar Compras'!A:D,4,FALSE)</f>
        <v>0.05</v>
      </c>
      <c r="T72" s="59">
        <f ca="1">VLOOKUP(L72,'Auxiliar Compras'!A:C,3,FALSE)</f>
        <v>1</v>
      </c>
      <c r="U72" s="59">
        <f t="shared" ca="1" si="10"/>
        <v>2032</v>
      </c>
      <c r="V72" s="58">
        <f t="shared" ca="1" si="11"/>
        <v>6400.8</v>
      </c>
      <c r="W72" s="59" t="str">
        <f>VLOOKUP(MONTH(Tabela2[[#This Row],[Data]]),'Auxiliar Compras'!I:J,2,FALSE)</f>
        <v>Mai</v>
      </c>
      <c r="X72" s="60">
        <f>YEAR(Tabela2[[#This Row],[Data]])</f>
        <v>2022</v>
      </c>
    </row>
    <row r="73" spans="2:24">
      <c r="B73">
        <v>62</v>
      </c>
      <c r="C73" s="1">
        <v>44605</v>
      </c>
      <c r="E73" t="str">
        <f t="shared" ca="1" si="12"/>
        <v>Comprador 01</v>
      </c>
      <c r="L73" t="str">
        <f t="shared" ca="1" si="13"/>
        <v>Produto 05</v>
      </c>
      <c r="M73" s="3">
        <v>5849</v>
      </c>
      <c r="N73" s="63">
        <v>3</v>
      </c>
      <c r="O73" s="7" t="s">
        <v>408</v>
      </c>
      <c r="R73" s="30" t="str">
        <f ca="1">VLOOKUP(L73,'Auxiliar Compras'!A:B,2,FALSE)</f>
        <v>Produto 05</v>
      </c>
      <c r="S73" s="57">
        <f ca="1">VLOOKUP(L73,'Auxiliar Compras'!A:D,4,FALSE)</f>
        <v>0</v>
      </c>
      <c r="T73" s="59">
        <f ca="1">VLOOKUP(L73,'Auxiliar Compras'!A:C,3,FALSE)</f>
        <v>1.42</v>
      </c>
      <c r="U73" s="59">
        <f t="shared" ca="1" si="10"/>
        <v>8305.58</v>
      </c>
      <c r="V73" s="58">
        <f t="shared" ca="1" si="11"/>
        <v>17547</v>
      </c>
      <c r="W73" s="59" t="str">
        <f>VLOOKUP(MONTH(Tabela2[[#This Row],[Data]]),'Auxiliar Compras'!I:J,2,FALSE)</f>
        <v>Fev</v>
      </c>
      <c r="X73" s="60">
        <f>YEAR(Tabela2[[#This Row],[Data]])</f>
        <v>2022</v>
      </c>
    </row>
    <row r="74" spans="2:24">
      <c r="B74">
        <v>63</v>
      </c>
      <c r="C74" s="1">
        <v>44592</v>
      </c>
      <c r="E74" t="str">
        <f t="shared" ca="1" si="12"/>
        <v>Comprador 14</v>
      </c>
      <c r="L74" t="str">
        <f t="shared" ca="1" si="13"/>
        <v>Produto 16</v>
      </c>
      <c r="M74" s="3">
        <v>948</v>
      </c>
      <c r="N74" s="63">
        <v>11</v>
      </c>
      <c r="O74" s="7" t="s">
        <v>408</v>
      </c>
      <c r="R74" s="30" t="str">
        <f ca="1">VLOOKUP(L74,'Auxiliar Compras'!A:B,2,FALSE)</f>
        <v>Produto 16</v>
      </c>
      <c r="S74" s="57">
        <f ca="1">VLOOKUP(L74,'Auxiliar Compras'!A:D,4,FALSE)</f>
        <v>0.05</v>
      </c>
      <c r="T74" s="59">
        <f ca="1">VLOOKUP(L74,'Auxiliar Compras'!A:C,3,FALSE)</f>
        <v>1</v>
      </c>
      <c r="U74" s="59">
        <f t="shared" ca="1" si="10"/>
        <v>948</v>
      </c>
      <c r="V74" s="58">
        <f t="shared" ca="1" si="11"/>
        <v>10949.4</v>
      </c>
      <c r="W74" s="59" t="str">
        <f>VLOOKUP(MONTH(Tabela2[[#This Row],[Data]]),'Auxiliar Compras'!I:J,2,FALSE)</f>
        <v>Jan</v>
      </c>
      <c r="X74" s="60">
        <f>YEAR(Tabela2[[#This Row],[Data]])</f>
        <v>2022</v>
      </c>
    </row>
    <row r="75" spans="2:24">
      <c r="B75">
        <v>64</v>
      </c>
      <c r="C75" s="1">
        <v>44701</v>
      </c>
      <c r="E75" t="str">
        <f t="shared" ca="1" si="12"/>
        <v>Comprador 10</v>
      </c>
      <c r="L75" t="str">
        <f t="shared" ca="1" si="13"/>
        <v>Produto 13</v>
      </c>
      <c r="M75" s="3">
        <v>882</v>
      </c>
      <c r="N75" s="63">
        <v>5</v>
      </c>
      <c r="O75" s="7" t="s">
        <v>406</v>
      </c>
      <c r="R75" s="30" t="str">
        <f ca="1">VLOOKUP(L75,'Auxiliar Compras'!A:B,2,FALSE)</f>
        <v>Produto 13</v>
      </c>
      <c r="S75" s="57">
        <f ca="1">VLOOKUP(L75,'Auxiliar Compras'!A:D,4,FALSE)</f>
        <v>0</v>
      </c>
      <c r="T75" s="59">
        <f ca="1">VLOOKUP(L75,'Auxiliar Compras'!A:C,3,FALSE)</f>
        <v>0.4</v>
      </c>
      <c r="U75" s="59">
        <f t="shared" ca="1" si="10"/>
        <v>352.8</v>
      </c>
      <c r="V75" s="58">
        <f t="shared" ca="1" si="11"/>
        <v>4410</v>
      </c>
      <c r="W75" s="59" t="str">
        <f>VLOOKUP(MONTH(Tabela2[[#This Row],[Data]]),'Auxiliar Compras'!I:J,2,FALSE)</f>
        <v>Mai</v>
      </c>
      <c r="X75" s="60">
        <f>YEAR(Tabela2[[#This Row],[Data]])</f>
        <v>2022</v>
      </c>
    </row>
    <row r="76" spans="2:24">
      <c r="B76">
        <v>65</v>
      </c>
      <c r="C76" s="1">
        <v>44656</v>
      </c>
      <c r="E76" t="str">
        <f t="shared" ca="1" si="12"/>
        <v>Comprador 14</v>
      </c>
      <c r="L76" t="str">
        <f t="shared" ca="1" si="13"/>
        <v>Produto 02</v>
      </c>
      <c r="M76" s="3">
        <v>361</v>
      </c>
      <c r="N76" s="63">
        <v>17</v>
      </c>
      <c r="O76" s="7" t="s">
        <v>406</v>
      </c>
      <c r="R76" s="30" t="str">
        <f ca="1">VLOOKUP(L76,'Auxiliar Compras'!A:B,2,FALSE)</f>
        <v>Produto 02</v>
      </c>
      <c r="S76" s="57">
        <f ca="1">VLOOKUP(L76,'Auxiliar Compras'!A:D,4,FALSE)</f>
        <v>0.05</v>
      </c>
      <c r="T76" s="59">
        <f ca="1">VLOOKUP(L76,'Auxiliar Compras'!A:C,3,FALSE)</f>
        <v>1</v>
      </c>
      <c r="U76" s="59">
        <f t="shared" ca="1" si="10"/>
        <v>361</v>
      </c>
      <c r="V76" s="58">
        <f t="shared" ca="1" si="11"/>
        <v>6443.85</v>
      </c>
      <c r="W76" s="59" t="str">
        <f>VLOOKUP(MONTH(Tabela2[[#This Row],[Data]]),'Auxiliar Compras'!I:J,2,FALSE)</f>
        <v>Abr</v>
      </c>
      <c r="X76" s="60">
        <f>YEAR(Tabela2[[#This Row],[Data]])</f>
        <v>2022</v>
      </c>
    </row>
    <row r="77" spans="2:24">
      <c r="B77">
        <v>66</v>
      </c>
      <c r="C77" s="1">
        <v>44628</v>
      </c>
      <c r="E77" t="str">
        <f t="shared" ca="1" si="12"/>
        <v>Comprador 13</v>
      </c>
      <c r="L77" t="str">
        <f t="shared" ca="1" si="13"/>
        <v>Produto 15</v>
      </c>
      <c r="M77" s="3">
        <v>6090</v>
      </c>
      <c r="N77" s="63">
        <v>22</v>
      </c>
      <c r="O77" s="7" t="s">
        <v>406</v>
      </c>
      <c r="R77" s="30" t="str">
        <f ca="1">VLOOKUP(L77,'Auxiliar Compras'!A:B,2,FALSE)</f>
        <v>Produto 15</v>
      </c>
      <c r="S77" s="57">
        <f ca="1">VLOOKUP(L77,'Auxiliar Compras'!A:D,4,FALSE)</f>
        <v>0</v>
      </c>
      <c r="T77" s="59">
        <f ca="1">VLOOKUP(L77,'Auxiliar Compras'!A:C,3,FALSE)</f>
        <v>1.1000000000000001</v>
      </c>
      <c r="U77" s="59">
        <f t="shared" ca="1" si="10"/>
        <v>6699.0000000000009</v>
      </c>
      <c r="V77" s="58">
        <f t="shared" ca="1" si="11"/>
        <v>133980</v>
      </c>
      <c r="W77" s="59" t="str">
        <f>VLOOKUP(MONTH(Tabela2[[#This Row],[Data]]),'Auxiliar Compras'!I:J,2,FALSE)</f>
        <v>Mar</v>
      </c>
      <c r="X77" s="60">
        <f>YEAR(Tabela2[[#This Row],[Data]])</f>
        <v>2022</v>
      </c>
    </row>
    <row r="78" spans="2:24">
      <c r="B78">
        <v>67</v>
      </c>
      <c r="C78" s="1">
        <v>44604</v>
      </c>
      <c r="E78" t="str">
        <f t="shared" ca="1" si="12"/>
        <v>Comprador 16</v>
      </c>
      <c r="L78" t="str">
        <f t="shared" ca="1" si="13"/>
        <v>Produto 12</v>
      </c>
      <c r="M78" s="3">
        <v>843</v>
      </c>
      <c r="N78" s="63">
        <v>1</v>
      </c>
      <c r="O78" s="7" t="s">
        <v>406</v>
      </c>
      <c r="R78" s="30" t="str">
        <f ca="1">VLOOKUP(L78,'Auxiliar Compras'!A:B,2,FALSE)</f>
        <v>Produto 12</v>
      </c>
      <c r="S78" s="57">
        <f ca="1">VLOOKUP(L78,'Auxiliar Compras'!A:D,4,FALSE)</f>
        <v>0</v>
      </c>
      <c r="T78" s="59">
        <f ca="1">VLOOKUP(L78,'Auxiliar Compras'!A:C,3,FALSE)</f>
        <v>1</v>
      </c>
      <c r="U78" s="59">
        <f t="shared" ca="1" si="10"/>
        <v>843</v>
      </c>
      <c r="V78" s="58">
        <f t="shared" ca="1" si="11"/>
        <v>843</v>
      </c>
      <c r="W78" s="59" t="str">
        <f>VLOOKUP(MONTH(Tabela2[[#This Row],[Data]]),'Auxiliar Compras'!I:J,2,FALSE)</f>
        <v>Fev</v>
      </c>
      <c r="X78" s="60">
        <f>YEAR(Tabela2[[#This Row],[Data]])</f>
        <v>2022</v>
      </c>
    </row>
    <row r="79" spans="2:24">
      <c r="B79">
        <v>68</v>
      </c>
      <c r="C79" s="1">
        <v>44702</v>
      </c>
      <c r="E79" t="str">
        <f t="shared" ca="1" si="12"/>
        <v>Comprador 04</v>
      </c>
      <c r="L79" t="str">
        <f t="shared" ca="1" si="13"/>
        <v>Produto 12</v>
      </c>
      <c r="M79" s="3">
        <v>1650</v>
      </c>
      <c r="N79" s="63">
        <v>1</v>
      </c>
      <c r="O79" s="7" t="s">
        <v>406</v>
      </c>
      <c r="R79" s="30" t="str">
        <f ca="1">VLOOKUP(L79,'Auxiliar Compras'!A:B,2,FALSE)</f>
        <v>Produto 12</v>
      </c>
      <c r="S79" s="57">
        <f ca="1">VLOOKUP(L79,'Auxiliar Compras'!A:D,4,FALSE)</f>
        <v>0</v>
      </c>
      <c r="T79" s="59">
        <f ca="1">VLOOKUP(L79,'Auxiliar Compras'!A:C,3,FALSE)</f>
        <v>1</v>
      </c>
      <c r="U79" s="59">
        <f t="shared" ca="1" si="10"/>
        <v>1650</v>
      </c>
      <c r="V79" s="58">
        <f t="shared" ca="1" si="11"/>
        <v>1650</v>
      </c>
      <c r="W79" s="59" t="str">
        <f>VLOOKUP(MONTH(Tabela2[[#This Row],[Data]]),'Auxiliar Compras'!I:J,2,FALSE)</f>
        <v>Mai</v>
      </c>
      <c r="X79" s="60">
        <f>YEAR(Tabela2[[#This Row],[Data]])</f>
        <v>2022</v>
      </c>
    </row>
    <row r="80" spans="2:24">
      <c r="B80">
        <v>69</v>
      </c>
      <c r="C80" s="1">
        <v>44690</v>
      </c>
      <c r="E80" t="str">
        <f t="shared" ca="1" si="12"/>
        <v>Comprador 20</v>
      </c>
      <c r="L80" t="str">
        <f t="shared" ca="1" si="13"/>
        <v>Produto 06</v>
      </c>
      <c r="M80" s="3">
        <v>4738</v>
      </c>
      <c r="N80" s="63">
        <v>4</v>
      </c>
      <c r="O80" s="7" t="s">
        <v>406</v>
      </c>
      <c r="R80" s="30" t="str">
        <f ca="1">VLOOKUP(L80,'Auxiliar Compras'!A:B,2,FALSE)</f>
        <v>Produto 06</v>
      </c>
      <c r="S80" s="57">
        <f ca="1">VLOOKUP(L80,'Auxiliar Compras'!A:D,4,FALSE)</f>
        <v>0</v>
      </c>
      <c r="T80" s="59">
        <f ca="1">VLOOKUP(L80,'Auxiliar Compras'!A:C,3,FALSE)</f>
        <v>1.1000000000000001</v>
      </c>
      <c r="U80" s="59">
        <f t="shared" ca="1" si="10"/>
        <v>5211.8</v>
      </c>
      <c r="V80" s="58">
        <f t="shared" ca="1" si="11"/>
        <v>18952</v>
      </c>
      <c r="W80" s="59" t="str">
        <f>VLOOKUP(MONTH(Tabela2[[#This Row],[Data]]),'Auxiliar Compras'!I:J,2,FALSE)</f>
        <v>Mai</v>
      </c>
      <c r="X80" s="60">
        <f>YEAR(Tabela2[[#This Row],[Data]])</f>
        <v>2022</v>
      </c>
    </row>
    <row r="81" spans="2:24">
      <c r="B81">
        <v>70</v>
      </c>
      <c r="C81" s="1">
        <v>44606</v>
      </c>
      <c r="E81" t="str">
        <f t="shared" ca="1" si="12"/>
        <v>Comprador 19</v>
      </c>
      <c r="L81" t="str">
        <f t="shared" ca="1" si="13"/>
        <v>Produto 12</v>
      </c>
      <c r="M81" s="3">
        <v>5796</v>
      </c>
      <c r="N81" s="63">
        <v>23</v>
      </c>
      <c r="O81" s="7" t="s">
        <v>406</v>
      </c>
      <c r="R81" s="30" t="str">
        <f ca="1">VLOOKUP(L81,'Auxiliar Compras'!A:B,2,FALSE)</f>
        <v>Produto 12</v>
      </c>
      <c r="S81" s="57">
        <f ca="1">VLOOKUP(L81,'Auxiliar Compras'!A:D,4,FALSE)</f>
        <v>0</v>
      </c>
      <c r="T81" s="59">
        <f ca="1">VLOOKUP(L81,'Auxiliar Compras'!A:C,3,FALSE)</f>
        <v>1</v>
      </c>
      <c r="U81" s="59">
        <f t="shared" ca="1" si="10"/>
        <v>5796</v>
      </c>
      <c r="V81" s="58">
        <f t="shared" ca="1" si="11"/>
        <v>133308</v>
      </c>
      <c r="W81" s="59" t="str">
        <f>VLOOKUP(MONTH(Tabela2[[#This Row],[Data]]),'Auxiliar Compras'!I:J,2,FALSE)</f>
        <v>Fev</v>
      </c>
      <c r="X81" s="60">
        <f>YEAR(Tabela2[[#This Row],[Data]])</f>
        <v>2022</v>
      </c>
    </row>
    <row r="82" spans="2:24">
      <c r="B82">
        <v>71</v>
      </c>
      <c r="C82" s="1">
        <v>44607</v>
      </c>
      <c r="E82" t="str">
        <f t="shared" ca="1" si="12"/>
        <v>Comprador 11</v>
      </c>
      <c r="L82" t="str">
        <f t="shared" ca="1" si="13"/>
        <v>Produto 07</v>
      </c>
      <c r="M82" s="3">
        <v>1258</v>
      </c>
      <c r="N82" s="63">
        <v>3</v>
      </c>
      <c r="O82" s="7" t="s">
        <v>406</v>
      </c>
      <c r="R82" s="30" t="str">
        <f ca="1">VLOOKUP(L82,'Auxiliar Compras'!A:B,2,FALSE)</f>
        <v>Produto 07</v>
      </c>
      <c r="S82" s="57">
        <f ca="1">VLOOKUP(L82,'Auxiliar Compras'!A:D,4,FALSE)</f>
        <v>0</v>
      </c>
      <c r="T82" s="59">
        <f ca="1">VLOOKUP(L82,'Auxiliar Compras'!A:C,3,FALSE)</f>
        <v>0.5</v>
      </c>
      <c r="U82" s="59">
        <f t="shared" ca="1" si="10"/>
        <v>629</v>
      </c>
      <c r="V82" s="58">
        <f t="shared" ca="1" si="11"/>
        <v>3774</v>
      </c>
      <c r="W82" s="59" t="str">
        <f>VLOOKUP(MONTH(Tabela2[[#This Row],[Data]]),'Auxiliar Compras'!I:J,2,FALSE)</f>
        <v>Fev</v>
      </c>
      <c r="X82" s="60">
        <f>YEAR(Tabela2[[#This Row],[Data]])</f>
        <v>2022</v>
      </c>
    </row>
    <row r="83" spans="2:24">
      <c r="B83">
        <v>72</v>
      </c>
      <c r="C83" s="1">
        <v>44637</v>
      </c>
      <c r="E83" t="str">
        <f t="shared" ca="1" si="12"/>
        <v>Comprador 08</v>
      </c>
      <c r="L83" t="str">
        <f t="shared" ca="1" si="13"/>
        <v>Produto 02</v>
      </c>
      <c r="M83" s="3">
        <v>3616</v>
      </c>
      <c r="N83" s="63">
        <v>10</v>
      </c>
      <c r="O83" s="7" t="s">
        <v>408</v>
      </c>
      <c r="R83" s="30" t="str">
        <f ca="1">VLOOKUP(L83,'Auxiliar Compras'!A:B,2,FALSE)</f>
        <v>Produto 02</v>
      </c>
      <c r="S83" s="57">
        <f ca="1">VLOOKUP(L83,'Auxiliar Compras'!A:D,4,FALSE)</f>
        <v>0.05</v>
      </c>
      <c r="T83" s="59">
        <f ca="1">VLOOKUP(L83,'Auxiliar Compras'!A:C,3,FALSE)</f>
        <v>1</v>
      </c>
      <c r="U83" s="59">
        <f t="shared" ca="1" si="10"/>
        <v>3616</v>
      </c>
      <c r="V83" s="58">
        <f t="shared" ca="1" si="11"/>
        <v>37968</v>
      </c>
      <c r="W83" s="59" t="str">
        <f>VLOOKUP(MONTH(Tabela2[[#This Row],[Data]]),'Auxiliar Compras'!I:J,2,FALSE)</f>
        <v>Mar</v>
      </c>
      <c r="X83" s="60">
        <f>YEAR(Tabela2[[#This Row],[Data]])</f>
        <v>2022</v>
      </c>
    </row>
    <row r="84" spans="2:24">
      <c r="B84">
        <v>73</v>
      </c>
      <c r="C84" s="1">
        <v>44612</v>
      </c>
      <c r="E84" t="str">
        <f t="shared" ca="1" si="12"/>
        <v>Comprador 16</v>
      </c>
      <c r="L84" t="str">
        <f t="shared" ca="1" si="13"/>
        <v>Produto 05</v>
      </c>
      <c r="M84" s="3">
        <v>529</v>
      </c>
      <c r="N84" s="63">
        <v>4</v>
      </c>
      <c r="O84" s="7" t="s">
        <v>408</v>
      </c>
      <c r="R84" s="30" t="str">
        <f ca="1">VLOOKUP(L84,'Auxiliar Compras'!A:B,2,FALSE)</f>
        <v>Produto 05</v>
      </c>
      <c r="S84" s="57">
        <f ca="1">VLOOKUP(L84,'Auxiliar Compras'!A:D,4,FALSE)</f>
        <v>0</v>
      </c>
      <c r="T84" s="59">
        <f ca="1">VLOOKUP(L84,'Auxiliar Compras'!A:C,3,FALSE)</f>
        <v>1.42</v>
      </c>
      <c r="U84" s="59">
        <f t="shared" ca="1" si="10"/>
        <v>751.18</v>
      </c>
      <c r="V84" s="58">
        <f t="shared" ca="1" si="11"/>
        <v>2116</v>
      </c>
      <c r="W84" s="59" t="str">
        <f>VLOOKUP(MONTH(Tabela2[[#This Row],[Data]]),'Auxiliar Compras'!I:J,2,FALSE)</f>
        <v>Fev</v>
      </c>
      <c r="X84" s="60">
        <f>YEAR(Tabela2[[#This Row],[Data]])</f>
        <v>2022</v>
      </c>
    </row>
    <row r="85" spans="2:24">
      <c r="B85">
        <v>74</v>
      </c>
      <c r="C85" s="1">
        <v>44671</v>
      </c>
      <c r="E85" t="str">
        <f t="shared" ca="1" si="12"/>
        <v>Comprador 17</v>
      </c>
      <c r="L85" t="str">
        <f t="shared" ca="1" si="13"/>
        <v>Produto 06</v>
      </c>
      <c r="M85" s="3">
        <v>2084</v>
      </c>
      <c r="N85" s="63">
        <v>2</v>
      </c>
      <c r="O85" s="7" t="s">
        <v>408</v>
      </c>
      <c r="R85" s="30" t="str">
        <f ca="1">VLOOKUP(L85,'Auxiliar Compras'!A:B,2,FALSE)</f>
        <v>Produto 06</v>
      </c>
      <c r="S85" s="57">
        <f ca="1">VLOOKUP(L85,'Auxiliar Compras'!A:D,4,FALSE)</f>
        <v>0</v>
      </c>
      <c r="T85" s="59">
        <f ca="1">VLOOKUP(L85,'Auxiliar Compras'!A:C,3,FALSE)</f>
        <v>1.1000000000000001</v>
      </c>
      <c r="U85" s="59">
        <f t="shared" ca="1" si="10"/>
        <v>2292.4</v>
      </c>
      <c r="V85" s="58">
        <f t="shared" ca="1" si="11"/>
        <v>4168</v>
      </c>
      <c r="W85" s="59" t="str">
        <f>VLOOKUP(MONTH(Tabela2[[#This Row],[Data]]),'Auxiliar Compras'!I:J,2,FALSE)</f>
        <v>Abr</v>
      </c>
      <c r="X85" s="60">
        <f>YEAR(Tabela2[[#This Row],[Data]])</f>
        <v>2022</v>
      </c>
    </row>
    <row r="86" spans="2:24">
      <c r="B86">
        <v>75</v>
      </c>
      <c r="C86" s="1">
        <v>44663</v>
      </c>
      <c r="E86" t="str">
        <f t="shared" ca="1" si="12"/>
        <v>Comprador 01</v>
      </c>
      <c r="L86" t="str">
        <f t="shared" ca="1" si="13"/>
        <v>Produto 07</v>
      </c>
      <c r="M86" s="3">
        <v>3773</v>
      </c>
      <c r="N86" s="63">
        <v>8</v>
      </c>
      <c r="O86" s="7" t="s">
        <v>408</v>
      </c>
      <c r="R86" s="30" t="str">
        <f ca="1">VLOOKUP(L86,'Auxiliar Compras'!A:B,2,FALSE)</f>
        <v>Produto 07</v>
      </c>
      <c r="S86" s="57">
        <f ca="1">VLOOKUP(L86,'Auxiliar Compras'!A:D,4,FALSE)</f>
        <v>0</v>
      </c>
      <c r="T86" s="59">
        <f ca="1">VLOOKUP(L86,'Auxiliar Compras'!A:C,3,FALSE)</f>
        <v>0.5</v>
      </c>
      <c r="U86" s="59">
        <f t="shared" ca="1" si="10"/>
        <v>1886.5</v>
      </c>
      <c r="V86" s="58">
        <f t="shared" ca="1" si="11"/>
        <v>30184</v>
      </c>
      <c r="W86" s="59" t="str">
        <f>VLOOKUP(MONTH(Tabela2[[#This Row],[Data]]),'Auxiliar Compras'!I:J,2,FALSE)</f>
        <v>Abr</v>
      </c>
      <c r="X86" s="60">
        <f>YEAR(Tabela2[[#This Row],[Data]])</f>
        <v>2022</v>
      </c>
    </row>
    <row r="87" spans="2:24">
      <c r="B87">
        <v>76</v>
      </c>
      <c r="C87" s="1">
        <v>44615</v>
      </c>
      <c r="E87" t="str">
        <f t="shared" ca="1" si="12"/>
        <v>Comprador 16</v>
      </c>
      <c r="L87" t="str">
        <f t="shared" ca="1" si="13"/>
        <v>Produto 08</v>
      </c>
      <c r="M87" s="3">
        <v>117</v>
      </c>
      <c r="N87" s="63">
        <v>13</v>
      </c>
      <c r="O87" s="7" t="s">
        <v>408</v>
      </c>
      <c r="R87" s="30" t="str">
        <f ca="1">VLOOKUP(L87,'Auxiliar Compras'!A:B,2,FALSE)</f>
        <v>Produto 08</v>
      </c>
      <c r="S87" s="57">
        <f ca="1">VLOOKUP(L87,'Auxiliar Compras'!A:D,4,FALSE)</f>
        <v>0</v>
      </c>
      <c r="T87" s="59">
        <f ca="1">VLOOKUP(L87,'Auxiliar Compras'!A:C,3,FALSE)</f>
        <v>1</v>
      </c>
      <c r="U87" s="59">
        <f t="shared" ca="1" si="10"/>
        <v>117</v>
      </c>
      <c r="V87" s="58">
        <f t="shared" ca="1" si="11"/>
        <v>1521</v>
      </c>
      <c r="W87" s="59" t="str">
        <f>VLOOKUP(MONTH(Tabela2[[#This Row],[Data]]),'Auxiliar Compras'!I:J,2,FALSE)</f>
        <v>Fev</v>
      </c>
      <c r="X87" s="60">
        <f>YEAR(Tabela2[[#This Row],[Data]])</f>
        <v>2022</v>
      </c>
    </row>
    <row r="88" spans="2:24">
      <c r="B88">
        <v>77</v>
      </c>
      <c r="C88" s="1">
        <v>44660</v>
      </c>
      <c r="E88" t="str">
        <f t="shared" ca="1" si="12"/>
        <v>Comprador 06</v>
      </c>
      <c r="L88" t="str">
        <f t="shared" ca="1" si="13"/>
        <v>Produto 16</v>
      </c>
      <c r="M88" s="3">
        <v>2058</v>
      </c>
      <c r="N88" s="63">
        <v>23</v>
      </c>
      <c r="O88" s="7" t="s">
        <v>406</v>
      </c>
      <c r="R88" s="30" t="str">
        <f ca="1">VLOOKUP(L88,'Auxiliar Compras'!A:B,2,FALSE)</f>
        <v>Produto 16</v>
      </c>
      <c r="S88" s="57">
        <f ca="1">VLOOKUP(L88,'Auxiliar Compras'!A:D,4,FALSE)</f>
        <v>0.05</v>
      </c>
      <c r="T88" s="59">
        <f ca="1">VLOOKUP(L88,'Auxiliar Compras'!A:C,3,FALSE)</f>
        <v>1</v>
      </c>
      <c r="U88" s="59">
        <f t="shared" ca="1" si="10"/>
        <v>2058</v>
      </c>
      <c r="V88" s="58">
        <f t="shared" ca="1" si="11"/>
        <v>49700.7</v>
      </c>
      <c r="W88" s="59" t="str">
        <f>VLOOKUP(MONTH(Tabela2[[#This Row],[Data]]),'Auxiliar Compras'!I:J,2,FALSE)</f>
        <v>Abr</v>
      </c>
      <c r="X88" s="60">
        <f>YEAR(Tabela2[[#This Row],[Data]])</f>
        <v>2022</v>
      </c>
    </row>
    <row r="89" spans="2:24">
      <c r="B89">
        <v>78</v>
      </c>
      <c r="C89" s="1">
        <v>44632</v>
      </c>
      <c r="E89" t="str">
        <f t="shared" ca="1" si="12"/>
        <v>Comprador 19</v>
      </c>
      <c r="L89" t="str">
        <f t="shared" ca="1" si="13"/>
        <v>Produto 16</v>
      </c>
      <c r="M89" s="3">
        <v>5773</v>
      </c>
      <c r="N89" s="63">
        <v>1</v>
      </c>
      <c r="O89" s="7" t="s">
        <v>406</v>
      </c>
      <c r="R89" s="30" t="str">
        <f ca="1">VLOOKUP(L89,'Auxiliar Compras'!A:B,2,FALSE)</f>
        <v>Produto 16</v>
      </c>
      <c r="S89" s="57">
        <f ca="1">VLOOKUP(L89,'Auxiliar Compras'!A:D,4,FALSE)</f>
        <v>0.05</v>
      </c>
      <c r="T89" s="59">
        <f ca="1">VLOOKUP(L89,'Auxiliar Compras'!A:C,3,FALSE)</f>
        <v>1</v>
      </c>
      <c r="U89" s="59">
        <f t="shared" ca="1" si="10"/>
        <v>5773</v>
      </c>
      <c r="V89" s="58">
        <f t="shared" ca="1" si="11"/>
        <v>6061.65</v>
      </c>
      <c r="W89" s="59" t="str">
        <f>VLOOKUP(MONTH(Tabela2[[#This Row],[Data]]),'Auxiliar Compras'!I:J,2,FALSE)</f>
        <v>Mar</v>
      </c>
      <c r="X89" s="60">
        <f>YEAR(Tabela2[[#This Row],[Data]])</f>
        <v>2022</v>
      </c>
    </row>
    <row r="90" spans="2:24">
      <c r="B90">
        <v>79</v>
      </c>
      <c r="C90" s="1">
        <v>44675</v>
      </c>
      <c r="E90" t="str">
        <f t="shared" ca="1" si="12"/>
        <v>Comprador 09</v>
      </c>
      <c r="L90" t="str">
        <f t="shared" ca="1" si="13"/>
        <v>Produto 03</v>
      </c>
      <c r="M90" s="3">
        <v>3437</v>
      </c>
      <c r="N90" s="63">
        <v>15</v>
      </c>
      <c r="O90" s="7" t="s">
        <v>406</v>
      </c>
      <c r="R90" s="30" t="str">
        <f ca="1">VLOOKUP(L90,'Auxiliar Compras'!A:B,2,FALSE)</f>
        <v>Produto 03</v>
      </c>
      <c r="S90" s="57">
        <f ca="1">VLOOKUP(L90,'Auxiliar Compras'!A:D,4,FALSE)</f>
        <v>0.05</v>
      </c>
      <c r="T90" s="59">
        <f ca="1">VLOOKUP(L90,'Auxiliar Compras'!A:C,3,FALSE)</f>
        <v>1</v>
      </c>
      <c r="U90" s="59">
        <f t="shared" ca="1" si="10"/>
        <v>3437</v>
      </c>
      <c r="V90" s="58">
        <f t="shared" ca="1" si="11"/>
        <v>54132.75</v>
      </c>
      <c r="W90" s="59" t="str">
        <f>VLOOKUP(MONTH(Tabela2[[#This Row],[Data]]),'Auxiliar Compras'!I:J,2,FALSE)</f>
        <v>Abr</v>
      </c>
      <c r="X90" s="60">
        <f>YEAR(Tabela2[[#This Row],[Data]])</f>
        <v>2022</v>
      </c>
    </row>
    <row r="91" spans="2:24">
      <c r="B91">
        <v>80</v>
      </c>
      <c r="C91" s="1">
        <v>44689</v>
      </c>
      <c r="E91" t="str">
        <f t="shared" ca="1" si="12"/>
        <v>Comprador 03</v>
      </c>
      <c r="L91" t="str">
        <f t="shared" ca="1" si="13"/>
        <v>Produto 09</v>
      </c>
      <c r="M91" s="3">
        <v>5228</v>
      </c>
      <c r="N91" s="63">
        <v>3</v>
      </c>
      <c r="O91" s="7" t="s">
        <v>406</v>
      </c>
      <c r="R91" s="30" t="str">
        <f ca="1">VLOOKUP(L91,'Auxiliar Compras'!A:B,2,FALSE)</f>
        <v>Produto 09</v>
      </c>
      <c r="S91" s="57">
        <f ca="1">VLOOKUP(L91,'Auxiliar Compras'!A:D,4,FALSE)</f>
        <v>0</v>
      </c>
      <c r="T91" s="59">
        <f ca="1">VLOOKUP(L91,'Auxiliar Compras'!A:C,3,FALSE)</f>
        <v>1</v>
      </c>
      <c r="U91" s="59">
        <f t="shared" ca="1" si="10"/>
        <v>5228</v>
      </c>
      <c r="V91" s="58">
        <f t="shared" ca="1" si="11"/>
        <v>15684</v>
      </c>
      <c r="W91" s="59" t="str">
        <f>VLOOKUP(MONTH(Tabela2[[#This Row],[Data]]),'Auxiliar Compras'!I:J,2,FALSE)</f>
        <v>Mai</v>
      </c>
      <c r="X91" s="60">
        <f>YEAR(Tabela2[[#This Row],[Data]])</f>
        <v>2022</v>
      </c>
    </row>
    <row r="92" spans="2:24">
      <c r="B92">
        <v>81</v>
      </c>
      <c r="C92" s="1">
        <v>44679</v>
      </c>
      <c r="E92" t="str">
        <f t="shared" ca="1" si="12"/>
        <v>Comprador 19</v>
      </c>
      <c r="L92" t="str">
        <f t="shared" ca="1" si="13"/>
        <v>Produto 14</v>
      </c>
      <c r="M92" s="3">
        <v>5107</v>
      </c>
      <c r="N92" s="63">
        <v>20</v>
      </c>
      <c r="O92" s="7" t="s">
        <v>406</v>
      </c>
      <c r="R92" s="30" t="str">
        <f ca="1">VLOOKUP(L92,'Auxiliar Compras'!A:B,2,FALSE)</f>
        <v>Produto 14</v>
      </c>
      <c r="S92" s="57">
        <f ca="1">VLOOKUP(L92,'Auxiliar Compras'!A:D,4,FALSE)</f>
        <v>0</v>
      </c>
      <c r="T92" s="59">
        <f ca="1">VLOOKUP(L92,'Auxiliar Compras'!A:C,3,FALSE)</f>
        <v>1.68</v>
      </c>
      <c r="U92" s="59">
        <f t="shared" ca="1" si="10"/>
        <v>8579.76</v>
      </c>
      <c r="V92" s="58">
        <f t="shared" ca="1" si="11"/>
        <v>102140</v>
      </c>
      <c r="W92" s="59" t="str">
        <f>VLOOKUP(MONTH(Tabela2[[#This Row],[Data]]),'Auxiliar Compras'!I:J,2,FALSE)</f>
        <v>Abr</v>
      </c>
      <c r="X92" s="60">
        <f>YEAR(Tabela2[[#This Row],[Data]])</f>
        <v>2022</v>
      </c>
    </row>
    <row r="93" spans="2:24">
      <c r="B93">
        <v>82</v>
      </c>
      <c r="C93" s="1">
        <v>44639</v>
      </c>
      <c r="E93" t="str">
        <f t="shared" ca="1" si="12"/>
        <v>Comprador 09</v>
      </c>
      <c r="L93" t="str">
        <f t="shared" ca="1" si="13"/>
        <v>Produto 12</v>
      </c>
      <c r="M93" s="3">
        <v>3767</v>
      </c>
      <c r="N93" s="63">
        <v>2</v>
      </c>
      <c r="O93" s="7" t="s">
        <v>406</v>
      </c>
      <c r="R93" s="30" t="str">
        <f ca="1">VLOOKUP(L93,'Auxiliar Compras'!A:B,2,FALSE)</f>
        <v>Produto 12</v>
      </c>
      <c r="S93" s="57">
        <f ca="1">VLOOKUP(L93,'Auxiliar Compras'!A:D,4,FALSE)</f>
        <v>0</v>
      </c>
      <c r="T93" s="59">
        <f ca="1">VLOOKUP(L93,'Auxiliar Compras'!A:C,3,FALSE)</f>
        <v>1</v>
      </c>
      <c r="U93" s="59">
        <f t="shared" ca="1" si="10"/>
        <v>3767</v>
      </c>
      <c r="V93" s="58">
        <f t="shared" ca="1" si="11"/>
        <v>7534</v>
      </c>
      <c r="W93" s="59" t="str">
        <f>VLOOKUP(MONTH(Tabela2[[#This Row],[Data]]),'Auxiliar Compras'!I:J,2,FALSE)</f>
        <v>Mar</v>
      </c>
      <c r="X93" s="60">
        <f>YEAR(Tabela2[[#This Row],[Data]])</f>
        <v>2022</v>
      </c>
    </row>
    <row r="94" spans="2:24">
      <c r="B94">
        <v>83</v>
      </c>
      <c r="C94" s="1">
        <v>44617</v>
      </c>
      <c r="E94" t="str">
        <f t="shared" ca="1" si="12"/>
        <v>Comprador 11</v>
      </c>
      <c r="L94" t="str">
        <f t="shared" ca="1" si="13"/>
        <v>Produto 12</v>
      </c>
      <c r="M94" s="3">
        <v>1058</v>
      </c>
      <c r="N94" s="63">
        <v>18</v>
      </c>
      <c r="O94" s="7" t="s">
        <v>406</v>
      </c>
      <c r="R94" s="30" t="str">
        <f ca="1">VLOOKUP(L94,'Auxiliar Compras'!A:B,2,FALSE)</f>
        <v>Produto 12</v>
      </c>
      <c r="S94" s="57">
        <f ca="1">VLOOKUP(L94,'Auxiliar Compras'!A:D,4,FALSE)</f>
        <v>0</v>
      </c>
      <c r="T94" s="59">
        <f ca="1">VLOOKUP(L94,'Auxiliar Compras'!A:C,3,FALSE)</f>
        <v>1</v>
      </c>
      <c r="U94" s="59">
        <f t="shared" ref="U94:U125" ca="1" si="14">T94*M94</f>
        <v>1058</v>
      </c>
      <c r="V94" s="58">
        <f t="shared" ref="V94:V125" ca="1" si="15">N94*M94+(M94*N94*S94)</f>
        <v>19044</v>
      </c>
      <c r="W94" s="59" t="str">
        <f>VLOOKUP(MONTH(Tabela2[[#This Row],[Data]]),'Auxiliar Compras'!I:J,2,FALSE)</f>
        <v>Fev</v>
      </c>
      <c r="X94" s="60">
        <f>YEAR(Tabela2[[#This Row],[Data]])</f>
        <v>2022</v>
      </c>
    </row>
    <row r="95" spans="2:24">
      <c r="B95">
        <v>84</v>
      </c>
      <c r="C95" s="1">
        <v>44652</v>
      </c>
      <c r="E95" t="str">
        <f t="shared" ca="1" si="12"/>
        <v>Comprador 20</v>
      </c>
      <c r="L95" t="str">
        <f t="shared" ca="1" si="13"/>
        <v>Produto 01</v>
      </c>
      <c r="M95" s="3">
        <v>370</v>
      </c>
      <c r="N95" s="63">
        <v>22</v>
      </c>
      <c r="O95" s="7" t="s">
        <v>406</v>
      </c>
      <c r="R95" s="30" t="str">
        <f ca="1">VLOOKUP(L95,'Auxiliar Compras'!A:B,2,FALSE)</f>
        <v>Produto 01</v>
      </c>
      <c r="S95" s="57">
        <f ca="1">VLOOKUP(L95,'Auxiliar Compras'!A:D,4,FALSE)</f>
        <v>0</v>
      </c>
      <c r="T95" s="59">
        <f ca="1">VLOOKUP(L95,'Auxiliar Compras'!A:C,3,FALSE)</f>
        <v>1.1000000000000001</v>
      </c>
      <c r="U95" s="59">
        <f t="shared" ca="1" si="14"/>
        <v>407.00000000000006</v>
      </c>
      <c r="V95" s="58">
        <f t="shared" ca="1" si="15"/>
        <v>8140</v>
      </c>
      <c r="W95" s="59" t="str">
        <f>VLOOKUP(MONTH(Tabela2[[#This Row],[Data]]),'Auxiliar Compras'!I:J,2,FALSE)</f>
        <v>Abr</v>
      </c>
      <c r="X95" s="60">
        <f>YEAR(Tabela2[[#This Row],[Data]])</f>
        <v>2022</v>
      </c>
    </row>
    <row r="96" spans="2:24">
      <c r="B96">
        <v>85</v>
      </c>
      <c r="C96" s="1">
        <v>44704</v>
      </c>
      <c r="E96" t="str">
        <f t="shared" ca="1" si="12"/>
        <v>Comprador 14</v>
      </c>
      <c r="L96" t="str">
        <f t="shared" ca="1" si="13"/>
        <v>Produto 16</v>
      </c>
      <c r="M96" s="3">
        <v>3565</v>
      </c>
      <c r="N96" s="63">
        <v>23</v>
      </c>
      <c r="O96" s="7" t="s">
        <v>408</v>
      </c>
      <c r="R96" s="30" t="str">
        <f ca="1">VLOOKUP(L96,'Auxiliar Compras'!A:B,2,FALSE)</f>
        <v>Produto 16</v>
      </c>
      <c r="S96" s="57">
        <f ca="1">VLOOKUP(L96,'Auxiliar Compras'!A:D,4,FALSE)</f>
        <v>0.05</v>
      </c>
      <c r="T96" s="59">
        <f ca="1">VLOOKUP(L96,'Auxiliar Compras'!A:C,3,FALSE)</f>
        <v>1</v>
      </c>
      <c r="U96" s="59">
        <f t="shared" ca="1" si="14"/>
        <v>3565</v>
      </c>
      <c r="V96" s="58">
        <f t="shared" ca="1" si="15"/>
        <v>86094.75</v>
      </c>
      <c r="W96" s="59" t="str">
        <f>VLOOKUP(MONTH(Tabela2[[#This Row],[Data]]),'Auxiliar Compras'!I:J,2,FALSE)</f>
        <v>Mai</v>
      </c>
      <c r="X96" s="60">
        <f>YEAR(Tabela2[[#This Row],[Data]])</f>
        <v>2022</v>
      </c>
    </row>
    <row r="97" spans="2:24">
      <c r="B97">
        <v>86</v>
      </c>
      <c r="C97" s="1">
        <v>44626</v>
      </c>
      <c r="E97" t="str">
        <f t="shared" ca="1" si="12"/>
        <v>Comprador 17</v>
      </c>
      <c r="L97" t="str">
        <f t="shared" ca="1" si="13"/>
        <v>Produto 12</v>
      </c>
      <c r="M97" s="3">
        <v>976</v>
      </c>
      <c r="N97" s="63">
        <v>17</v>
      </c>
      <c r="O97" s="7" t="s">
        <v>408</v>
      </c>
      <c r="R97" s="30" t="str">
        <f ca="1">VLOOKUP(L97,'Auxiliar Compras'!A:B,2,FALSE)</f>
        <v>Produto 12</v>
      </c>
      <c r="S97" s="57">
        <f ca="1">VLOOKUP(L97,'Auxiliar Compras'!A:D,4,FALSE)</f>
        <v>0</v>
      </c>
      <c r="T97" s="59">
        <f ca="1">VLOOKUP(L97,'Auxiliar Compras'!A:C,3,FALSE)</f>
        <v>1</v>
      </c>
      <c r="U97" s="59">
        <f t="shared" ca="1" si="14"/>
        <v>976</v>
      </c>
      <c r="V97" s="58">
        <f t="shared" ca="1" si="15"/>
        <v>16592</v>
      </c>
      <c r="W97" s="59" t="str">
        <f>VLOOKUP(MONTH(Tabela2[[#This Row],[Data]]),'Auxiliar Compras'!I:J,2,FALSE)</f>
        <v>Mar</v>
      </c>
      <c r="X97" s="60">
        <f>YEAR(Tabela2[[#This Row],[Data]])</f>
        <v>2022</v>
      </c>
    </row>
    <row r="98" spans="2:24">
      <c r="B98">
        <v>87</v>
      </c>
      <c r="C98" s="1">
        <v>44652</v>
      </c>
      <c r="E98" t="str">
        <f t="shared" ca="1" si="12"/>
        <v>Comprador 08</v>
      </c>
      <c r="L98" t="str">
        <f t="shared" ca="1" si="13"/>
        <v>Produto 11</v>
      </c>
      <c r="M98" s="3">
        <v>2242</v>
      </c>
      <c r="N98" s="63">
        <v>16</v>
      </c>
      <c r="O98" s="7" t="s">
        <v>408</v>
      </c>
      <c r="R98" s="30" t="str">
        <f ca="1">VLOOKUP(L98,'Auxiliar Compras'!A:B,2,FALSE)</f>
        <v>Produto 11</v>
      </c>
      <c r="S98" s="57">
        <f ca="1">VLOOKUP(L98,'Auxiliar Compras'!A:D,4,FALSE)</f>
        <v>0</v>
      </c>
      <c r="T98" s="59">
        <f ca="1">VLOOKUP(L98,'Auxiliar Compras'!A:C,3,FALSE)</f>
        <v>1</v>
      </c>
      <c r="U98" s="59">
        <f t="shared" ca="1" si="14"/>
        <v>2242</v>
      </c>
      <c r="V98" s="58">
        <f t="shared" ca="1" si="15"/>
        <v>35872</v>
      </c>
      <c r="W98" s="59" t="str">
        <f>VLOOKUP(MONTH(Tabela2[[#This Row],[Data]]),'Auxiliar Compras'!I:J,2,FALSE)</f>
        <v>Abr</v>
      </c>
      <c r="X98" s="60">
        <f>YEAR(Tabela2[[#This Row],[Data]])</f>
        <v>2022</v>
      </c>
    </row>
    <row r="99" spans="2:24">
      <c r="B99">
        <v>88</v>
      </c>
      <c r="C99" s="1">
        <v>44655</v>
      </c>
      <c r="E99" t="str">
        <f t="shared" ca="1" si="12"/>
        <v>Comprador 17</v>
      </c>
      <c r="L99" t="str">
        <f t="shared" ca="1" si="13"/>
        <v>Produto 07</v>
      </c>
      <c r="M99" s="3">
        <v>221</v>
      </c>
      <c r="N99" s="63">
        <v>16</v>
      </c>
      <c r="O99" s="7" t="s">
        <v>408</v>
      </c>
      <c r="R99" s="30" t="str">
        <f ca="1">VLOOKUP(L99,'Auxiliar Compras'!A:B,2,FALSE)</f>
        <v>Produto 07</v>
      </c>
      <c r="S99" s="57">
        <f ca="1">VLOOKUP(L99,'Auxiliar Compras'!A:D,4,FALSE)</f>
        <v>0</v>
      </c>
      <c r="T99" s="59">
        <f ca="1">VLOOKUP(L99,'Auxiliar Compras'!A:C,3,FALSE)</f>
        <v>0.5</v>
      </c>
      <c r="U99" s="59">
        <f t="shared" ca="1" si="14"/>
        <v>110.5</v>
      </c>
      <c r="V99" s="58">
        <f t="shared" ca="1" si="15"/>
        <v>3536</v>
      </c>
      <c r="W99" s="59" t="str">
        <f>VLOOKUP(MONTH(Tabela2[[#This Row],[Data]]),'Auxiliar Compras'!I:J,2,FALSE)</f>
        <v>Abr</v>
      </c>
      <c r="X99" s="60">
        <f>YEAR(Tabela2[[#This Row],[Data]])</f>
        <v>2022</v>
      </c>
    </row>
    <row r="100" spans="2:24">
      <c r="B100">
        <v>89</v>
      </c>
      <c r="C100" s="1">
        <v>44576</v>
      </c>
      <c r="E100" t="str">
        <f t="shared" ca="1" si="12"/>
        <v>Comprador 07</v>
      </c>
      <c r="L100" t="str">
        <f t="shared" ca="1" si="13"/>
        <v>Produto 03</v>
      </c>
      <c r="M100" s="3">
        <v>5166</v>
      </c>
      <c r="N100" s="63">
        <v>9</v>
      </c>
      <c r="O100" s="7" t="s">
        <v>408</v>
      </c>
      <c r="R100" s="30" t="str">
        <f ca="1">VLOOKUP(L100,'Auxiliar Compras'!A:B,2,FALSE)</f>
        <v>Produto 03</v>
      </c>
      <c r="S100" s="57">
        <f ca="1">VLOOKUP(L100,'Auxiliar Compras'!A:D,4,FALSE)</f>
        <v>0.05</v>
      </c>
      <c r="T100" s="59">
        <f ca="1">VLOOKUP(L100,'Auxiliar Compras'!A:C,3,FALSE)</f>
        <v>1</v>
      </c>
      <c r="U100" s="59">
        <f t="shared" ca="1" si="14"/>
        <v>5166</v>
      </c>
      <c r="V100" s="58">
        <f t="shared" ca="1" si="15"/>
        <v>48818.7</v>
      </c>
      <c r="W100" s="59" t="str">
        <f>VLOOKUP(MONTH(Tabela2[[#This Row],[Data]]),'Auxiliar Compras'!I:J,2,FALSE)</f>
        <v>Jan</v>
      </c>
      <c r="X100" s="60">
        <f>YEAR(Tabela2[[#This Row],[Data]])</f>
        <v>2022</v>
      </c>
    </row>
    <row r="101" spans="2:24">
      <c r="B101">
        <v>90</v>
      </c>
      <c r="C101" s="1">
        <v>44581</v>
      </c>
      <c r="E101" t="str">
        <f t="shared" ca="1" si="12"/>
        <v>Comprador 05</v>
      </c>
      <c r="L101" t="str">
        <f t="shared" ca="1" si="13"/>
        <v>Produto 12</v>
      </c>
      <c r="M101" s="3">
        <v>3348</v>
      </c>
      <c r="N101" s="63">
        <v>3</v>
      </c>
      <c r="O101" s="7" t="s">
        <v>406</v>
      </c>
      <c r="R101" s="30" t="str">
        <f ca="1">VLOOKUP(L101,'Auxiliar Compras'!A:B,2,FALSE)</f>
        <v>Produto 12</v>
      </c>
      <c r="S101" s="57">
        <f ca="1">VLOOKUP(L101,'Auxiliar Compras'!A:D,4,FALSE)</f>
        <v>0</v>
      </c>
      <c r="T101" s="59">
        <f ca="1">VLOOKUP(L101,'Auxiliar Compras'!A:C,3,FALSE)</f>
        <v>1</v>
      </c>
      <c r="U101" s="59">
        <f t="shared" ca="1" si="14"/>
        <v>3348</v>
      </c>
      <c r="V101" s="58">
        <f t="shared" ca="1" si="15"/>
        <v>10044</v>
      </c>
      <c r="W101" s="59" t="str">
        <f>VLOOKUP(MONTH(Tabela2[[#This Row],[Data]]),'Auxiliar Compras'!I:J,2,FALSE)</f>
        <v>Jan</v>
      </c>
      <c r="X101" s="60">
        <f>YEAR(Tabela2[[#This Row],[Data]])</f>
        <v>2022</v>
      </c>
    </row>
    <row r="102" spans="2:24">
      <c r="B102">
        <v>91</v>
      </c>
      <c r="C102" s="1">
        <v>44698</v>
      </c>
      <c r="E102" t="str">
        <f t="shared" ca="1" si="12"/>
        <v>Comprador 18</v>
      </c>
      <c r="L102" t="str">
        <f t="shared" ca="1" si="13"/>
        <v>Produto 02</v>
      </c>
      <c r="M102" s="3">
        <v>5513</v>
      </c>
      <c r="N102" s="63">
        <v>22</v>
      </c>
      <c r="O102" s="7" t="s">
        <v>406</v>
      </c>
      <c r="R102" s="30" t="str">
        <f ca="1">VLOOKUP(L102,'Auxiliar Compras'!A:B,2,FALSE)</f>
        <v>Produto 02</v>
      </c>
      <c r="S102" s="57">
        <f ca="1">VLOOKUP(L102,'Auxiliar Compras'!A:D,4,FALSE)</f>
        <v>0.05</v>
      </c>
      <c r="T102" s="59">
        <f ca="1">VLOOKUP(L102,'Auxiliar Compras'!A:C,3,FALSE)</f>
        <v>1</v>
      </c>
      <c r="U102" s="59">
        <f t="shared" ca="1" si="14"/>
        <v>5513</v>
      </c>
      <c r="V102" s="58">
        <f t="shared" ca="1" si="15"/>
        <v>127350.3</v>
      </c>
      <c r="W102" s="59" t="str">
        <f>VLOOKUP(MONTH(Tabela2[[#This Row],[Data]]),'Auxiliar Compras'!I:J,2,FALSE)</f>
        <v>Mai</v>
      </c>
      <c r="X102" s="60">
        <f>YEAR(Tabela2[[#This Row],[Data]])</f>
        <v>2022</v>
      </c>
    </row>
    <row r="103" spans="2:24">
      <c r="B103">
        <v>92</v>
      </c>
      <c r="C103" s="1">
        <v>44607</v>
      </c>
      <c r="E103" t="str">
        <f t="shared" ca="1" si="12"/>
        <v>Comprador 13</v>
      </c>
      <c r="L103" t="str">
        <f t="shared" ca="1" si="13"/>
        <v>Produto 01</v>
      </c>
      <c r="M103" s="3">
        <v>770</v>
      </c>
      <c r="N103" s="63">
        <v>18</v>
      </c>
      <c r="O103" s="7" t="s">
        <v>406</v>
      </c>
      <c r="R103" s="30" t="str">
        <f ca="1">VLOOKUP(L103,'Auxiliar Compras'!A:B,2,FALSE)</f>
        <v>Produto 01</v>
      </c>
      <c r="S103" s="57">
        <f ca="1">VLOOKUP(L103,'Auxiliar Compras'!A:D,4,FALSE)</f>
        <v>0</v>
      </c>
      <c r="T103" s="59">
        <f ca="1">VLOOKUP(L103,'Auxiliar Compras'!A:C,3,FALSE)</f>
        <v>1.1000000000000001</v>
      </c>
      <c r="U103" s="59">
        <f t="shared" ca="1" si="14"/>
        <v>847.00000000000011</v>
      </c>
      <c r="V103" s="58">
        <f t="shared" ca="1" si="15"/>
        <v>13860</v>
      </c>
      <c r="W103" s="59" t="str">
        <f>VLOOKUP(MONTH(Tabela2[[#This Row],[Data]]),'Auxiliar Compras'!I:J,2,FALSE)</f>
        <v>Fev</v>
      </c>
      <c r="X103" s="60">
        <f>YEAR(Tabela2[[#This Row],[Data]])</f>
        <v>2022</v>
      </c>
    </row>
    <row r="104" spans="2:24">
      <c r="B104">
        <v>93</v>
      </c>
      <c r="C104" s="1">
        <v>44652</v>
      </c>
      <c r="E104" t="str">
        <f t="shared" ca="1" si="12"/>
        <v>Comprador 09</v>
      </c>
      <c r="L104" t="str">
        <f t="shared" ca="1" si="13"/>
        <v>Produto 14</v>
      </c>
      <c r="M104" s="3">
        <v>1708</v>
      </c>
      <c r="N104" s="63">
        <v>20</v>
      </c>
      <c r="O104" s="7" t="s">
        <v>406</v>
      </c>
      <c r="R104" s="30" t="str">
        <f ca="1">VLOOKUP(L104,'Auxiliar Compras'!A:B,2,FALSE)</f>
        <v>Produto 14</v>
      </c>
      <c r="S104" s="57">
        <f ca="1">VLOOKUP(L104,'Auxiliar Compras'!A:D,4,FALSE)</f>
        <v>0</v>
      </c>
      <c r="T104" s="59">
        <f ca="1">VLOOKUP(L104,'Auxiliar Compras'!A:C,3,FALSE)</f>
        <v>1.68</v>
      </c>
      <c r="U104" s="59">
        <f t="shared" ca="1" si="14"/>
        <v>2869.44</v>
      </c>
      <c r="V104" s="58">
        <f t="shared" ca="1" si="15"/>
        <v>34160</v>
      </c>
      <c r="W104" s="59" t="str">
        <f>VLOOKUP(MONTH(Tabela2[[#This Row],[Data]]),'Auxiliar Compras'!I:J,2,FALSE)</f>
        <v>Abr</v>
      </c>
      <c r="X104" s="60">
        <f>YEAR(Tabela2[[#This Row],[Data]])</f>
        <v>2022</v>
      </c>
    </row>
    <row r="105" spans="2:24">
      <c r="B105">
        <v>94</v>
      </c>
      <c r="C105" s="1">
        <v>44680</v>
      </c>
      <c r="E105" t="str">
        <f t="shared" ca="1" si="12"/>
        <v>Comprador 16</v>
      </c>
      <c r="L105" t="str">
        <f t="shared" ca="1" si="13"/>
        <v>Produto 13</v>
      </c>
      <c r="M105" s="3">
        <v>3173</v>
      </c>
      <c r="N105" s="63">
        <v>9</v>
      </c>
      <c r="O105" s="7" t="s">
        <v>406</v>
      </c>
      <c r="R105" s="30" t="str">
        <f ca="1">VLOOKUP(L105,'Auxiliar Compras'!A:B,2,FALSE)</f>
        <v>Produto 13</v>
      </c>
      <c r="S105" s="57">
        <f ca="1">VLOOKUP(L105,'Auxiliar Compras'!A:D,4,FALSE)</f>
        <v>0</v>
      </c>
      <c r="T105" s="59">
        <f ca="1">VLOOKUP(L105,'Auxiliar Compras'!A:C,3,FALSE)</f>
        <v>0.4</v>
      </c>
      <c r="U105" s="59">
        <f t="shared" ca="1" si="14"/>
        <v>1269.2</v>
      </c>
      <c r="V105" s="58">
        <f t="shared" ca="1" si="15"/>
        <v>28557</v>
      </c>
      <c r="W105" s="59" t="str">
        <f>VLOOKUP(MONTH(Tabela2[[#This Row],[Data]]),'Auxiliar Compras'!I:J,2,FALSE)</f>
        <v>Abr</v>
      </c>
      <c r="X105" s="60">
        <f>YEAR(Tabela2[[#This Row],[Data]])</f>
        <v>2022</v>
      </c>
    </row>
    <row r="106" spans="2:24">
      <c r="B106">
        <v>95</v>
      </c>
      <c r="C106" s="1">
        <v>44580</v>
      </c>
      <c r="E106" t="str">
        <f t="shared" ca="1" si="12"/>
        <v>Comprador 11</v>
      </c>
      <c r="L106" t="str">
        <f t="shared" ca="1" si="13"/>
        <v>Produto 15</v>
      </c>
      <c r="M106" s="3">
        <v>6237</v>
      </c>
      <c r="N106" s="63">
        <v>14</v>
      </c>
      <c r="O106" s="7" t="s">
        <v>406</v>
      </c>
      <c r="R106" s="30" t="str">
        <f ca="1">VLOOKUP(L106,'Auxiliar Compras'!A:B,2,FALSE)</f>
        <v>Produto 15</v>
      </c>
      <c r="S106" s="57">
        <f ca="1">VLOOKUP(L106,'Auxiliar Compras'!A:D,4,FALSE)</f>
        <v>0</v>
      </c>
      <c r="T106" s="59">
        <f ca="1">VLOOKUP(L106,'Auxiliar Compras'!A:C,3,FALSE)</f>
        <v>1.1000000000000001</v>
      </c>
      <c r="U106" s="59">
        <f t="shared" ca="1" si="14"/>
        <v>6860.7000000000007</v>
      </c>
      <c r="V106" s="58">
        <f t="shared" ca="1" si="15"/>
        <v>87318</v>
      </c>
      <c r="W106" s="59" t="str">
        <f>VLOOKUP(MONTH(Tabela2[[#This Row],[Data]]),'Auxiliar Compras'!I:J,2,FALSE)</f>
        <v>Jan</v>
      </c>
      <c r="X106" s="60">
        <f>YEAR(Tabela2[[#This Row],[Data]])</f>
        <v>2022</v>
      </c>
    </row>
    <row r="107" spans="2:24">
      <c r="B107">
        <v>96</v>
      </c>
      <c r="C107" s="1">
        <v>44700</v>
      </c>
      <c r="E107" t="str">
        <f t="shared" ca="1" si="12"/>
        <v>Comprador 07</v>
      </c>
      <c r="L107" t="str">
        <f t="shared" ca="1" si="13"/>
        <v>Produto 14</v>
      </c>
      <c r="M107" s="3">
        <v>466</v>
      </c>
      <c r="N107" s="63">
        <v>1</v>
      </c>
      <c r="O107" s="7" t="s">
        <v>406</v>
      </c>
      <c r="R107" s="30" t="str">
        <f ca="1">VLOOKUP(L107,'Auxiliar Compras'!A:B,2,FALSE)</f>
        <v>Produto 14</v>
      </c>
      <c r="S107" s="57">
        <f ca="1">VLOOKUP(L107,'Auxiliar Compras'!A:D,4,FALSE)</f>
        <v>0</v>
      </c>
      <c r="T107" s="59">
        <f ca="1">VLOOKUP(L107,'Auxiliar Compras'!A:C,3,FALSE)</f>
        <v>1.68</v>
      </c>
      <c r="U107" s="59">
        <f t="shared" ca="1" si="14"/>
        <v>782.88</v>
      </c>
      <c r="V107" s="58">
        <f t="shared" ca="1" si="15"/>
        <v>466</v>
      </c>
      <c r="W107" s="59" t="str">
        <f>VLOOKUP(MONTH(Tabela2[[#This Row],[Data]]),'Auxiliar Compras'!I:J,2,FALSE)</f>
        <v>Mai</v>
      </c>
      <c r="X107" s="60">
        <f>YEAR(Tabela2[[#This Row],[Data]])</f>
        <v>2022</v>
      </c>
    </row>
    <row r="108" spans="2:24">
      <c r="B108">
        <v>97</v>
      </c>
      <c r="C108" s="1">
        <v>44656</v>
      </c>
      <c r="E108" t="str">
        <f t="shared" ca="1" si="12"/>
        <v>Comprador 12</v>
      </c>
      <c r="L108" t="str">
        <f t="shared" ca="1" si="13"/>
        <v>Produto 02</v>
      </c>
      <c r="M108" s="3">
        <v>1190</v>
      </c>
      <c r="N108" s="63">
        <v>5</v>
      </c>
      <c r="O108" s="7" t="s">
        <v>406</v>
      </c>
      <c r="R108" s="30" t="str">
        <f ca="1">VLOOKUP(L108,'Auxiliar Compras'!A:B,2,FALSE)</f>
        <v>Produto 02</v>
      </c>
      <c r="S108" s="57">
        <f ca="1">VLOOKUP(L108,'Auxiliar Compras'!A:D,4,FALSE)</f>
        <v>0.05</v>
      </c>
      <c r="T108" s="59">
        <f ca="1">VLOOKUP(L108,'Auxiliar Compras'!A:C,3,FALSE)</f>
        <v>1</v>
      </c>
      <c r="U108" s="59">
        <f t="shared" ca="1" si="14"/>
        <v>1190</v>
      </c>
      <c r="V108" s="58">
        <f t="shared" ca="1" si="15"/>
        <v>6247.5</v>
      </c>
      <c r="W108" s="59" t="str">
        <f>VLOOKUP(MONTH(Tabela2[[#This Row],[Data]]),'Auxiliar Compras'!I:J,2,FALSE)</f>
        <v>Abr</v>
      </c>
      <c r="X108" s="60">
        <f>YEAR(Tabela2[[#This Row],[Data]])</f>
        <v>2022</v>
      </c>
    </row>
    <row r="109" spans="2:24">
      <c r="B109">
        <v>98</v>
      </c>
      <c r="C109" s="1">
        <v>44703</v>
      </c>
      <c r="E109" t="str">
        <f t="shared" ca="1" si="12"/>
        <v>Comprador 11</v>
      </c>
      <c r="L109" t="str">
        <f t="shared" ca="1" si="13"/>
        <v>Produto 14</v>
      </c>
      <c r="M109" s="3">
        <v>1258</v>
      </c>
      <c r="N109" s="63">
        <v>2</v>
      </c>
      <c r="O109" s="7" t="s">
        <v>408</v>
      </c>
      <c r="R109" s="30" t="str">
        <f ca="1">VLOOKUP(L109,'Auxiliar Compras'!A:B,2,FALSE)</f>
        <v>Produto 14</v>
      </c>
      <c r="S109" s="57">
        <f ca="1">VLOOKUP(L109,'Auxiliar Compras'!A:D,4,FALSE)</f>
        <v>0</v>
      </c>
      <c r="T109" s="59">
        <f ca="1">VLOOKUP(L109,'Auxiliar Compras'!A:C,3,FALSE)</f>
        <v>1.68</v>
      </c>
      <c r="U109" s="59">
        <f t="shared" ca="1" si="14"/>
        <v>2113.44</v>
      </c>
      <c r="V109" s="58">
        <f t="shared" ca="1" si="15"/>
        <v>2516</v>
      </c>
      <c r="W109" s="59" t="str">
        <f>VLOOKUP(MONTH(Tabela2[[#This Row],[Data]]),'Auxiliar Compras'!I:J,2,FALSE)</f>
        <v>Mai</v>
      </c>
      <c r="X109" s="60">
        <f>YEAR(Tabela2[[#This Row],[Data]])</f>
        <v>2022</v>
      </c>
    </row>
    <row r="110" spans="2:24">
      <c r="B110">
        <v>99</v>
      </c>
      <c r="C110" s="1">
        <v>44690</v>
      </c>
      <c r="E110" t="str">
        <f t="shared" ca="1" si="12"/>
        <v>Comprador 18</v>
      </c>
      <c r="L110" t="str">
        <f t="shared" ca="1" si="13"/>
        <v>Produto 04</v>
      </c>
      <c r="M110" s="3">
        <v>3893</v>
      </c>
      <c r="N110" s="63">
        <v>5</v>
      </c>
      <c r="O110" s="7" t="s">
        <v>408</v>
      </c>
      <c r="R110" s="30" t="str">
        <f ca="1">VLOOKUP(L110,'Auxiliar Compras'!A:B,2,FALSE)</f>
        <v>Produto 04</v>
      </c>
      <c r="S110" s="57">
        <f ca="1">VLOOKUP(L110,'Auxiliar Compras'!A:D,4,FALSE)</f>
        <v>0</v>
      </c>
      <c r="T110" s="59">
        <f ca="1">VLOOKUP(L110,'Auxiliar Compras'!A:C,3,FALSE)</f>
        <v>1.1000000000000001</v>
      </c>
      <c r="U110" s="59">
        <f t="shared" ca="1" si="14"/>
        <v>4282.3</v>
      </c>
      <c r="V110" s="58">
        <f t="shared" ca="1" si="15"/>
        <v>19465</v>
      </c>
      <c r="W110" s="59" t="str">
        <f>VLOOKUP(MONTH(Tabela2[[#This Row],[Data]]),'Auxiliar Compras'!I:J,2,FALSE)</f>
        <v>Mai</v>
      </c>
      <c r="X110" s="60">
        <f>YEAR(Tabela2[[#This Row],[Data]])</f>
        <v>2022</v>
      </c>
    </row>
    <row r="111" spans="2:24">
      <c r="B111">
        <v>100</v>
      </c>
      <c r="C111" s="1">
        <v>44628</v>
      </c>
      <c r="E111" t="str">
        <f t="shared" ca="1" si="12"/>
        <v>Comprador 15</v>
      </c>
      <c r="L111" t="str">
        <f t="shared" ca="1" si="13"/>
        <v>Produto 15</v>
      </c>
      <c r="M111" s="3">
        <v>2606</v>
      </c>
      <c r="N111" s="63">
        <v>17</v>
      </c>
      <c r="O111" s="7" t="s">
        <v>408</v>
      </c>
      <c r="R111" s="30" t="str">
        <f ca="1">VLOOKUP(L111,'Auxiliar Compras'!A:B,2,FALSE)</f>
        <v>Produto 15</v>
      </c>
      <c r="S111" s="57">
        <f ca="1">VLOOKUP(L111,'Auxiliar Compras'!A:D,4,FALSE)</f>
        <v>0</v>
      </c>
      <c r="T111" s="59">
        <f ca="1">VLOOKUP(L111,'Auxiliar Compras'!A:C,3,FALSE)</f>
        <v>1.1000000000000001</v>
      </c>
      <c r="U111" s="59">
        <f t="shared" ca="1" si="14"/>
        <v>2866.6000000000004</v>
      </c>
      <c r="V111" s="58">
        <f t="shared" ca="1" si="15"/>
        <v>44302</v>
      </c>
      <c r="W111" s="59" t="str">
        <f>VLOOKUP(MONTH(Tabela2[[#This Row],[Data]]),'Auxiliar Compras'!I:J,2,FALSE)</f>
        <v>Mar</v>
      </c>
      <c r="X111" s="60">
        <f>YEAR(Tabela2[[#This Row],[Data]])</f>
        <v>2022</v>
      </c>
    </row>
    <row r="112" spans="2:24">
      <c r="B112">
        <v>101</v>
      </c>
      <c r="C112" s="1">
        <v>44655</v>
      </c>
      <c r="E112" t="str">
        <f t="shared" ca="1" si="12"/>
        <v>Comprador 16</v>
      </c>
      <c r="L112" t="str">
        <f t="shared" ca="1" si="13"/>
        <v>Produto 05</v>
      </c>
      <c r="M112" s="3">
        <v>3679</v>
      </c>
      <c r="N112" s="63">
        <v>22</v>
      </c>
      <c r="O112" s="7" t="s">
        <v>408</v>
      </c>
      <c r="R112" s="30" t="str">
        <f ca="1">VLOOKUP(L112,'Auxiliar Compras'!A:B,2,FALSE)</f>
        <v>Produto 05</v>
      </c>
      <c r="S112" s="57">
        <f ca="1">VLOOKUP(L112,'Auxiliar Compras'!A:D,4,FALSE)</f>
        <v>0</v>
      </c>
      <c r="T112" s="59">
        <f ca="1">VLOOKUP(L112,'Auxiliar Compras'!A:C,3,FALSE)</f>
        <v>1.42</v>
      </c>
      <c r="U112" s="59">
        <f t="shared" ca="1" si="14"/>
        <v>5224.1799999999994</v>
      </c>
      <c r="V112" s="58">
        <f t="shared" ca="1" si="15"/>
        <v>80938</v>
      </c>
      <c r="W112" s="59" t="str">
        <f>VLOOKUP(MONTH(Tabela2[[#This Row],[Data]]),'Auxiliar Compras'!I:J,2,FALSE)</f>
        <v>Abr</v>
      </c>
      <c r="X112" s="60">
        <f>YEAR(Tabela2[[#This Row],[Data]])</f>
        <v>2022</v>
      </c>
    </row>
    <row r="113" spans="2:24">
      <c r="B113">
        <v>102</v>
      </c>
      <c r="C113" s="1">
        <v>44631</v>
      </c>
      <c r="E113" t="str">
        <f t="shared" ca="1" si="12"/>
        <v>Comprador 09</v>
      </c>
      <c r="L113" t="str">
        <f t="shared" ca="1" si="13"/>
        <v>Produto 01</v>
      </c>
      <c r="M113" s="3">
        <v>2833</v>
      </c>
      <c r="N113" s="63">
        <v>13</v>
      </c>
      <c r="O113" s="7" t="s">
        <v>408</v>
      </c>
      <c r="R113" s="30" t="str">
        <f ca="1">VLOOKUP(L113,'Auxiliar Compras'!A:B,2,FALSE)</f>
        <v>Produto 01</v>
      </c>
      <c r="S113" s="57">
        <f ca="1">VLOOKUP(L113,'Auxiliar Compras'!A:D,4,FALSE)</f>
        <v>0</v>
      </c>
      <c r="T113" s="59">
        <f ca="1">VLOOKUP(L113,'Auxiliar Compras'!A:C,3,FALSE)</f>
        <v>1.1000000000000001</v>
      </c>
      <c r="U113" s="59">
        <f t="shared" ca="1" si="14"/>
        <v>3116.3</v>
      </c>
      <c r="V113" s="58">
        <f t="shared" ca="1" si="15"/>
        <v>36829</v>
      </c>
      <c r="W113" s="59" t="str">
        <f>VLOOKUP(MONTH(Tabela2[[#This Row],[Data]]),'Auxiliar Compras'!I:J,2,FALSE)</f>
        <v>Mar</v>
      </c>
      <c r="X113" s="60">
        <f>YEAR(Tabela2[[#This Row],[Data]])</f>
        <v>2022</v>
      </c>
    </row>
    <row r="114" spans="2:24">
      <c r="B114">
        <v>103</v>
      </c>
      <c r="C114" s="1">
        <v>44594</v>
      </c>
      <c r="E114" t="str">
        <f t="shared" ca="1" si="12"/>
        <v>Comprador 01</v>
      </c>
      <c r="L114" t="str">
        <f t="shared" ca="1" si="13"/>
        <v>Produto 14</v>
      </c>
      <c r="M114" s="3">
        <v>3604</v>
      </c>
      <c r="N114" s="63">
        <v>1</v>
      </c>
      <c r="O114" s="7" t="s">
        <v>406</v>
      </c>
      <c r="R114" s="30" t="str">
        <f ca="1">VLOOKUP(L114,'Auxiliar Compras'!A:B,2,FALSE)</f>
        <v>Produto 14</v>
      </c>
      <c r="S114" s="57">
        <f ca="1">VLOOKUP(L114,'Auxiliar Compras'!A:D,4,FALSE)</f>
        <v>0</v>
      </c>
      <c r="T114" s="59">
        <f ca="1">VLOOKUP(L114,'Auxiliar Compras'!A:C,3,FALSE)</f>
        <v>1.68</v>
      </c>
      <c r="U114" s="59">
        <f t="shared" ca="1" si="14"/>
        <v>6054.7199999999993</v>
      </c>
      <c r="V114" s="58">
        <f t="shared" ca="1" si="15"/>
        <v>3604</v>
      </c>
      <c r="W114" s="59" t="str">
        <f>VLOOKUP(MONTH(Tabela2[[#This Row],[Data]]),'Auxiliar Compras'!I:J,2,FALSE)</f>
        <v>Fev</v>
      </c>
      <c r="X114" s="60">
        <f>YEAR(Tabela2[[#This Row],[Data]])</f>
        <v>2022</v>
      </c>
    </row>
    <row r="115" spans="2:24">
      <c r="B115">
        <v>104</v>
      </c>
      <c r="C115" s="1">
        <v>44690</v>
      </c>
      <c r="E115" t="str">
        <f t="shared" ca="1" si="12"/>
        <v>Comprador 17</v>
      </c>
      <c r="L115" t="str">
        <f t="shared" ca="1" si="13"/>
        <v>Produto 01</v>
      </c>
      <c r="M115" s="3">
        <v>2450</v>
      </c>
      <c r="N115" s="63">
        <v>11</v>
      </c>
      <c r="O115" s="7" t="s">
        <v>406</v>
      </c>
      <c r="R115" s="30" t="str">
        <f ca="1">VLOOKUP(L115,'Auxiliar Compras'!A:B,2,FALSE)</f>
        <v>Produto 01</v>
      </c>
      <c r="S115" s="57">
        <f ca="1">VLOOKUP(L115,'Auxiliar Compras'!A:D,4,FALSE)</f>
        <v>0</v>
      </c>
      <c r="T115" s="59">
        <f ca="1">VLOOKUP(L115,'Auxiliar Compras'!A:C,3,FALSE)</f>
        <v>1.1000000000000001</v>
      </c>
      <c r="U115" s="59">
        <f t="shared" ca="1" si="14"/>
        <v>2695</v>
      </c>
      <c r="V115" s="58">
        <f t="shared" ca="1" si="15"/>
        <v>26950</v>
      </c>
      <c r="W115" s="59" t="str">
        <f>VLOOKUP(MONTH(Tabela2[[#This Row],[Data]]),'Auxiliar Compras'!I:J,2,FALSE)</f>
        <v>Mai</v>
      </c>
      <c r="X115" s="60">
        <f>YEAR(Tabela2[[#This Row],[Data]])</f>
        <v>2022</v>
      </c>
    </row>
    <row r="116" spans="2:24">
      <c r="B116">
        <v>105</v>
      </c>
      <c r="C116" s="1">
        <v>44669</v>
      </c>
      <c r="E116" t="str">
        <f t="shared" ca="1" si="12"/>
        <v>Comprador 06</v>
      </c>
      <c r="L116" t="str">
        <f t="shared" ca="1" si="13"/>
        <v>Produto 02</v>
      </c>
      <c r="M116" s="3">
        <v>4633</v>
      </c>
      <c r="N116" s="63">
        <v>11</v>
      </c>
      <c r="O116" s="7" t="s">
        <v>406</v>
      </c>
      <c r="R116" s="30" t="str">
        <f ca="1">VLOOKUP(L116,'Auxiliar Compras'!A:B,2,FALSE)</f>
        <v>Produto 02</v>
      </c>
      <c r="S116" s="57">
        <f ca="1">VLOOKUP(L116,'Auxiliar Compras'!A:D,4,FALSE)</f>
        <v>0.05</v>
      </c>
      <c r="T116" s="59">
        <f ca="1">VLOOKUP(L116,'Auxiliar Compras'!A:C,3,FALSE)</f>
        <v>1</v>
      </c>
      <c r="U116" s="59">
        <f t="shared" ca="1" si="14"/>
        <v>4633</v>
      </c>
      <c r="V116" s="58">
        <f t="shared" ca="1" si="15"/>
        <v>53511.15</v>
      </c>
      <c r="W116" s="59" t="str">
        <f>VLOOKUP(MONTH(Tabela2[[#This Row],[Data]]),'Auxiliar Compras'!I:J,2,FALSE)</f>
        <v>Abr</v>
      </c>
      <c r="X116" s="60">
        <f>YEAR(Tabela2[[#This Row],[Data]])</f>
        <v>2022</v>
      </c>
    </row>
    <row r="117" spans="2:24">
      <c r="B117">
        <v>106</v>
      </c>
      <c r="C117" s="1">
        <v>44659</v>
      </c>
      <c r="E117" t="str">
        <f t="shared" ca="1" si="12"/>
        <v>Comprador 10</v>
      </c>
      <c r="L117" t="str">
        <f t="shared" ca="1" si="13"/>
        <v>Produto 05</v>
      </c>
      <c r="M117" s="3">
        <v>1426</v>
      </c>
      <c r="N117" s="63">
        <v>23</v>
      </c>
      <c r="O117" s="7" t="s">
        <v>406</v>
      </c>
      <c r="R117" s="30" t="str">
        <f ca="1">VLOOKUP(L117,'Auxiliar Compras'!A:B,2,FALSE)</f>
        <v>Produto 05</v>
      </c>
      <c r="S117" s="57">
        <f ca="1">VLOOKUP(L117,'Auxiliar Compras'!A:D,4,FALSE)</f>
        <v>0</v>
      </c>
      <c r="T117" s="59">
        <f ca="1">VLOOKUP(L117,'Auxiliar Compras'!A:C,3,FALSE)</f>
        <v>1.42</v>
      </c>
      <c r="U117" s="59">
        <f t="shared" ca="1" si="14"/>
        <v>2024.9199999999998</v>
      </c>
      <c r="V117" s="58">
        <f t="shared" ca="1" si="15"/>
        <v>32798</v>
      </c>
      <c r="W117" s="59" t="str">
        <f>VLOOKUP(MONTH(Tabela2[[#This Row],[Data]]),'Auxiliar Compras'!I:J,2,FALSE)</f>
        <v>Abr</v>
      </c>
      <c r="X117" s="60">
        <f>YEAR(Tabela2[[#This Row],[Data]])</f>
        <v>2022</v>
      </c>
    </row>
    <row r="118" spans="2:24">
      <c r="B118">
        <v>107</v>
      </c>
      <c r="C118" s="1">
        <v>44585</v>
      </c>
      <c r="E118" t="str">
        <f t="shared" ca="1" si="12"/>
        <v>Comprador 18</v>
      </c>
      <c r="L118" t="str">
        <f t="shared" ca="1" si="13"/>
        <v>Produto 13</v>
      </c>
      <c r="M118" s="3">
        <v>2868</v>
      </c>
      <c r="N118" s="63">
        <v>18</v>
      </c>
      <c r="O118" s="7" t="s">
        <v>406</v>
      </c>
      <c r="R118" s="30" t="str">
        <f ca="1">VLOOKUP(L118,'Auxiliar Compras'!A:B,2,FALSE)</f>
        <v>Produto 13</v>
      </c>
      <c r="S118" s="57">
        <f ca="1">VLOOKUP(L118,'Auxiliar Compras'!A:D,4,FALSE)</f>
        <v>0</v>
      </c>
      <c r="T118" s="59">
        <f ca="1">VLOOKUP(L118,'Auxiliar Compras'!A:C,3,FALSE)</f>
        <v>0.4</v>
      </c>
      <c r="U118" s="59">
        <f t="shared" ca="1" si="14"/>
        <v>1147.2</v>
      </c>
      <c r="V118" s="58">
        <f t="shared" ca="1" si="15"/>
        <v>51624</v>
      </c>
      <c r="W118" s="59" t="str">
        <f>VLOOKUP(MONTH(Tabela2[[#This Row],[Data]]),'Auxiliar Compras'!I:J,2,FALSE)</f>
        <v>Jan</v>
      </c>
      <c r="X118" s="60">
        <f>YEAR(Tabela2[[#This Row],[Data]])</f>
        <v>2022</v>
      </c>
    </row>
    <row r="119" spans="2:24">
      <c r="B119">
        <v>108</v>
      </c>
      <c r="C119" s="1">
        <v>44649</v>
      </c>
      <c r="E119" t="str">
        <f t="shared" ca="1" si="12"/>
        <v>Comprador 20</v>
      </c>
      <c r="L119" t="str">
        <f t="shared" ca="1" si="13"/>
        <v>Produto 05</v>
      </c>
      <c r="M119" s="3">
        <v>2779</v>
      </c>
      <c r="N119" s="63">
        <v>3</v>
      </c>
      <c r="O119" s="7" t="s">
        <v>406</v>
      </c>
      <c r="R119" s="30" t="str">
        <f ca="1">VLOOKUP(L119,'Auxiliar Compras'!A:B,2,FALSE)</f>
        <v>Produto 05</v>
      </c>
      <c r="S119" s="57">
        <f ca="1">VLOOKUP(L119,'Auxiliar Compras'!A:D,4,FALSE)</f>
        <v>0</v>
      </c>
      <c r="T119" s="59">
        <f ca="1">VLOOKUP(L119,'Auxiliar Compras'!A:C,3,FALSE)</f>
        <v>1.42</v>
      </c>
      <c r="U119" s="59">
        <f t="shared" ca="1" si="14"/>
        <v>3946.18</v>
      </c>
      <c r="V119" s="58">
        <f t="shared" ca="1" si="15"/>
        <v>8337</v>
      </c>
      <c r="W119" s="59" t="str">
        <f>VLOOKUP(MONTH(Tabela2[[#This Row],[Data]]),'Auxiliar Compras'!I:J,2,FALSE)</f>
        <v>Mar</v>
      </c>
      <c r="X119" s="60">
        <f>YEAR(Tabela2[[#This Row],[Data]])</f>
        <v>2022</v>
      </c>
    </row>
    <row r="120" spans="2:24">
      <c r="B120">
        <v>109</v>
      </c>
      <c r="C120" s="1">
        <v>44587</v>
      </c>
      <c r="E120" t="str">
        <f t="shared" ca="1" si="12"/>
        <v>Comprador 05</v>
      </c>
      <c r="L120" t="str">
        <f t="shared" ca="1" si="13"/>
        <v>Produto 04</v>
      </c>
      <c r="M120" s="3">
        <v>1091</v>
      </c>
      <c r="N120" s="63">
        <v>10</v>
      </c>
      <c r="O120" s="7" t="s">
        <v>406</v>
      </c>
      <c r="R120" s="30" t="str">
        <f ca="1">VLOOKUP(L120,'Auxiliar Compras'!A:B,2,FALSE)</f>
        <v>Produto 04</v>
      </c>
      <c r="S120" s="57">
        <f ca="1">VLOOKUP(L120,'Auxiliar Compras'!A:D,4,FALSE)</f>
        <v>0</v>
      </c>
      <c r="T120" s="59">
        <f ca="1">VLOOKUP(L120,'Auxiliar Compras'!A:C,3,FALSE)</f>
        <v>1.1000000000000001</v>
      </c>
      <c r="U120" s="59">
        <f t="shared" ca="1" si="14"/>
        <v>1200.1000000000001</v>
      </c>
      <c r="V120" s="58">
        <f t="shared" ca="1" si="15"/>
        <v>10910</v>
      </c>
      <c r="W120" s="59" t="str">
        <f>VLOOKUP(MONTH(Tabela2[[#This Row],[Data]]),'Auxiliar Compras'!I:J,2,FALSE)</f>
        <v>Jan</v>
      </c>
      <c r="X120" s="60">
        <f>YEAR(Tabela2[[#This Row],[Data]])</f>
        <v>2022</v>
      </c>
    </row>
    <row r="121" spans="2:24">
      <c r="B121">
        <v>110</v>
      </c>
      <c r="C121" s="1">
        <v>44700</v>
      </c>
      <c r="E121" t="str">
        <f t="shared" ca="1" si="12"/>
        <v>Comprador 09</v>
      </c>
      <c r="L121" t="str">
        <f t="shared" ca="1" si="13"/>
        <v>Produto 03</v>
      </c>
      <c r="M121" s="3">
        <v>3787</v>
      </c>
      <c r="N121" s="63">
        <v>13</v>
      </c>
      <c r="O121" s="7" t="s">
        <v>406</v>
      </c>
      <c r="R121" s="30" t="str">
        <f ca="1">VLOOKUP(L121,'Auxiliar Compras'!A:B,2,FALSE)</f>
        <v>Produto 03</v>
      </c>
      <c r="S121" s="57">
        <f ca="1">VLOOKUP(L121,'Auxiliar Compras'!A:D,4,FALSE)</f>
        <v>0.05</v>
      </c>
      <c r="T121" s="59">
        <f ca="1">VLOOKUP(L121,'Auxiliar Compras'!A:C,3,FALSE)</f>
        <v>1</v>
      </c>
      <c r="U121" s="59">
        <f t="shared" ca="1" si="14"/>
        <v>3787</v>
      </c>
      <c r="V121" s="58">
        <f t="shared" ca="1" si="15"/>
        <v>51692.55</v>
      </c>
      <c r="W121" s="59" t="str">
        <f>VLOOKUP(MONTH(Tabela2[[#This Row],[Data]]),'Auxiliar Compras'!I:J,2,FALSE)</f>
        <v>Mai</v>
      </c>
      <c r="X121" s="60">
        <f>YEAR(Tabela2[[#This Row],[Data]])</f>
        <v>2022</v>
      </c>
    </row>
    <row r="122" spans="2:24">
      <c r="B122">
        <v>111</v>
      </c>
      <c r="C122" s="1">
        <v>44642</v>
      </c>
      <c r="E122" t="str">
        <f t="shared" ca="1" si="12"/>
        <v>Comprador 16</v>
      </c>
      <c r="L122" t="str">
        <f t="shared" ca="1" si="13"/>
        <v>Produto 04</v>
      </c>
      <c r="M122" s="3">
        <v>3900</v>
      </c>
      <c r="N122" s="63">
        <v>2</v>
      </c>
      <c r="O122" s="7" t="s">
        <v>408</v>
      </c>
      <c r="R122" s="30" t="str">
        <f ca="1">VLOOKUP(L122,'Auxiliar Compras'!A:B,2,FALSE)</f>
        <v>Produto 04</v>
      </c>
      <c r="S122" s="57">
        <f ca="1">VLOOKUP(L122,'Auxiliar Compras'!A:D,4,FALSE)</f>
        <v>0</v>
      </c>
      <c r="T122" s="59">
        <f ca="1">VLOOKUP(L122,'Auxiliar Compras'!A:C,3,FALSE)</f>
        <v>1.1000000000000001</v>
      </c>
      <c r="U122" s="59">
        <f t="shared" ca="1" si="14"/>
        <v>4290</v>
      </c>
      <c r="V122" s="58">
        <f t="shared" ca="1" si="15"/>
        <v>7800</v>
      </c>
      <c r="W122" s="59" t="str">
        <f>VLOOKUP(MONTH(Tabela2[[#This Row],[Data]]),'Auxiliar Compras'!I:J,2,FALSE)</f>
        <v>Mar</v>
      </c>
      <c r="X122" s="60">
        <f>YEAR(Tabela2[[#This Row],[Data]])</f>
        <v>2022</v>
      </c>
    </row>
    <row r="123" spans="2:24">
      <c r="B123">
        <v>112</v>
      </c>
      <c r="C123" s="1">
        <v>44609</v>
      </c>
      <c r="E123" t="str">
        <f t="shared" ca="1" si="12"/>
        <v>Comprador 14</v>
      </c>
      <c r="L123" t="str">
        <f t="shared" ca="1" si="13"/>
        <v>Produto 03</v>
      </c>
      <c r="M123" s="3">
        <v>2373</v>
      </c>
      <c r="N123" s="63">
        <v>1</v>
      </c>
      <c r="O123" s="7" t="s">
        <v>408</v>
      </c>
      <c r="R123" s="30" t="str">
        <f ca="1">VLOOKUP(L123,'Auxiliar Compras'!A:B,2,FALSE)</f>
        <v>Produto 03</v>
      </c>
      <c r="S123" s="57">
        <f ca="1">VLOOKUP(L123,'Auxiliar Compras'!A:D,4,FALSE)</f>
        <v>0.05</v>
      </c>
      <c r="T123" s="59">
        <f ca="1">VLOOKUP(L123,'Auxiliar Compras'!A:C,3,FALSE)</f>
        <v>1</v>
      </c>
      <c r="U123" s="59">
        <f t="shared" ca="1" si="14"/>
        <v>2373</v>
      </c>
      <c r="V123" s="58">
        <f t="shared" ca="1" si="15"/>
        <v>2491.65</v>
      </c>
      <c r="W123" s="59" t="str">
        <f>VLOOKUP(MONTH(Tabela2[[#This Row],[Data]]),'Auxiliar Compras'!I:J,2,FALSE)</f>
        <v>Fev</v>
      </c>
      <c r="X123" s="60">
        <f>YEAR(Tabela2[[#This Row],[Data]])</f>
        <v>2022</v>
      </c>
    </row>
    <row r="124" spans="2:24">
      <c r="B124">
        <v>113</v>
      </c>
      <c r="C124" s="1">
        <v>44609</v>
      </c>
      <c r="E124" t="str">
        <f t="shared" ca="1" si="12"/>
        <v>Comprador 02</v>
      </c>
      <c r="L124" t="str">
        <f t="shared" ca="1" si="13"/>
        <v>Produto 11</v>
      </c>
      <c r="M124" s="3">
        <v>2423</v>
      </c>
      <c r="N124" s="63">
        <v>11</v>
      </c>
      <c r="O124" s="7" t="s">
        <v>408</v>
      </c>
      <c r="R124" s="30" t="str">
        <f ca="1">VLOOKUP(L124,'Auxiliar Compras'!A:B,2,FALSE)</f>
        <v>Produto 11</v>
      </c>
      <c r="S124" s="57">
        <f ca="1">VLOOKUP(L124,'Auxiliar Compras'!A:D,4,FALSE)</f>
        <v>0</v>
      </c>
      <c r="T124" s="59">
        <f ca="1">VLOOKUP(L124,'Auxiliar Compras'!A:C,3,FALSE)</f>
        <v>1</v>
      </c>
      <c r="U124" s="59">
        <f t="shared" ca="1" si="14"/>
        <v>2423</v>
      </c>
      <c r="V124" s="58">
        <f t="shared" ca="1" si="15"/>
        <v>26653</v>
      </c>
      <c r="W124" s="59" t="str">
        <f>VLOOKUP(MONTH(Tabela2[[#This Row],[Data]]),'Auxiliar Compras'!I:J,2,FALSE)</f>
        <v>Fev</v>
      </c>
      <c r="X124" s="60">
        <f>YEAR(Tabela2[[#This Row],[Data]])</f>
        <v>2022</v>
      </c>
    </row>
    <row r="125" spans="2:24">
      <c r="B125">
        <v>114</v>
      </c>
      <c r="C125" s="1">
        <v>44653</v>
      </c>
      <c r="E125" t="str">
        <f t="shared" ca="1" si="12"/>
        <v>Comprador 03</v>
      </c>
      <c r="L125" t="str">
        <f t="shared" ca="1" si="13"/>
        <v>Produto 12</v>
      </c>
      <c r="M125" s="3">
        <v>2050</v>
      </c>
      <c r="N125" s="63">
        <v>10</v>
      </c>
      <c r="O125" s="7" t="s">
        <v>408</v>
      </c>
      <c r="R125" s="30" t="str">
        <f ca="1">VLOOKUP(L125,'Auxiliar Compras'!A:B,2,FALSE)</f>
        <v>Produto 12</v>
      </c>
      <c r="S125" s="57">
        <f ca="1">VLOOKUP(L125,'Auxiliar Compras'!A:D,4,FALSE)</f>
        <v>0</v>
      </c>
      <c r="T125" s="59">
        <f ca="1">VLOOKUP(L125,'Auxiliar Compras'!A:C,3,FALSE)</f>
        <v>1</v>
      </c>
      <c r="U125" s="59">
        <f t="shared" ca="1" si="14"/>
        <v>2050</v>
      </c>
      <c r="V125" s="58">
        <f t="shared" ca="1" si="15"/>
        <v>20500</v>
      </c>
      <c r="W125" s="59" t="str">
        <f>VLOOKUP(MONTH(Tabela2[[#This Row],[Data]]),'Auxiliar Compras'!I:J,2,FALSE)</f>
        <v>Abr</v>
      </c>
      <c r="X125" s="60">
        <f>YEAR(Tabela2[[#This Row],[Data]])</f>
        <v>2022</v>
      </c>
    </row>
    <row r="126" spans="2:24">
      <c r="B126">
        <v>115</v>
      </c>
      <c r="C126" s="1">
        <v>44608</v>
      </c>
      <c r="E126" t="str">
        <f t="shared" ca="1" si="12"/>
        <v>Comprador 06</v>
      </c>
      <c r="L126" t="str">
        <f t="shared" ca="1" si="13"/>
        <v>Produto 08</v>
      </c>
      <c r="M126" s="3">
        <v>3410</v>
      </c>
      <c r="N126" s="63">
        <v>21</v>
      </c>
      <c r="O126" s="7" t="s">
        <v>408</v>
      </c>
      <c r="R126" s="30" t="str">
        <f ca="1">VLOOKUP(L126,'Auxiliar Compras'!A:B,2,FALSE)</f>
        <v>Produto 08</v>
      </c>
      <c r="S126" s="57">
        <f ca="1">VLOOKUP(L126,'Auxiliar Compras'!A:D,4,FALSE)</f>
        <v>0</v>
      </c>
      <c r="T126" s="59">
        <f ca="1">VLOOKUP(L126,'Auxiliar Compras'!A:C,3,FALSE)</f>
        <v>1</v>
      </c>
      <c r="U126" s="59">
        <f t="shared" ref="U126:U157" ca="1" si="16">T126*M126</f>
        <v>3410</v>
      </c>
      <c r="V126" s="58">
        <f t="shared" ref="V126:V161" ca="1" si="17">N126*M126+(M126*N126*S126)</f>
        <v>71610</v>
      </c>
      <c r="W126" s="59" t="str">
        <f>VLOOKUP(MONTH(Tabela2[[#This Row],[Data]]),'Auxiliar Compras'!I:J,2,FALSE)</f>
        <v>Fev</v>
      </c>
      <c r="X126" s="60">
        <f>YEAR(Tabela2[[#This Row],[Data]])</f>
        <v>2022</v>
      </c>
    </row>
    <row r="127" spans="2:24">
      <c r="B127">
        <v>116</v>
      </c>
      <c r="C127" s="1">
        <v>44605</v>
      </c>
      <c r="E127" t="str">
        <f t="shared" ca="1" si="12"/>
        <v>Comprador 13</v>
      </c>
      <c r="L127" t="str">
        <f t="shared" ca="1" si="13"/>
        <v>Produto 14</v>
      </c>
      <c r="M127" s="3">
        <v>5811</v>
      </c>
      <c r="N127" s="63">
        <v>7</v>
      </c>
      <c r="O127" s="7" t="s">
        <v>406</v>
      </c>
      <c r="R127" s="30" t="str">
        <f ca="1">VLOOKUP(L127,'Auxiliar Compras'!A:B,2,FALSE)</f>
        <v>Produto 14</v>
      </c>
      <c r="S127" s="57">
        <f ca="1">VLOOKUP(L127,'Auxiliar Compras'!A:D,4,FALSE)</f>
        <v>0</v>
      </c>
      <c r="T127" s="59">
        <f ca="1">VLOOKUP(L127,'Auxiliar Compras'!A:C,3,FALSE)</f>
        <v>1.68</v>
      </c>
      <c r="U127" s="59">
        <f t="shared" ca="1" si="16"/>
        <v>9762.48</v>
      </c>
      <c r="V127" s="58">
        <f t="shared" ca="1" si="17"/>
        <v>40677</v>
      </c>
      <c r="W127" s="59" t="str">
        <f>VLOOKUP(MONTH(Tabela2[[#This Row],[Data]]),'Auxiliar Compras'!I:J,2,FALSE)</f>
        <v>Fev</v>
      </c>
      <c r="X127" s="60">
        <f>YEAR(Tabela2[[#This Row],[Data]])</f>
        <v>2022</v>
      </c>
    </row>
    <row r="128" spans="2:24">
      <c r="B128">
        <v>117</v>
      </c>
      <c r="C128" s="1">
        <v>44642</v>
      </c>
      <c r="E128" t="str">
        <f t="shared" ca="1" si="12"/>
        <v>Comprador 01</v>
      </c>
      <c r="L128" t="str">
        <f t="shared" ca="1" si="13"/>
        <v>Produto 02</v>
      </c>
      <c r="M128" s="3">
        <v>360</v>
      </c>
      <c r="N128" s="63">
        <v>1</v>
      </c>
      <c r="O128" s="7" t="s">
        <v>406</v>
      </c>
      <c r="R128" s="30" t="str">
        <f ca="1">VLOOKUP(L128,'Auxiliar Compras'!A:B,2,FALSE)</f>
        <v>Produto 02</v>
      </c>
      <c r="S128" s="57">
        <f ca="1">VLOOKUP(L128,'Auxiliar Compras'!A:D,4,FALSE)</f>
        <v>0.05</v>
      </c>
      <c r="T128" s="59">
        <f ca="1">VLOOKUP(L128,'Auxiliar Compras'!A:C,3,FALSE)</f>
        <v>1</v>
      </c>
      <c r="U128" s="59">
        <f t="shared" ca="1" si="16"/>
        <v>360</v>
      </c>
      <c r="V128" s="58">
        <f t="shared" ca="1" si="17"/>
        <v>378</v>
      </c>
      <c r="W128" s="59" t="str">
        <f>VLOOKUP(MONTH(Tabela2[[#This Row],[Data]]),'Auxiliar Compras'!I:J,2,FALSE)</f>
        <v>Mar</v>
      </c>
      <c r="X128" s="60">
        <f>YEAR(Tabela2[[#This Row],[Data]])</f>
        <v>2022</v>
      </c>
    </row>
    <row r="129" spans="2:24">
      <c r="B129">
        <v>118</v>
      </c>
      <c r="C129" s="1">
        <v>44687</v>
      </c>
      <c r="E129" t="str">
        <f t="shared" ca="1" si="12"/>
        <v>Comprador 09</v>
      </c>
      <c r="L129" t="str">
        <f t="shared" ca="1" si="13"/>
        <v>Produto 16</v>
      </c>
      <c r="M129" s="3">
        <v>2743</v>
      </c>
      <c r="N129" s="63">
        <v>13</v>
      </c>
      <c r="O129" s="7" t="s">
        <v>406</v>
      </c>
      <c r="R129" s="30" t="str">
        <f ca="1">VLOOKUP(L129,'Auxiliar Compras'!A:B,2,FALSE)</f>
        <v>Produto 16</v>
      </c>
      <c r="S129" s="57">
        <f ca="1">VLOOKUP(L129,'Auxiliar Compras'!A:D,4,FALSE)</f>
        <v>0.05</v>
      </c>
      <c r="T129" s="59">
        <f ca="1">VLOOKUP(L129,'Auxiliar Compras'!A:C,3,FALSE)</f>
        <v>1</v>
      </c>
      <c r="U129" s="59">
        <f t="shared" ca="1" si="16"/>
        <v>2743</v>
      </c>
      <c r="V129" s="58">
        <f t="shared" ca="1" si="17"/>
        <v>37441.949999999997</v>
      </c>
      <c r="W129" s="59" t="str">
        <f>VLOOKUP(MONTH(Tabela2[[#This Row],[Data]]),'Auxiliar Compras'!I:J,2,FALSE)</f>
        <v>Mai</v>
      </c>
      <c r="X129" s="60">
        <f>YEAR(Tabela2[[#This Row],[Data]])</f>
        <v>2022</v>
      </c>
    </row>
    <row r="130" spans="2:24">
      <c r="B130">
        <v>119</v>
      </c>
      <c r="C130" s="1">
        <v>44638</v>
      </c>
      <c r="E130" t="str">
        <f t="shared" ca="1" si="12"/>
        <v>Comprador 06</v>
      </c>
      <c r="L130" t="str">
        <f t="shared" ca="1" si="13"/>
        <v>Produto 16</v>
      </c>
      <c r="M130" s="3">
        <v>1221</v>
      </c>
      <c r="N130" s="63">
        <v>1</v>
      </c>
      <c r="O130" s="7" t="s">
        <v>406</v>
      </c>
      <c r="R130" s="30" t="str">
        <f ca="1">VLOOKUP(L130,'Auxiliar Compras'!A:B,2,FALSE)</f>
        <v>Produto 16</v>
      </c>
      <c r="S130" s="57">
        <f ca="1">VLOOKUP(L130,'Auxiliar Compras'!A:D,4,FALSE)</f>
        <v>0.05</v>
      </c>
      <c r="T130" s="59">
        <f ca="1">VLOOKUP(L130,'Auxiliar Compras'!A:C,3,FALSE)</f>
        <v>1</v>
      </c>
      <c r="U130" s="59">
        <f t="shared" ca="1" si="16"/>
        <v>1221</v>
      </c>
      <c r="V130" s="58">
        <f t="shared" ca="1" si="17"/>
        <v>1282.05</v>
      </c>
      <c r="W130" s="59" t="str">
        <f>VLOOKUP(MONTH(Tabela2[[#This Row],[Data]]),'Auxiliar Compras'!I:J,2,FALSE)</f>
        <v>Mar</v>
      </c>
      <c r="X130" s="60">
        <f>YEAR(Tabela2[[#This Row],[Data]])</f>
        <v>2022</v>
      </c>
    </row>
    <row r="131" spans="2:24">
      <c r="B131">
        <v>120</v>
      </c>
      <c r="C131" s="1">
        <v>44613</v>
      </c>
      <c r="E131" t="str">
        <f t="shared" ref="E131:E161" ca="1" si="18">VLOOKUP(RANDBETWEEN(1,20),AA:AC,3,FALSE)</f>
        <v>Comprador 13</v>
      </c>
      <c r="L131" t="str">
        <f t="shared" ref="L131:L161" ca="1" si="19">VLOOKUP(RANDBETWEEN(1,16),AA:AC,2,FALSE)</f>
        <v>Produto 02</v>
      </c>
      <c r="M131" s="3">
        <v>122</v>
      </c>
      <c r="N131" s="63">
        <v>17</v>
      </c>
      <c r="O131" s="7" t="s">
        <v>406</v>
      </c>
      <c r="R131" s="30" t="str">
        <f ca="1">VLOOKUP(L131,'Auxiliar Compras'!A:B,2,FALSE)</f>
        <v>Produto 02</v>
      </c>
      <c r="S131" s="57">
        <f ca="1">VLOOKUP(L131,'Auxiliar Compras'!A:D,4,FALSE)</f>
        <v>0.05</v>
      </c>
      <c r="T131" s="59">
        <f ca="1">VLOOKUP(L131,'Auxiliar Compras'!A:C,3,FALSE)</f>
        <v>1</v>
      </c>
      <c r="U131" s="59">
        <f t="shared" ca="1" si="16"/>
        <v>122</v>
      </c>
      <c r="V131" s="58">
        <f t="shared" ca="1" si="17"/>
        <v>2177.6999999999998</v>
      </c>
      <c r="W131" s="59" t="str">
        <f>VLOOKUP(MONTH(Tabela2[[#This Row],[Data]]),'Auxiliar Compras'!I:J,2,FALSE)</f>
        <v>Fev</v>
      </c>
      <c r="X131" s="60">
        <f>YEAR(Tabela2[[#This Row],[Data]])</f>
        <v>2022</v>
      </c>
    </row>
    <row r="132" spans="2:24">
      <c r="B132">
        <v>121</v>
      </c>
      <c r="C132" s="1">
        <v>44634</v>
      </c>
      <c r="E132" t="str">
        <f t="shared" ca="1" si="18"/>
        <v>Comprador 18</v>
      </c>
      <c r="L132" t="str">
        <f t="shared" ca="1" si="19"/>
        <v>Produto 10</v>
      </c>
      <c r="M132" s="3">
        <v>4484</v>
      </c>
      <c r="N132" s="63">
        <v>22</v>
      </c>
      <c r="O132" s="7" t="s">
        <v>406</v>
      </c>
      <c r="R132" s="30" t="str">
        <f ca="1">VLOOKUP(L132,'Auxiliar Compras'!A:B,2,FALSE)</f>
        <v>Produto 10</v>
      </c>
      <c r="S132" s="57">
        <f ca="1">VLOOKUP(L132,'Auxiliar Compras'!A:D,4,FALSE)</f>
        <v>0</v>
      </c>
      <c r="T132" s="59">
        <f ca="1">VLOOKUP(L132,'Auxiliar Compras'!A:C,3,FALSE)</f>
        <v>1</v>
      </c>
      <c r="U132" s="59">
        <f t="shared" ca="1" si="16"/>
        <v>4484</v>
      </c>
      <c r="V132" s="58">
        <f t="shared" ca="1" si="17"/>
        <v>98648</v>
      </c>
      <c r="W132" s="59" t="str">
        <f>VLOOKUP(MONTH(Tabela2[[#This Row],[Data]]),'Auxiliar Compras'!I:J,2,FALSE)</f>
        <v>Mar</v>
      </c>
      <c r="X132" s="60">
        <f>YEAR(Tabela2[[#This Row],[Data]])</f>
        <v>2022</v>
      </c>
    </row>
    <row r="133" spans="2:24">
      <c r="B133">
        <v>122</v>
      </c>
      <c r="C133" s="1">
        <v>44650</v>
      </c>
      <c r="E133" t="str">
        <f t="shared" ca="1" si="18"/>
        <v>Comprador 02</v>
      </c>
      <c r="L133" t="str">
        <f t="shared" ca="1" si="19"/>
        <v>Produto 08</v>
      </c>
      <c r="M133" s="3">
        <v>5645</v>
      </c>
      <c r="N133" s="63">
        <v>7</v>
      </c>
      <c r="O133" s="7" t="s">
        <v>406</v>
      </c>
      <c r="R133" s="30" t="str">
        <f ca="1">VLOOKUP(L133,'Auxiliar Compras'!A:B,2,FALSE)</f>
        <v>Produto 08</v>
      </c>
      <c r="S133" s="57">
        <f ca="1">VLOOKUP(L133,'Auxiliar Compras'!A:D,4,FALSE)</f>
        <v>0</v>
      </c>
      <c r="T133" s="59">
        <f ca="1">VLOOKUP(L133,'Auxiliar Compras'!A:C,3,FALSE)</f>
        <v>1</v>
      </c>
      <c r="U133" s="59">
        <f t="shared" ca="1" si="16"/>
        <v>5645</v>
      </c>
      <c r="V133" s="58">
        <f t="shared" ca="1" si="17"/>
        <v>39515</v>
      </c>
      <c r="W133" s="59" t="str">
        <f>VLOOKUP(MONTH(Tabela2[[#This Row],[Data]]),'Auxiliar Compras'!I:J,2,FALSE)</f>
        <v>Mar</v>
      </c>
      <c r="X133" s="60">
        <f>YEAR(Tabela2[[#This Row],[Data]])</f>
        <v>2022</v>
      </c>
    </row>
    <row r="134" spans="2:24">
      <c r="B134">
        <v>123</v>
      </c>
      <c r="C134" s="1">
        <v>44592</v>
      </c>
      <c r="E134" t="str">
        <f t="shared" ca="1" si="18"/>
        <v>Comprador 19</v>
      </c>
      <c r="L134" t="str">
        <f t="shared" ca="1" si="19"/>
        <v>Produto 12</v>
      </c>
      <c r="M134" s="3">
        <v>3472</v>
      </c>
      <c r="N134" s="63">
        <v>22</v>
      </c>
      <c r="O134" s="7" t="s">
        <v>406</v>
      </c>
      <c r="R134" s="30" t="str">
        <f ca="1">VLOOKUP(L134,'Auxiliar Compras'!A:B,2,FALSE)</f>
        <v>Produto 12</v>
      </c>
      <c r="S134" s="57">
        <f ca="1">VLOOKUP(L134,'Auxiliar Compras'!A:D,4,FALSE)</f>
        <v>0</v>
      </c>
      <c r="T134" s="59">
        <f ca="1">VLOOKUP(L134,'Auxiliar Compras'!A:C,3,FALSE)</f>
        <v>1</v>
      </c>
      <c r="U134" s="59">
        <f t="shared" ca="1" si="16"/>
        <v>3472</v>
      </c>
      <c r="V134" s="58">
        <f t="shared" ca="1" si="17"/>
        <v>76384</v>
      </c>
      <c r="W134" s="59" t="str">
        <f>VLOOKUP(MONTH(Tabela2[[#This Row],[Data]]),'Auxiliar Compras'!I:J,2,FALSE)</f>
        <v>Jan</v>
      </c>
      <c r="X134" s="60">
        <f>YEAR(Tabela2[[#This Row],[Data]])</f>
        <v>2022</v>
      </c>
    </row>
    <row r="135" spans="2:24">
      <c r="B135">
        <v>124</v>
      </c>
      <c r="C135" s="1">
        <v>44650</v>
      </c>
      <c r="E135" t="str">
        <f t="shared" ca="1" si="18"/>
        <v>Comprador 04</v>
      </c>
      <c r="L135" t="str">
        <f t="shared" ca="1" si="19"/>
        <v>Produto 16</v>
      </c>
      <c r="M135" s="3">
        <v>5511</v>
      </c>
      <c r="N135" s="63">
        <v>4</v>
      </c>
      <c r="O135" s="7" t="s">
        <v>408</v>
      </c>
      <c r="R135" s="30" t="str">
        <f ca="1">VLOOKUP(L135,'Auxiliar Compras'!A:B,2,FALSE)</f>
        <v>Produto 16</v>
      </c>
      <c r="S135" s="57">
        <f ca="1">VLOOKUP(L135,'Auxiliar Compras'!A:D,4,FALSE)</f>
        <v>0.05</v>
      </c>
      <c r="T135" s="59">
        <f ca="1">VLOOKUP(L135,'Auxiliar Compras'!A:C,3,FALSE)</f>
        <v>1</v>
      </c>
      <c r="U135" s="59">
        <f t="shared" ca="1" si="16"/>
        <v>5511</v>
      </c>
      <c r="V135" s="58">
        <f t="shared" ca="1" si="17"/>
        <v>23146.2</v>
      </c>
      <c r="W135" s="59" t="str">
        <f>VLOOKUP(MONTH(Tabela2[[#This Row],[Data]]),'Auxiliar Compras'!I:J,2,FALSE)</f>
        <v>Mar</v>
      </c>
      <c r="X135" s="60">
        <f>YEAR(Tabela2[[#This Row],[Data]])</f>
        <v>2022</v>
      </c>
    </row>
    <row r="136" spans="2:24">
      <c r="B136">
        <v>125</v>
      </c>
      <c r="C136" s="1">
        <v>44604</v>
      </c>
      <c r="E136" t="str">
        <f t="shared" ca="1" si="18"/>
        <v>Comprador 09</v>
      </c>
      <c r="L136" t="str">
        <f t="shared" ca="1" si="19"/>
        <v>Produto 08</v>
      </c>
      <c r="M136" s="3">
        <v>1404</v>
      </c>
      <c r="N136" s="63">
        <v>8</v>
      </c>
      <c r="O136" s="7" t="s">
        <v>408</v>
      </c>
      <c r="R136" s="30" t="str">
        <f ca="1">VLOOKUP(L136,'Auxiliar Compras'!A:B,2,FALSE)</f>
        <v>Produto 08</v>
      </c>
      <c r="S136" s="57">
        <f ca="1">VLOOKUP(L136,'Auxiliar Compras'!A:D,4,FALSE)</f>
        <v>0</v>
      </c>
      <c r="T136" s="59">
        <f ca="1">VLOOKUP(L136,'Auxiliar Compras'!A:C,3,FALSE)</f>
        <v>1</v>
      </c>
      <c r="U136" s="59">
        <f t="shared" ca="1" si="16"/>
        <v>1404</v>
      </c>
      <c r="V136" s="58">
        <f t="shared" ca="1" si="17"/>
        <v>11232</v>
      </c>
      <c r="W136" s="59" t="str">
        <f>VLOOKUP(MONTH(Tabela2[[#This Row],[Data]]),'Auxiliar Compras'!I:J,2,FALSE)</f>
        <v>Fev</v>
      </c>
      <c r="X136" s="60">
        <f>YEAR(Tabela2[[#This Row],[Data]])</f>
        <v>2022</v>
      </c>
    </row>
    <row r="137" spans="2:24">
      <c r="B137">
        <v>126</v>
      </c>
      <c r="C137" s="1">
        <v>44615</v>
      </c>
      <c r="E137" t="str">
        <f t="shared" ca="1" si="18"/>
        <v>Comprador 12</v>
      </c>
      <c r="L137" t="str">
        <f t="shared" ca="1" si="19"/>
        <v>Produto 09</v>
      </c>
      <c r="M137" s="3">
        <v>4371</v>
      </c>
      <c r="N137" s="63">
        <v>20</v>
      </c>
      <c r="O137" s="7" t="s">
        <v>408</v>
      </c>
      <c r="R137" s="30" t="str">
        <f ca="1">VLOOKUP(L137,'Auxiliar Compras'!A:B,2,FALSE)</f>
        <v>Produto 09</v>
      </c>
      <c r="S137" s="57">
        <f ca="1">VLOOKUP(L137,'Auxiliar Compras'!A:D,4,FALSE)</f>
        <v>0</v>
      </c>
      <c r="T137" s="59">
        <f ca="1">VLOOKUP(L137,'Auxiliar Compras'!A:C,3,FALSE)</f>
        <v>1</v>
      </c>
      <c r="U137" s="59">
        <f t="shared" ca="1" si="16"/>
        <v>4371</v>
      </c>
      <c r="V137" s="58">
        <f t="shared" ca="1" si="17"/>
        <v>87420</v>
      </c>
      <c r="W137" s="59" t="str">
        <f>VLOOKUP(MONTH(Tabela2[[#This Row],[Data]]),'Auxiliar Compras'!I:J,2,FALSE)</f>
        <v>Fev</v>
      </c>
      <c r="X137" s="60">
        <f>YEAR(Tabela2[[#This Row],[Data]])</f>
        <v>2022</v>
      </c>
    </row>
    <row r="138" spans="2:24">
      <c r="B138">
        <v>127</v>
      </c>
      <c r="C138" s="1">
        <v>44649</v>
      </c>
      <c r="E138" t="str">
        <f t="shared" ca="1" si="18"/>
        <v>Comprador 03</v>
      </c>
      <c r="L138" t="str">
        <f t="shared" ca="1" si="19"/>
        <v>Produto 09</v>
      </c>
      <c r="M138" s="3">
        <v>540</v>
      </c>
      <c r="N138" s="63">
        <v>14</v>
      </c>
      <c r="O138" s="7" t="s">
        <v>408</v>
      </c>
      <c r="R138" s="30" t="str">
        <f ca="1">VLOOKUP(L138,'Auxiliar Compras'!A:B,2,FALSE)</f>
        <v>Produto 09</v>
      </c>
      <c r="S138" s="57">
        <f ca="1">VLOOKUP(L138,'Auxiliar Compras'!A:D,4,FALSE)</f>
        <v>0</v>
      </c>
      <c r="T138" s="59">
        <f ca="1">VLOOKUP(L138,'Auxiliar Compras'!A:C,3,FALSE)</f>
        <v>1</v>
      </c>
      <c r="U138" s="59">
        <f t="shared" ca="1" si="16"/>
        <v>540</v>
      </c>
      <c r="V138" s="58">
        <f t="shared" ca="1" si="17"/>
        <v>7560</v>
      </c>
      <c r="W138" s="59" t="str">
        <f>VLOOKUP(MONTH(Tabela2[[#This Row],[Data]]),'Auxiliar Compras'!I:J,2,FALSE)</f>
        <v>Mar</v>
      </c>
      <c r="X138" s="60">
        <f>YEAR(Tabela2[[#This Row],[Data]])</f>
        <v>2022</v>
      </c>
    </row>
    <row r="139" spans="2:24">
      <c r="B139">
        <v>128</v>
      </c>
      <c r="C139" s="1">
        <v>44689</v>
      </c>
      <c r="E139" t="str">
        <f t="shared" ca="1" si="18"/>
        <v>Comprador 02</v>
      </c>
      <c r="L139" t="str">
        <f t="shared" ca="1" si="19"/>
        <v>Produto 12</v>
      </c>
      <c r="M139" s="3">
        <v>2912</v>
      </c>
      <c r="N139" s="63">
        <v>4</v>
      </c>
      <c r="O139" s="7" t="s">
        <v>408</v>
      </c>
      <c r="R139" s="30" t="str">
        <f ca="1">VLOOKUP(L139,'Auxiliar Compras'!A:B,2,FALSE)</f>
        <v>Produto 12</v>
      </c>
      <c r="S139" s="57">
        <f ca="1">VLOOKUP(L139,'Auxiliar Compras'!A:D,4,FALSE)</f>
        <v>0</v>
      </c>
      <c r="T139" s="59">
        <f ca="1">VLOOKUP(L139,'Auxiliar Compras'!A:C,3,FALSE)</f>
        <v>1</v>
      </c>
      <c r="U139" s="59">
        <f t="shared" ca="1" si="16"/>
        <v>2912</v>
      </c>
      <c r="V139" s="58">
        <f t="shared" ca="1" si="17"/>
        <v>11648</v>
      </c>
      <c r="W139" s="59" t="str">
        <f>VLOOKUP(MONTH(Tabela2[[#This Row],[Data]]),'Auxiliar Compras'!I:J,2,FALSE)</f>
        <v>Mai</v>
      </c>
      <c r="X139" s="60">
        <f>YEAR(Tabela2[[#This Row],[Data]])</f>
        <v>2022</v>
      </c>
    </row>
    <row r="140" spans="2:24">
      <c r="B140">
        <v>129</v>
      </c>
      <c r="C140" s="1">
        <v>44681</v>
      </c>
      <c r="E140" t="str">
        <f t="shared" ca="1" si="18"/>
        <v>Comprador 03</v>
      </c>
      <c r="L140" t="str">
        <f t="shared" ca="1" si="19"/>
        <v>Produto 01</v>
      </c>
      <c r="M140" s="3">
        <v>4782</v>
      </c>
      <c r="N140" s="63">
        <v>14</v>
      </c>
      <c r="O140" s="7" t="s">
        <v>406</v>
      </c>
      <c r="R140" s="30" t="str">
        <f ca="1">VLOOKUP(L140,'Auxiliar Compras'!A:B,2,FALSE)</f>
        <v>Produto 01</v>
      </c>
      <c r="S140" s="57">
        <f ca="1">VLOOKUP(L140,'Auxiliar Compras'!A:D,4,FALSE)</f>
        <v>0</v>
      </c>
      <c r="T140" s="59">
        <f ca="1">VLOOKUP(L140,'Auxiliar Compras'!A:C,3,FALSE)</f>
        <v>1.1000000000000001</v>
      </c>
      <c r="U140" s="59">
        <f t="shared" ca="1" si="16"/>
        <v>5260.2000000000007</v>
      </c>
      <c r="V140" s="58">
        <f t="shared" ca="1" si="17"/>
        <v>66948</v>
      </c>
      <c r="W140" s="59" t="str">
        <f>VLOOKUP(MONTH(Tabela2[[#This Row],[Data]]),'Auxiliar Compras'!I:J,2,FALSE)</f>
        <v>Abr</v>
      </c>
      <c r="X140" s="60">
        <f>YEAR(Tabela2[[#This Row],[Data]])</f>
        <v>2022</v>
      </c>
    </row>
    <row r="141" spans="2:24">
      <c r="B141">
        <v>130</v>
      </c>
      <c r="C141" s="1">
        <v>44645</v>
      </c>
      <c r="E141" t="str">
        <f t="shared" ca="1" si="18"/>
        <v>Comprador 13</v>
      </c>
      <c r="L141" t="str">
        <f t="shared" ca="1" si="19"/>
        <v>Produto 16</v>
      </c>
      <c r="M141" s="3">
        <v>1483</v>
      </c>
      <c r="N141" s="63">
        <v>9</v>
      </c>
      <c r="O141" s="7" t="s">
        <v>406</v>
      </c>
      <c r="R141" s="30" t="str">
        <f ca="1">VLOOKUP(L141,'Auxiliar Compras'!A:B,2,FALSE)</f>
        <v>Produto 16</v>
      </c>
      <c r="S141" s="57">
        <f ca="1">VLOOKUP(L141,'Auxiliar Compras'!A:D,4,FALSE)</f>
        <v>0.05</v>
      </c>
      <c r="T141" s="59">
        <f ca="1">VLOOKUP(L141,'Auxiliar Compras'!A:C,3,FALSE)</f>
        <v>1</v>
      </c>
      <c r="U141" s="59">
        <f t="shared" ca="1" si="16"/>
        <v>1483</v>
      </c>
      <c r="V141" s="58">
        <f t="shared" ca="1" si="17"/>
        <v>14014.35</v>
      </c>
      <c r="W141" s="59" t="str">
        <f>VLOOKUP(MONTH(Tabela2[[#This Row],[Data]]),'Auxiliar Compras'!I:J,2,FALSE)</f>
        <v>Mar</v>
      </c>
      <c r="X141" s="60">
        <f>YEAR(Tabela2[[#This Row],[Data]])</f>
        <v>2022</v>
      </c>
    </row>
    <row r="142" spans="2:24">
      <c r="B142">
        <v>131</v>
      </c>
      <c r="C142" s="1">
        <v>44606</v>
      </c>
      <c r="E142" t="str">
        <f t="shared" ca="1" si="18"/>
        <v>Comprador 14</v>
      </c>
      <c r="L142" t="str">
        <f t="shared" ca="1" si="19"/>
        <v>Produto 07</v>
      </c>
      <c r="M142" s="3">
        <v>453</v>
      </c>
      <c r="N142" s="63">
        <v>3</v>
      </c>
      <c r="O142" s="7" t="s">
        <v>406</v>
      </c>
      <c r="R142" s="30" t="str">
        <f ca="1">VLOOKUP(L142,'Auxiliar Compras'!A:B,2,FALSE)</f>
        <v>Produto 07</v>
      </c>
      <c r="S142" s="57">
        <f ca="1">VLOOKUP(L142,'Auxiliar Compras'!A:D,4,FALSE)</f>
        <v>0</v>
      </c>
      <c r="T142" s="59">
        <f ca="1">VLOOKUP(L142,'Auxiliar Compras'!A:C,3,FALSE)</f>
        <v>0.5</v>
      </c>
      <c r="U142" s="59">
        <f t="shared" ca="1" si="16"/>
        <v>226.5</v>
      </c>
      <c r="V142" s="58">
        <f t="shared" ca="1" si="17"/>
        <v>1359</v>
      </c>
      <c r="W142" s="59" t="str">
        <f>VLOOKUP(MONTH(Tabela2[[#This Row],[Data]]),'Auxiliar Compras'!I:J,2,FALSE)</f>
        <v>Fev</v>
      </c>
      <c r="X142" s="60">
        <f>YEAR(Tabela2[[#This Row],[Data]])</f>
        <v>2022</v>
      </c>
    </row>
    <row r="143" spans="2:24">
      <c r="B143">
        <v>132</v>
      </c>
      <c r="C143" s="1">
        <v>44691</v>
      </c>
      <c r="E143" t="str">
        <f t="shared" ca="1" si="18"/>
        <v>Comprador 20</v>
      </c>
      <c r="L143" t="str">
        <f t="shared" ca="1" si="19"/>
        <v>Produto 02</v>
      </c>
      <c r="M143" s="3">
        <v>5742</v>
      </c>
      <c r="N143" s="63">
        <v>4</v>
      </c>
      <c r="O143" s="7" t="s">
        <v>406</v>
      </c>
      <c r="R143" s="30" t="str">
        <f ca="1">VLOOKUP(L143,'Auxiliar Compras'!A:B,2,FALSE)</f>
        <v>Produto 02</v>
      </c>
      <c r="S143" s="57">
        <f ca="1">VLOOKUP(L143,'Auxiliar Compras'!A:D,4,FALSE)</f>
        <v>0.05</v>
      </c>
      <c r="T143" s="59">
        <f ca="1">VLOOKUP(L143,'Auxiliar Compras'!A:C,3,FALSE)</f>
        <v>1</v>
      </c>
      <c r="U143" s="59">
        <f t="shared" ca="1" si="16"/>
        <v>5742</v>
      </c>
      <c r="V143" s="58">
        <f t="shared" ca="1" si="17"/>
        <v>24116.400000000001</v>
      </c>
      <c r="W143" s="59" t="str">
        <f>VLOOKUP(MONTH(Tabela2[[#This Row],[Data]]),'Auxiliar Compras'!I:J,2,FALSE)</f>
        <v>Mai</v>
      </c>
      <c r="X143" s="60">
        <f>YEAR(Tabela2[[#This Row],[Data]])</f>
        <v>2022</v>
      </c>
    </row>
    <row r="144" spans="2:24">
      <c r="B144">
        <v>133</v>
      </c>
      <c r="C144" s="1">
        <v>44607</v>
      </c>
      <c r="E144" t="str">
        <f t="shared" ca="1" si="18"/>
        <v>Comprador 09</v>
      </c>
      <c r="L144" t="str">
        <f t="shared" ca="1" si="19"/>
        <v>Produto 14</v>
      </c>
      <c r="M144" s="3">
        <v>444</v>
      </c>
      <c r="N144" s="63">
        <v>21</v>
      </c>
      <c r="O144" s="7" t="s">
        <v>406</v>
      </c>
      <c r="R144" s="30" t="str">
        <f ca="1">VLOOKUP(L144,'Auxiliar Compras'!A:B,2,FALSE)</f>
        <v>Produto 14</v>
      </c>
      <c r="S144" s="57">
        <f ca="1">VLOOKUP(L144,'Auxiliar Compras'!A:D,4,FALSE)</f>
        <v>0</v>
      </c>
      <c r="T144" s="59">
        <f ca="1">VLOOKUP(L144,'Auxiliar Compras'!A:C,3,FALSE)</f>
        <v>1.68</v>
      </c>
      <c r="U144" s="59">
        <f t="shared" ca="1" si="16"/>
        <v>745.92</v>
      </c>
      <c r="V144" s="58">
        <f t="shared" ca="1" si="17"/>
        <v>9324</v>
      </c>
      <c r="W144" s="59" t="str">
        <f>VLOOKUP(MONTH(Tabela2[[#This Row],[Data]]),'Auxiliar Compras'!I:J,2,FALSE)</f>
        <v>Fev</v>
      </c>
      <c r="X144" s="60">
        <f>YEAR(Tabela2[[#This Row],[Data]])</f>
        <v>2022</v>
      </c>
    </row>
    <row r="145" spans="2:24">
      <c r="B145">
        <v>134</v>
      </c>
      <c r="C145" s="1">
        <v>44674</v>
      </c>
      <c r="E145" t="str">
        <f t="shared" ca="1" si="18"/>
        <v>Comprador 11</v>
      </c>
      <c r="L145" t="str">
        <f t="shared" ca="1" si="19"/>
        <v>Produto 06</v>
      </c>
      <c r="M145" s="3">
        <v>1485</v>
      </c>
      <c r="N145" s="63">
        <v>23</v>
      </c>
      <c r="O145" s="7" t="s">
        <v>406</v>
      </c>
      <c r="R145" s="30" t="str">
        <f ca="1">VLOOKUP(L145,'Auxiliar Compras'!A:B,2,FALSE)</f>
        <v>Produto 06</v>
      </c>
      <c r="S145" s="57">
        <f ca="1">VLOOKUP(L145,'Auxiliar Compras'!A:D,4,FALSE)</f>
        <v>0</v>
      </c>
      <c r="T145" s="59">
        <f ca="1">VLOOKUP(L145,'Auxiliar Compras'!A:C,3,FALSE)</f>
        <v>1.1000000000000001</v>
      </c>
      <c r="U145" s="59">
        <f t="shared" ca="1" si="16"/>
        <v>1633.5000000000002</v>
      </c>
      <c r="V145" s="58">
        <f t="shared" ca="1" si="17"/>
        <v>34155</v>
      </c>
      <c r="W145" s="59" t="str">
        <f>VLOOKUP(MONTH(Tabela2[[#This Row],[Data]]),'Auxiliar Compras'!I:J,2,FALSE)</f>
        <v>Abr</v>
      </c>
      <c r="X145" s="60">
        <f>YEAR(Tabela2[[#This Row],[Data]])</f>
        <v>2022</v>
      </c>
    </row>
    <row r="146" spans="2:24">
      <c r="B146">
        <v>135</v>
      </c>
      <c r="C146" s="1">
        <v>44593</v>
      </c>
      <c r="E146" t="str">
        <f t="shared" ca="1" si="18"/>
        <v>Comprador 05</v>
      </c>
      <c r="L146" t="str">
        <f t="shared" ca="1" si="19"/>
        <v>Produto 07</v>
      </c>
      <c r="M146" s="3">
        <v>3019</v>
      </c>
      <c r="N146" s="63">
        <v>14</v>
      </c>
      <c r="O146" s="7" t="s">
        <v>406</v>
      </c>
      <c r="R146" s="30" t="str">
        <f ca="1">VLOOKUP(L146,'Auxiliar Compras'!A:B,2,FALSE)</f>
        <v>Produto 07</v>
      </c>
      <c r="S146" s="57">
        <f ca="1">VLOOKUP(L146,'Auxiliar Compras'!A:D,4,FALSE)</f>
        <v>0</v>
      </c>
      <c r="T146" s="59">
        <f ca="1">VLOOKUP(L146,'Auxiliar Compras'!A:C,3,FALSE)</f>
        <v>0.5</v>
      </c>
      <c r="U146" s="59">
        <f t="shared" ca="1" si="16"/>
        <v>1509.5</v>
      </c>
      <c r="V146" s="58">
        <f t="shared" ca="1" si="17"/>
        <v>42266</v>
      </c>
      <c r="W146" s="59" t="str">
        <f>VLOOKUP(MONTH(Tabela2[[#This Row],[Data]]),'Auxiliar Compras'!I:J,2,FALSE)</f>
        <v>Fev</v>
      </c>
      <c r="X146" s="60">
        <f>YEAR(Tabela2[[#This Row],[Data]])</f>
        <v>2022</v>
      </c>
    </row>
    <row r="147" spans="2:24">
      <c r="B147">
        <v>136</v>
      </c>
      <c r="C147" s="1">
        <v>44617</v>
      </c>
      <c r="E147" t="str">
        <f t="shared" ca="1" si="18"/>
        <v>Comprador 13</v>
      </c>
      <c r="L147" t="str">
        <f t="shared" ca="1" si="19"/>
        <v>Produto 10</v>
      </c>
      <c r="M147" s="3">
        <v>835</v>
      </c>
      <c r="N147" s="63">
        <v>10</v>
      </c>
      <c r="O147" s="7" t="s">
        <v>406</v>
      </c>
      <c r="R147" s="30" t="str">
        <f ca="1">VLOOKUP(L147,'Auxiliar Compras'!A:B,2,FALSE)</f>
        <v>Produto 10</v>
      </c>
      <c r="S147" s="57">
        <f ca="1">VLOOKUP(L147,'Auxiliar Compras'!A:D,4,FALSE)</f>
        <v>0</v>
      </c>
      <c r="T147" s="59">
        <f ca="1">VLOOKUP(L147,'Auxiliar Compras'!A:C,3,FALSE)</f>
        <v>1</v>
      </c>
      <c r="U147" s="59">
        <f t="shared" ca="1" si="16"/>
        <v>835</v>
      </c>
      <c r="V147" s="58">
        <f t="shared" ca="1" si="17"/>
        <v>8350</v>
      </c>
      <c r="W147" s="59" t="str">
        <f>VLOOKUP(MONTH(Tabela2[[#This Row],[Data]]),'Auxiliar Compras'!I:J,2,FALSE)</f>
        <v>Fev</v>
      </c>
      <c r="X147" s="60">
        <f>YEAR(Tabela2[[#This Row],[Data]])</f>
        <v>2022</v>
      </c>
    </row>
    <row r="148" spans="2:24">
      <c r="B148">
        <v>137</v>
      </c>
      <c r="C148" s="1">
        <v>44652</v>
      </c>
      <c r="E148" t="str">
        <f t="shared" ca="1" si="18"/>
        <v>Comprador 05</v>
      </c>
      <c r="L148" t="str">
        <f t="shared" ca="1" si="19"/>
        <v>Produto 02</v>
      </c>
      <c r="M148" s="3">
        <v>2476</v>
      </c>
      <c r="N148" s="63">
        <v>13</v>
      </c>
      <c r="O148" s="7" t="s">
        <v>408</v>
      </c>
      <c r="R148" s="30" t="str">
        <f ca="1">VLOOKUP(L148,'Auxiliar Compras'!A:B,2,FALSE)</f>
        <v>Produto 02</v>
      </c>
      <c r="S148" s="57">
        <f ca="1">VLOOKUP(L148,'Auxiliar Compras'!A:D,4,FALSE)</f>
        <v>0.05</v>
      </c>
      <c r="T148" s="59">
        <f ca="1">VLOOKUP(L148,'Auxiliar Compras'!A:C,3,FALSE)</f>
        <v>1</v>
      </c>
      <c r="U148" s="59">
        <f t="shared" ca="1" si="16"/>
        <v>2476</v>
      </c>
      <c r="V148" s="58">
        <f t="shared" ca="1" si="17"/>
        <v>33797.4</v>
      </c>
      <c r="W148" s="59" t="str">
        <f>VLOOKUP(MONTH(Tabela2[[#This Row],[Data]]),'Auxiliar Compras'!I:J,2,FALSE)</f>
        <v>Abr</v>
      </c>
      <c r="X148" s="60">
        <f>YEAR(Tabela2[[#This Row],[Data]])</f>
        <v>2022</v>
      </c>
    </row>
    <row r="149" spans="2:24">
      <c r="B149">
        <v>138</v>
      </c>
      <c r="C149" s="1">
        <v>44628</v>
      </c>
      <c r="E149" t="str">
        <f t="shared" ca="1" si="18"/>
        <v>Comprador 12</v>
      </c>
      <c r="L149" t="str">
        <f t="shared" ca="1" si="19"/>
        <v>Produto 14</v>
      </c>
      <c r="M149" s="3">
        <v>3624</v>
      </c>
      <c r="N149" s="63">
        <v>13</v>
      </c>
      <c r="O149" s="7" t="s">
        <v>408</v>
      </c>
      <c r="R149" s="30" t="str">
        <f ca="1">VLOOKUP(L149,'Auxiliar Compras'!A:B,2,FALSE)</f>
        <v>Produto 14</v>
      </c>
      <c r="S149" s="57">
        <f ca="1">VLOOKUP(L149,'Auxiliar Compras'!A:D,4,FALSE)</f>
        <v>0</v>
      </c>
      <c r="T149" s="59">
        <f ca="1">VLOOKUP(L149,'Auxiliar Compras'!A:C,3,FALSE)</f>
        <v>1.68</v>
      </c>
      <c r="U149" s="59">
        <f t="shared" ca="1" si="16"/>
        <v>6088.32</v>
      </c>
      <c r="V149" s="58">
        <f t="shared" ca="1" si="17"/>
        <v>47112</v>
      </c>
      <c r="W149" s="59" t="str">
        <f>VLOOKUP(MONTH(Tabela2[[#This Row],[Data]]),'Auxiliar Compras'!I:J,2,FALSE)</f>
        <v>Mar</v>
      </c>
      <c r="X149" s="60">
        <f>YEAR(Tabela2[[#This Row],[Data]])</f>
        <v>2022</v>
      </c>
    </row>
    <row r="150" spans="2:24">
      <c r="B150">
        <v>139</v>
      </c>
      <c r="C150" s="1">
        <v>44675</v>
      </c>
      <c r="E150" t="str">
        <f t="shared" ca="1" si="18"/>
        <v>Comprador 14</v>
      </c>
      <c r="L150" t="str">
        <f t="shared" ca="1" si="19"/>
        <v>Produto 04</v>
      </c>
      <c r="M150" s="3">
        <v>4237</v>
      </c>
      <c r="N150" s="63">
        <v>22</v>
      </c>
      <c r="O150" s="7" t="s">
        <v>408</v>
      </c>
      <c r="R150" s="30" t="str">
        <f ca="1">VLOOKUP(L150,'Auxiliar Compras'!A:B,2,FALSE)</f>
        <v>Produto 04</v>
      </c>
      <c r="S150" s="57">
        <f ca="1">VLOOKUP(L150,'Auxiliar Compras'!A:D,4,FALSE)</f>
        <v>0</v>
      </c>
      <c r="T150" s="59">
        <f ca="1">VLOOKUP(L150,'Auxiliar Compras'!A:C,3,FALSE)</f>
        <v>1.1000000000000001</v>
      </c>
      <c r="U150" s="59">
        <f t="shared" ca="1" si="16"/>
        <v>4660.7000000000007</v>
      </c>
      <c r="V150" s="58">
        <f t="shared" ca="1" si="17"/>
        <v>93214</v>
      </c>
      <c r="W150" s="59" t="str">
        <f>VLOOKUP(MONTH(Tabela2[[#This Row],[Data]]),'Auxiliar Compras'!I:J,2,FALSE)</f>
        <v>Abr</v>
      </c>
      <c r="X150" s="60">
        <f>YEAR(Tabela2[[#This Row],[Data]])</f>
        <v>2022</v>
      </c>
    </row>
    <row r="151" spans="2:24">
      <c r="B151">
        <v>140</v>
      </c>
      <c r="C151" s="1">
        <v>44631</v>
      </c>
      <c r="E151" t="str">
        <f t="shared" ca="1" si="18"/>
        <v>Comprador 13</v>
      </c>
      <c r="L151" t="str">
        <f t="shared" ca="1" si="19"/>
        <v>Produto 16</v>
      </c>
      <c r="M151" s="3">
        <v>4665</v>
      </c>
      <c r="N151" s="63">
        <v>5</v>
      </c>
      <c r="O151" s="7" t="s">
        <v>408</v>
      </c>
      <c r="R151" s="30" t="str">
        <f ca="1">VLOOKUP(L151,'Auxiliar Compras'!A:B,2,FALSE)</f>
        <v>Produto 16</v>
      </c>
      <c r="S151" s="57">
        <f ca="1">VLOOKUP(L151,'Auxiliar Compras'!A:D,4,FALSE)</f>
        <v>0.05</v>
      </c>
      <c r="T151" s="59">
        <f ca="1">VLOOKUP(L151,'Auxiliar Compras'!A:C,3,FALSE)</f>
        <v>1</v>
      </c>
      <c r="U151" s="59">
        <f t="shared" ca="1" si="16"/>
        <v>4665</v>
      </c>
      <c r="V151" s="58">
        <f t="shared" ca="1" si="17"/>
        <v>24491.25</v>
      </c>
      <c r="W151" s="59" t="str">
        <f>VLOOKUP(MONTH(Tabela2[[#This Row],[Data]]),'Auxiliar Compras'!I:J,2,FALSE)</f>
        <v>Mar</v>
      </c>
      <c r="X151" s="60">
        <f>YEAR(Tabela2[[#This Row],[Data]])</f>
        <v>2022</v>
      </c>
    </row>
    <row r="152" spans="2:24">
      <c r="B152">
        <v>141</v>
      </c>
      <c r="C152" s="1">
        <v>44649</v>
      </c>
      <c r="E152" t="str">
        <f t="shared" ca="1" si="18"/>
        <v>Comprador 08</v>
      </c>
      <c r="L152" t="str">
        <f t="shared" ca="1" si="19"/>
        <v>Produto 13</v>
      </c>
      <c r="M152" s="3">
        <v>5583</v>
      </c>
      <c r="N152" s="63">
        <v>21</v>
      </c>
      <c r="O152" s="7" t="s">
        <v>408</v>
      </c>
      <c r="R152" s="30" t="str">
        <f ca="1">VLOOKUP(L152,'Auxiliar Compras'!A:B,2,FALSE)</f>
        <v>Produto 13</v>
      </c>
      <c r="S152" s="57">
        <f ca="1">VLOOKUP(L152,'Auxiliar Compras'!A:D,4,FALSE)</f>
        <v>0</v>
      </c>
      <c r="T152" s="59">
        <f ca="1">VLOOKUP(L152,'Auxiliar Compras'!A:C,3,FALSE)</f>
        <v>0.4</v>
      </c>
      <c r="U152" s="59">
        <f t="shared" ca="1" si="16"/>
        <v>2233.2000000000003</v>
      </c>
      <c r="V152" s="58">
        <f t="shared" ca="1" si="17"/>
        <v>117243</v>
      </c>
      <c r="W152" s="59" t="str">
        <f>VLOOKUP(MONTH(Tabela2[[#This Row],[Data]]),'Auxiliar Compras'!I:J,2,FALSE)</f>
        <v>Mar</v>
      </c>
      <c r="X152" s="60">
        <f>YEAR(Tabela2[[#This Row],[Data]])</f>
        <v>2022</v>
      </c>
    </row>
    <row r="153" spans="2:24">
      <c r="B153">
        <v>142</v>
      </c>
      <c r="C153" s="1">
        <v>44705</v>
      </c>
      <c r="E153" t="str">
        <f t="shared" ca="1" si="18"/>
        <v>Comprador 06</v>
      </c>
      <c r="L153" t="str">
        <f t="shared" ca="1" si="19"/>
        <v>Produto 14</v>
      </c>
      <c r="M153" s="3">
        <v>3929</v>
      </c>
      <c r="N153" s="63">
        <v>23</v>
      </c>
      <c r="O153" s="7" t="s">
        <v>406</v>
      </c>
      <c r="R153" s="30" t="str">
        <f ca="1">VLOOKUP(L153,'Auxiliar Compras'!A:B,2,FALSE)</f>
        <v>Produto 14</v>
      </c>
      <c r="S153" s="57">
        <f ca="1">VLOOKUP(L153,'Auxiliar Compras'!A:D,4,FALSE)</f>
        <v>0</v>
      </c>
      <c r="T153" s="59">
        <f ca="1">VLOOKUP(L153,'Auxiliar Compras'!A:C,3,FALSE)</f>
        <v>1.68</v>
      </c>
      <c r="U153" s="59">
        <f t="shared" ca="1" si="16"/>
        <v>6600.7199999999993</v>
      </c>
      <c r="V153" s="58">
        <f t="shared" ca="1" si="17"/>
        <v>90367</v>
      </c>
      <c r="W153" s="59" t="str">
        <f>VLOOKUP(MONTH(Tabela2[[#This Row],[Data]]),'Auxiliar Compras'!I:J,2,FALSE)</f>
        <v>Mai</v>
      </c>
      <c r="X153" s="60">
        <f>YEAR(Tabela2[[#This Row],[Data]])</f>
        <v>2022</v>
      </c>
    </row>
    <row r="154" spans="2:24">
      <c r="B154">
        <v>143</v>
      </c>
      <c r="C154" s="1">
        <v>44580</v>
      </c>
      <c r="E154" t="str">
        <f t="shared" ca="1" si="18"/>
        <v>Comprador 07</v>
      </c>
      <c r="L154" t="str">
        <f t="shared" ca="1" si="19"/>
        <v>Produto 03</v>
      </c>
      <c r="M154" s="3">
        <v>1488</v>
      </c>
      <c r="N154" s="63">
        <v>22</v>
      </c>
      <c r="O154" s="7" t="s">
        <v>406</v>
      </c>
      <c r="R154" s="30" t="str">
        <f ca="1">VLOOKUP(L154,'Auxiliar Compras'!A:B,2,FALSE)</f>
        <v>Produto 03</v>
      </c>
      <c r="S154" s="57">
        <f ca="1">VLOOKUP(L154,'Auxiliar Compras'!A:D,4,FALSE)</f>
        <v>0.05</v>
      </c>
      <c r="T154" s="59">
        <f ca="1">VLOOKUP(L154,'Auxiliar Compras'!A:C,3,FALSE)</f>
        <v>1</v>
      </c>
      <c r="U154" s="59">
        <f t="shared" ca="1" si="16"/>
        <v>1488</v>
      </c>
      <c r="V154" s="58">
        <f t="shared" ca="1" si="17"/>
        <v>34372.800000000003</v>
      </c>
      <c r="W154" s="59" t="str">
        <f>VLOOKUP(MONTH(Tabela2[[#This Row],[Data]]),'Auxiliar Compras'!I:J,2,FALSE)</f>
        <v>Jan</v>
      </c>
      <c r="X154" s="60">
        <f>YEAR(Tabela2[[#This Row],[Data]])</f>
        <v>2022</v>
      </c>
    </row>
    <row r="155" spans="2:24">
      <c r="B155">
        <v>144</v>
      </c>
      <c r="C155" s="1">
        <v>44612</v>
      </c>
      <c r="E155" t="str">
        <f t="shared" ca="1" si="18"/>
        <v>Comprador 13</v>
      </c>
      <c r="L155" t="str">
        <f t="shared" ca="1" si="19"/>
        <v>Produto 03</v>
      </c>
      <c r="M155" s="3">
        <v>3884</v>
      </c>
      <c r="N155" s="63">
        <v>9</v>
      </c>
      <c r="O155" s="7" t="s">
        <v>406</v>
      </c>
      <c r="R155" s="30" t="str">
        <f ca="1">VLOOKUP(L155,'Auxiliar Compras'!A:B,2,FALSE)</f>
        <v>Produto 03</v>
      </c>
      <c r="S155" s="57">
        <f ca="1">VLOOKUP(L155,'Auxiliar Compras'!A:D,4,FALSE)</f>
        <v>0.05</v>
      </c>
      <c r="T155" s="59">
        <f ca="1">VLOOKUP(L155,'Auxiliar Compras'!A:C,3,FALSE)</f>
        <v>1</v>
      </c>
      <c r="U155" s="59">
        <f t="shared" ca="1" si="16"/>
        <v>3884</v>
      </c>
      <c r="V155" s="58">
        <f t="shared" ca="1" si="17"/>
        <v>36703.800000000003</v>
      </c>
      <c r="W155" s="59" t="str">
        <f>VLOOKUP(MONTH(Tabela2[[#This Row],[Data]]),'Auxiliar Compras'!I:J,2,FALSE)</f>
        <v>Fev</v>
      </c>
      <c r="X155" s="60">
        <f>YEAR(Tabela2[[#This Row],[Data]])</f>
        <v>2022</v>
      </c>
    </row>
    <row r="156" spans="2:24">
      <c r="B156">
        <v>145</v>
      </c>
      <c r="C156" s="1">
        <v>44616</v>
      </c>
      <c r="E156" t="str">
        <f t="shared" ca="1" si="18"/>
        <v>Comprador 17</v>
      </c>
      <c r="L156" t="str">
        <f t="shared" ca="1" si="19"/>
        <v>Produto 02</v>
      </c>
      <c r="M156" s="3">
        <v>1028</v>
      </c>
      <c r="N156" s="63">
        <v>7</v>
      </c>
      <c r="O156" s="7" t="s">
        <v>406</v>
      </c>
      <c r="R156" s="30" t="str">
        <f ca="1">VLOOKUP(L156,'Auxiliar Compras'!A:B,2,FALSE)</f>
        <v>Produto 02</v>
      </c>
      <c r="S156" s="57">
        <f ca="1">VLOOKUP(L156,'Auxiliar Compras'!A:D,4,FALSE)</f>
        <v>0.05</v>
      </c>
      <c r="T156" s="59">
        <f ca="1">VLOOKUP(L156,'Auxiliar Compras'!A:C,3,FALSE)</f>
        <v>1</v>
      </c>
      <c r="U156" s="59">
        <f t="shared" ca="1" si="16"/>
        <v>1028</v>
      </c>
      <c r="V156" s="58">
        <f t="shared" ca="1" si="17"/>
        <v>7555.8</v>
      </c>
      <c r="W156" s="59" t="str">
        <f>VLOOKUP(MONTH(Tabela2[[#This Row],[Data]]),'Auxiliar Compras'!I:J,2,FALSE)</f>
        <v>Fev</v>
      </c>
      <c r="X156" s="60">
        <f>YEAR(Tabela2[[#This Row],[Data]])</f>
        <v>2022</v>
      </c>
    </row>
    <row r="157" spans="2:24">
      <c r="B157">
        <v>146</v>
      </c>
      <c r="C157" s="1">
        <v>44666</v>
      </c>
      <c r="E157" t="str">
        <f t="shared" ca="1" si="18"/>
        <v>Comprador 20</v>
      </c>
      <c r="L157" t="str">
        <f t="shared" ca="1" si="19"/>
        <v>Produto 06</v>
      </c>
      <c r="M157" s="3">
        <v>725</v>
      </c>
      <c r="N157" s="63">
        <v>22</v>
      </c>
      <c r="O157" s="7" t="s">
        <v>406</v>
      </c>
      <c r="R157" s="30" t="str">
        <f ca="1">VLOOKUP(L157,'Auxiliar Compras'!A:B,2,FALSE)</f>
        <v>Produto 06</v>
      </c>
      <c r="S157" s="57">
        <f ca="1">VLOOKUP(L157,'Auxiliar Compras'!A:D,4,FALSE)</f>
        <v>0</v>
      </c>
      <c r="T157" s="59">
        <f ca="1">VLOOKUP(L157,'Auxiliar Compras'!A:C,3,FALSE)</f>
        <v>1.1000000000000001</v>
      </c>
      <c r="U157" s="59">
        <f t="shared" ca="1" si="16"/>
        <v>797.50000000000011</v>
      </c>
      <c r="V157" s="58">
        <f t="shared" ca="1" si="17"/>
        <v>15950</v>
      </c>
      <c r="W157" s="59" t="str">
        <f>VLOOKUP(MONTH(Tabela2[[#This Row],[Data]]),'Auxiliar Compras'!I:J,2,FALSE)</f>
        <v>Abr</v>
      </c>
      <c r="X157" s="60">
        <f>YEAR(Tabela2[[#This Row],[Data]])</f>
        <v>2022</v>
      </c>
    </row>
    <row r="158" spans="2:24">
      <c r="B158">
        <v>147</v>
      </c>
      <c r="C158" s="1">
        <v>44669</v>
      </c>
      <c r="E158" t="str">
        <f t="shared" ca="1" si="18"/>
        <v>Comprador 03</v>
      </c>
      <c r="L158" t="str">
        <f t="shared" ca="1" si="19"/>
        <v>Produto 16</v>
      </c>
      <c r="M158" s="3">
        <v>5415</v>
      </c>
      <c r="N158" s="63">
        <v>13</v>
      </c>
      <c r="O158" s="7" t="s">
        <v>406</v>
      </c>
      <c r="R158" s="30" t="str">
        <f ca="1">VLOOKUP(L158,'Auxiliar Compras'!A:B,2,FALSE)</f>
        <v>Produto 16</v>
      </c>
      <c r="S158" s="57">
        <f ca="1">VLOOKUP(L158,'Auxiliar Compras'!A:D,4,FALSE)</f>
        <v>0.05</v>
      </c>
      <c r="T158" s="59">
        <f ca="1">VLOOKUP(L158,'Auxiliar Compras'!A:C,3,FALSE)</f>
        <v>1</v>
      </c>
      <c r="U158" s="59">
        <f t="shared" ref="U158:U161" ca="1" si="20">T158*M158</f>
        <v>5415</v>
      </c>
      <c r="V158" s="58">
        <f t="shared" ca="1" si="17"/>
        <v>73914.75</v>
      </c>
      <c r="W158" s="59" t="str">
        <f>VLOOKUP(MONTH(Tabela2[[#This Row],[Data]]),'Auxiliar Compras'!I:J,2,FALSE)</f>
        <v>Abr</v>
      </c>
      <c r="X158" s="60">
        <f>YEAR(Tabela2[[#This Row],[Data]])</f>
        <v>2022</v>
      </c>
    </row>
    <row r="159" spans="2:24">
      <c r="B159">
        <v>148</v>
      </c>
      <c r="C159" s="1">
        <v>44577</v>
      </c>
      <c r="E159" t="str">
        <f t="shared" ca="1" si="18"/>
        <v>Comprador 05</v>
      </c>
      <c r="L159" t="str">
        <f t="shared" ca="1" si="19"/>
        <v>Produto 03</v>
      </c>
      <c r="M159" s="3">
        <v>621</v>
      </c>
      <c r="N159" s="63">
        <v>5</v>
      </c>
      <c r="O159" s="7" t="s">
        <v>406</v>
      </c>
      <c r="R159" s="30" t="str">
        <f ca="1">VLOOKUP(L159,'Auxiliar Compras'!A:B,2,FALSE)</f>
        <v>Produto 03</v>
      </c>
      <c r="S159" s="57">
        <f ca="1">VLOOKUP(L159,'Auxiliar Compras'!A:D,4,FALSE)</f>
        <v>0.05</v>
      </c>
      <c r="T159" s="59">
        <f ca="1">VLOOKUP(L159,'Auxiliar Compras'!A:C,3,FALSE)</f>
        <v>1</v>
      </c>
      <c r="U159" s="59">
        <f t="shared" ca="1" si="20"/>
        <v>621</v>
      </c>
      <c r="V159" s="58">
        <f t="shared" ca="1" si="17"/>
        <v>3260.25</v>
      </c>
      <c r="W159" s="59" t="str">
        <f>VLOOKUP(MONTH(Tabela2[[#This Row],[Data]]),'Auxiliar Compras'!I:J,2,FALSE)</f>
        <v>Jan</v>
      </c>
      <c r="X159" s="60">
        <f>YEAR(Tabela2[[#This Row],[Data]])</f>
        <v>2022</v>
      </c>
    </row>
    <row r="160" spans="2:24">
      <c r="B160">
        <v>149</v>
      </c>
      <c r="C160" s="1">
        <v>44625</v>
      </c>
      <c r="E160" t="str">
        <f t="shared" ca="1" si="18"/>
        <v>Comprador 09</v>
      </c>
      <c r="L160" t="str">
        <f t="shared" ca="1" si="19"/>
        <v>Produto 10</v>
      </c>
      <c r="M160" s="3">
        <v>1342</v>
      </c>
      <c r="N160" s="63">
        <v>3</v>
      </c>
      <c r="O160" s="7" t="s">
        <v>406</v>
      </c>
      <c r="R160" s="30" t="str">
        <f ca="1">VLOOKUP(L160,'Auxiliar Compras'!A:B,2,FALSE)</f>
        <v>Produto 10</v>
      </c>
      <c r="S160" s="57">
        <f ca="1">VLOOKUP(L160,'Auxiliar Compras'!A:D,4,FALSE)</f>
        <v>0</v>
      </c>
      <c r="T160" s="59">
        <f ca="1">VLOOKUP(L160,'Auxiliar Compras'!A:C,3,FALSE)</f>
        <v>1</v>
      </c>
      <c r="U160" s="59">
        <f t="shared" ca="1" si="20"/>
        <v>1342</v>
      </c>
      <c r="V160" s="58">
        <f t="shared" ca="1" si="17"/>
        <v>4026</v>
      </c>
      <c r="W160" s="59" t="str">
        <f>VLOOKUP(MONTH(Tabela2[[#This Row],[Data]]),'Auxiliar Compras'!I:J,2,FALSE)</f>
        <v>Mar</v>
      </c>
      <c r="X160" s="60">
        <f>YEAR(Tabela2[[#This Row],[Data]])</f>
        <v>2022</v>
      </c>
    </row>
    <row r="161" spans="2:24">
      <c r="B161">
        <v>150</v>
      </c>
      <c r="C161" s="1">
        <v>44644</v>
      </c>
      <c r="E161" t="str">
        <f t="shared" ca="1" si="18"/>
        <v>Comprador 05</v>
      </c>
      <c r="L161" t="str">
        <f t="shared" ca="1" si="19"/>
        <v>Produto 04</v>
      </c>
      <c r="M161" s="3">
        <v>2049</v>
      </c>
      <c r="N161" s="63">
        <v>23</v>
      </c>
      <c r="O161" s="7" t="s">
        <v>408</v>
      </c>
      <c r="R161" s="30" t="str">
        <f ca="1">VLOOKUP(L161,'Auxiliar Compras'!A:B,2,FALSE)</f>
        <v>Produto 04</v>
      </c>
      <c r="S161" s="57">
        <f ca="1">VLOOKUP(L161,'Auxiliar Compras'!A:D,4,FALSE)</f>
        <v>0</v>
      </c>
      <c r="T161" s="59">
        <f ca="1">VLOOKUP(L161,'Auxiliar Compras'!A:C,3,FALSE)</f>
        <v>1.1000000000000001</v>
      </c>
      <c r="U161" s="59">
        <f t="shared" ca="1" si="20"/>
        <v>2253.9</v>
      </c>
      <c r="V161" s="58">
        <f t="shared" ca="1" si="17"/>
        <v>47127</v>
      </c>
      <c r="W161" s="59" t="str">
        <f>VLOOKUP(MONTH(Tabela2[[#This Row],[Data]]),'Auxiliar Compras'!I:J,2,FALSE)</f>
        <v>Mar</v>
      </c>
      <c r="X161" s="60">
        <f>YEAR(Tabela2[[#This Row],[Data]])</f>
        <v>2022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J21"/>
  <sheetViews>
    <sheetView workbookViewId="0">
      <selection activeCell="I8" sqref="I5:I20"/>
    </sheetView>
  </sheetViews>
  <sheetFormatPr defaultRowHeight="15"/>
  <cols>
    <col min="1" max="1" width="18" bestFit="1" customWidth="1"/>
    <col min="2" max="2" width="16.5703125" bestFit="1" customWidth="1"/>
    <col min="5" max="5" width="18" bestFit="1" customWidth="1"/>
    <col min="6" max="6" width="18.42578125" bestFit="1" customWidth="1"/>
    <col min="9" max="9" width="18" bestFit="1" customWidth="1"/>
    <col min="10" max="10" width="16.5703125" bestFit="1" customWidth="1"/>
  </cols>
  <sheetData>
    <row r="1" spans="1:10">
      <c r="A1" t="s">
        <v>426</v>
      </c>
      <c r="B1" s="18">
        <f>GETPIVOTDATA("Vlr Total",$A$4)</f>
        <v>427425.22</v>
      </c>
      <c r="E1" t="s">
        <v>429</v>
      </c>
      <c r="F1" s="16">
        <f>GETPIVOTDATA("Peso Total",$E$4)</f>
        <v>33788.700000000004</v>
      </c>
    </row>
    <row r="2" spans="1:10">
      <c r="B2" s="18"/>
    </row>
    <row r="4" spans="1:10">
      <c r="A4" s="8" t="s">
        <v>388</v>
      </c>
      <c r="B4" t="s">
        <v>425</v>
      </c>
      <c r="E4" s="8" t="s">
        <v>388</v>
      </c>
      <c r="F4" t="s">
        <v>428</v>
      </c>
      <c r="I4" s="8" t="s">
        <v>388</v>
      </c>
      <c r="J4" t="s">
        <v>425</v>
      </c>
    </row>
    <row r="5" spans="1:10">
      <c r="A5" s="9" t="s">
        <v>557</v>
      </c>
      <c r="B5" s="17">
        <v>427425.22</v>
      </c>
      <c r="E5" s="9" t="s">
        <v>557</v>
      </c>
      <c r="F5" s="16">
        <v>33788.700000000004</v>
      </c>
      <c r="I5" s="9" t="s">
        <v>554</v>
      </c>
      <c r="J5" s="17">
        <v>780968.2</v>
      </c>
    </row>
    <row r="6" spans="1:10">
      <c r="A6" s="9" t="s">
        <v>389</v>
      </c>
      <c r="B6" s="17">
        <v>427425.22</v>
      </c>
      <c r="E6" s="9" t="s">
        <v>389</v>
      </c>
      <c r="F6" s="16">
        <v>33788.700000000004</v>
      </c>
      <c r="I6" s="9" t="s">
        <v>555</v>
      </c>
      <c r="J6" s="17">
        <v>59649.45</v>
      </c>
    </row>
    <row r="7" spans="1:10">
      <c r="I7" s="9" t="s">
        <v>556</v>
      </c>
      <c r="J7" s="17">
        <v>582498.77700000012</v>
      </c>
    </row>
    <row r="8" spans="1:10">
      <c r="I8" s="9" t="s">
        <v>557</v>
      </c>
      <c r="J8" s="17">
        <v>744641.32</v>
      </c>
    </row>
    <row r="9" spans="1:10">
      <c r="I9" s="9" t="s">
        <v>558</v>
      </c>
      <c r="J9" s="17">
        <v>549704.46</v>
      </c>
    </row>
    <row r="10" spans="1:10">
      <c r="I10" s="9" t="s">
        <v>559</v>
      </c>
      <c r="J10" s="17">
        <v>191987</v>
      </c>
    </row>
    <row r="11" spans="1:10">
      <c r="I11" s="9" t="s">
        <v>560</v>
      </c>
      <c r="J11" s="17">
        <v>62057.74</v>
      </c>
    </row>
    <row r="12" spans="1:10">
      <c r="I12" s="9" t="s">
        <v>561</v>
      </c>
      <c r="J12" s="17">
        <v>521299</v>
      </c>
    </row>
    <row r="13" spans="1:10">
      <c r="I13" s="9" t="s">
        <v>562</v>
      </c>
      <c r="J13" s="17">
        <v>270451.40000000002</v>
      </c>
    </row>
    <row r="14" spans="1:10">
      <c r="I14" s="9" t="s">
        <v>534</v>
      </c>
      <c r="J14" s="17">
        <v>1029292.86</v>
      </c>
    </row>
    <row r="15" spans="1:10">
      <c r="I15" s="9" t="s">
        <v>535</v>
      </c>
      <c r="J15" s="17">
        <v>658144.22</v>
      </c>
    </row>
    <row r="16" spans="1:10">
      <c r="I16" s="9" t="s">
        <v>536</v>
      </c>
      <c r="J16" s="17">
        <v>517721.27</v>
      </c>
    </row>
    <row r="17" spans="9:10">
      <c r="I17" s="9" t="s">
        <v>537</v>
      </c>
      <c r="J17" s="17">
        <v>613096.6</v>
      </c>
    </row>
    <row r="18" spans="9:10">
      <c r="I18" s="9" t="s">
        <v>538</v>
      </c>
      <c r="J18" s="17">
        <v>500522</v>
      </c>
    </row>
    <row r="19" spans="9:10">
      <c r="I19" s="9" t="s">
        <v>539</v>
      </c>
      <c r="J19" s="17">
        <v>554265.54</v>
      </c>
    </row>
    <row r="20" spans="9:10">
      <c r="I20" s="9" t="s">
        <v>540</v>
      </c>
      <c r="J20" s="17">
        <v>94125.15</v>
      </c>
    </row>
    <row r="21" spans="9:10">
      <c r="I21" s="9" t="s">
        <v>389</v>
      </c>
      <c r="J21" s="17">
        <v>7730424.9870000007</v>
      </c>
    </row>
  </sheetData>
  <pageMargins left="0.511811024" right="0.511811024" top="0.78740157499999996" bottom="0.78740157499999996" header="0.31496062000000002" footer="0.31496062000000002"/>
  <pageSetup paperSize="9" orientation="portrait" r:id="rId4"/>
  <headerFooter>
    <oddFooter>&amp;R&amp;1#&amp;"Arial"&amp;10&amp;K000000Confidential 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3:B20"/>
  <sheetViews>
    <sheetView workbookViewId="0">
      <selection activeCell="A20" sqref="A3:B20"/>
    </sheetView>
  </sheetViews>
  <sheetFormatPr defaultRowHeight="15"/>
  <cols>
    <col min="1" max="1" width="18" bestFit="1" customWidth="1"/>
    <col min="2" max="2" width="16.5703125" style="18" bestFit="1" customWidth="1"/>
    <col min="4" max="4" width="41.5703125" bestFit="1" customWidth="1"/>
    <col min="5" max="5" width="16.5703125" bestFit="1" customWidth="1"/>
  </cols>
  <sheetData>
    <row r="3" spans="1:2">
      <c r="A3" s="8" t="s">
        <v>388</v>
      </c>
      <c r="B3" t="s">
        <v>425</v>
      </c>
    </row>
    <row r="4" spans="1:2">
      <c r="A4" s="9" t="s">
        <v>540</v>
      </c>
      <c r="B4" s="17">
        <v>55816.95</v>
      </c>
    </row>
    <row r="5" spans="1:2">
      <c r="A5" s="9" t="s">
        <v>539</v>
      </c>
      <c r="B5" s="17">
        <v>152383</v>
      </c>
    </row>
    <row r="6" spans="1:2">
      <c r="A6" s="9" t="s">
        <v>538</v>
      </c>
      <c r="B6" s="17">
        <v>261236</v>
      </c>
    </row>
    <row r="7" spans="1:2">
      <c r="A7" s="9" t="s">
        <v>537</v>
      </c>
      <c r="B7" s="17">
        <v>409360.2</v>
      </c>
    </row>
    <row r="8" spans="1:2">
      <c r="A8" s="9" t="s">
        <v>536</v>
      </c>
      <c r="B8" s="17">
        <v>317051</v>
      </c>
    </row>
    <row r="9" spans="1:2">
      <c r="A9" s="9" t="s">
        <v>535</v>
      </c>
      <c r="B9" s="17">
        <v>644127.5</v>
      </c>
    </row>
    <row r="10" spans="1:2">
      <c r="A10" s="9" t="s">
        <v>534</v>
      </c>
      <c r="B10" s="17">
        <v>206717</v>
      </c>
    </row>
    <row r="11" spans="1:2">
      <c r="A11" s="9" t="s">
        <v>562</v>
      </c>
      <c r="B11" s="17">
        <v>126544</v>
      </c>
    </row>
    <row r="12" spans="1:2">
      <c r="A12" s="9" t="s">
        <v>561</v>
      </c>
      <c r="B12" s="17">
        <v>467281</v>
      </c>
    </row>
    <row r="13" spans="1:2">
      <c r="A13" s="9" t="s">
        <v>560</v>
      </c>
      <c r="B13" s="17">
        <v>60525.520000000004</v>
      </c>
    </row>
    <row r="14" spans="1:2">
      <c r="A14" s="9" t="s">
        <v>559</v>
      </c>
      <c r="B14" s="17">
        <v>189047</v>
      </c>
    </row>
    <row r="15" spans="1:2">
      <c r="A15" s="9" t="s">
        <v>558</v>
      </c>
      <c r="B15" s="17">
        <v>135423</v>
      </c>
    </row>
    <row r="16" spans="1:2">
      <c r="A16" s="9" t="s">
        <v>557</v>
      </c>
      <c r="B16" s="17">
        <v>427425.22</v>
      </c>
    </row>
    <row r="17" spans="1:2">
      <c r="A17" s="9" t="s">
        <v>556</v>
      </c>
      <c r="B17" s="17">
        <v>436810.5</v>
      </c>
    </row>
    <row r="18" spans="1:2">
      <c r="A18" s="9" t="s">
        <v>555</v>
      </c>
      <c r="B18" s="17">
        <v>59649.45</v>
      </c>
    </row>
    <row r="19" spans="1:2">
      <c r="A19" s="9" t="s">
        <v>554</v>
      </c>
      <c r="B19" s="17">
        <v>192470.5</v>
      </c>
    </row>
    <row r="20" spans="1:2">
      <c r="A20" s="9" t="s">
        <v>389</v>
      </c>
      <c r="B20" s="17">
        <v>4141867.84</v>
      </c>
    </row>
  </sheetData>
  <pageMargins left="0.511811024" right="0.511811024" top="0.78740157499999996" bottom="0.78740157499999996" header="0.31496062000000002" footer="0.31496062000000002"/>
  <pageSetup paperSize="9" orientation="portrait" r:id="rId2"/>
  <headerFooter>
    <oddFooter>&amp;R&amp;1#&amp;"Arial"&amp;10&amp;K000000Confidential 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A3:E7"/>
  <sheetViews>
    <sheetView workbookViewId="0">
      <selection activeCell="E6" sqref="E6"/>
    </sheetView>
  </sheetViews>
  <sheetFormatPr defaultRowHeight="15"/>
  <cols>
    <col min="1" max="1" width="18" bestFit="1" customWidth="1"/>
    <col min="2" max="2" width="16.5703125" bestFit="1" customWidth="1"/>
    <col min="4" max="4" width="18" bestFit="1" customWidth="1"/>
    <col min="5" max="5" width="18.42578125" bestFit="1" customWidth="1"/>
    <col min="13" max="13" width="18" bestFit="1" customWidth="1"/>
    <col min="14" max="14" width="16.5703125" bestFit="1" customWidth="1"/>
  </cols>
  <sheetData>
    <row r="3" spans="1:5">
      <c r="A3" s="8" t="s">
        <v>388</v>
      </c>
      <c r="B3" t="s">
        <v>425</v>
      </c>
      <c r="D3" s="8" t="s">
        <v>388</v>
      </c>
      <c r="E3" t="s">
        <v>428</v>
      </c>
    </row>
    <row r="4" spans="1:5">
      <c r="A4" s="9" t="s">
        <v>455</v>
      </c>
      <c r="B4" s="17">
        <v>254602.22</v>
      </c>
      <c r="D4" s="9" t="s">
        <v>455</v>
      </c>
      <c r="E4" s="16">
        <v>21203.600000000002</v>
      </c>
    </row>
    <row r="5" spans="1:5">
      <c r="A5" s="9" t="s">
        <v>456</v>
      </c>
      <c r="B5" s="17">
        <v>133308</v>
      </c>
      <c r="D5" s="9" t="s">
        <v>456</v>
      </c>
      <c r="E5" s="16">
        <v>6375.6</v>
      </c>
    </row>
    <row r="6" spans="1:5">
      <c r="A6" s="9" t="s">
        <v>457</v>
      </c>
      <c r="B6" s="17">
        <v>39515</v>
      </c>
      <c r="D6" s="9" t="s">
        <v>457</v>
      </c>
      <c r="E6" s="16">
        <v>6209.5000000000009</v>
      </c>
    </row>
    <row r="7" spans="1:5">
      <c r="A7" s="9" t="s">
        <v>389</v>
      </c>
      <c r="B7" s="17">
        <v>427425.22</v>
      </c>
      <c r="D7" s="9" t="s">
        <v>389</v>
      </c>
      <c r="E7" s="16">
        <v>33788.700000000004</v>
      </c>
    </row>
  </sheetData>
  <pageMargins left="0.511811024" right="0.511811024" top="0.78740157499999996" bottom="0.78740157499999996" header="0.31496062000000002" footer="0.31496062000000002"/>
  <pageSetup paperSize="9" orientation="portrait" r:id="rId3"/>
  <headerFooter>
    <oddFooter>&amp;R&amp;1#&amp;"Arial"&amp;10&amp;K000000Confidential 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A1:J17"/>
  <sheetViews>
    <sheetView workbookViewId="0">
      <selection activeCell="B30" sqref="B30"/>
    </sheetView>
  </sheetViews>
  <sheetFormatPr defaultRowHeight="15"/>
  <cols>
    <col min="1" max="2" width="41.5703125" bestFit="1" customWidth="1"/>
    <col min="4" max="4" width="9.140625" style="19"/>
  </cols>
  <sheetData>
    <row r="1" spans="1:10">
      <c r="A1" t="s">
        <v>19</v>
      </c>
      <c r="B1" t="s">
        <v>390</v>
      </c>
      <c r="C1" t="s">
        <v>387</v>
      </c>
      <c r="D1" s="19" t="s">
        <v>430</v>
      </c>
      <c r="I1">
        <v>1</v>
      </c>
      <c r="J1" t="s">
        <v>455</v>
      </c>
    </row>
    <row r="2" spans="1:10">
      <c r="A2" t="s">
        <v>554</v>
      </c>
      <c r="B2" t="s">
        <v>554</v>
      </c>
      <c r="C2">
        <v>1.1000000000000001</v>
      </c>
      <c r="D2" s="19">
        <v>0</v>
      </c>
      <c r="I2">
        <v>2</v>
      </c>
      <c r="J2" t="s">
        <v>456</v>
      </c>
    </row>
    <row r="3" spans="1:10">
      <c r="A3" t="s">
        <v>555</v>
      </c>
      <c r="B3" t="s">
        <v>555</v>
      </c>
      <c r="C3">
        <v>1</v>
      </c>
      <c r="D3" s="19">
        <v>0.05</v>
      </c>
      <c r="I3">
        <v>3</v>
      </c>
      <c r="J3" t="s">
        <v>457</v>
      </c>
    </row>
    <row r="4" spans="1:10">
      <c r="A4" t="s">
        <v>556</v>
      </c>
      <c r="B4" t="s">
        <v>556</v>
      </c>
      <c r="C4">
        <v>1</v>
      </c>
      <c r="D4" s="19">
        <v>0.05</v>
      </c>
      <c r="I4">
        <v>4</v>
      </c>
      <c r="J4" t="s">
        <v>458</v>
      </c>
    </row>
    <row r="5" spans="1:10">
      <c r="A5" t="s">
        <v>557</v>
      </c>
      <c r="B5" t="s">
        <v>557</v>
      </c>
      <c r="C5">
        <v>1.1000000000000001</v>
      </c>
      <c r="D5" s="19">
        <v>0</v>
      </c>
      <c r="I5">
        <v>5</v>
      </c>
      <c r="J5" t="s">
        <v>459</v>
      </c>
    </row>
    <row r="6" spans="1:10">
      <c r="A6" t="s">
        <v>558</v>
      </c>
      <c r="B6" t="s">
        <v>558</v>
      </c>
      <c r="C6">
        <v>1.42</v>
      </c>
      <c r="D6" s="19">
        <v>0</v>
      </c>
      <c r="I6">
        <v>6</v>
      </c>
      <c r="J6" t="s">
        <v>460</v>
      </c>
    </row>
    <row r="7" spans="1:10">
      <c r="A7" t="s">
        <v>559</v>
      </c>
      <c r="B7" t="s">
        <v>559</v>
      </c>
      <c r="C7">
        <v>1.1000000000000001</v>
      </c>
      <c r="D7" s="19">
        <v>0</v>
      </c>
      <c r="I7">
        <v>7</v>
      </c>
      <c r="J7" t="s">
        <v>461</v>
      </c>
    </row>
    <row r="8" spans="1:10">
      <c r="A8" t="s">
        <v>560</v>
      </c>
      <c r="B8" t="s">
        <v>560</v>
      </c>
      <c r="C8">
        <v>0.5</v>
      </c>
      <c r="D8" s="19">
        <v>0</v>
      </c>
      <c r="I8">
        <v>8</v>
      </c>
      <c r="J8" t="s">
        <v>462</v>
      </c>
    </row>
    <row r="9" spans="1:10">
      <c r="A9" t="s">
        <v>561</v>
      </c>
      <c r="B9" t="s">
        <v>561</v>
      </c>
      <c r="C9">
        <v>1</v>
      </c>
      <c r="D9" s="19">
        <v>0</v>
      </c>
      <c r="I9">
        <v>9</v>
      </c>
      <c r="J9" t="s">
        <v>463</v>
      </c>
    </row>
    <row r="10" spans="1:10">
      <c r="A10" t="s">
        <v>562</v>
      </c>
      <c r="B10" t="s">
        <v>562</v>
      </c>
      <c r="C10">
        <v>1</v>
      </c>
      <c r="D10" s="19">
        <v>0</v>
      </c>
      <c r="I10">
        <v>10</v>
      </c>
      <c r="J10" t="s">
        <v>464</v>
      </c>
    </row>
    <row r="11" spans="1:10">
      <c r="A11" t="s">
        <v>534</v>
      </c>
      <c r="B11" t="s">
        <v>534</v>
      </c>
      <c r="C11">
        <v>1</v>
      </c>
      <c r="D11" s="19">
        <v>0</v>
      </c>
      <c r="I11">
        <v>11</v>
      </c>
      <c r="J11" t="s">
        <v>465</v>
      </c>
    </row>
    <row r="12" spans="1:10">
      <c r="A12" t="s">
        <v>535</v>
      </c>
      <c r="B12" t="s">
        <v>535</v>
      </c>
      <c r="C12">
        <v>1</v>
      </c>
      <c r="D12" s="19">
        <v>0</v>
      </c>
      <c r="I12">
        <v>12</v>
      </c>
      <c r="J12" t="s">
        <v>466</v>
      </c>
    </row>
    <row r="13" spans="1:10">
      <c r="A13" t="s">
        <v>536</v>
      </c>
      <c r="B13" t="s">
        <v>536</v>
      </c>
      <c r="C13">
        <v>1</v>
      </c>
      <c r="D13" s="19">
        <v>0</v>
      </c>
    </row>
    <row r="14" spans="1:10">
      <c r="A14" t="s">
        <v>537</v>
      </c>
      <c r="B14" t="s">
        <v>537</v>
      </c>
      <c r="C14">
        <v>0.4</v>
      </c>
      <c r="D14" s="19">
        <v>0</v>
      </c>
    </row>
    <row r="15" spans="1:10">
      <c r="A15" t="s">
        <v>538</v>
      </c>
      <c r="B15" t="s">
        <v>538</v>
      </c>
      <c r="C15">
        <v>1.68</v>
      </c>
      <c r="D15" s="19">
        <v>0</v>
      </c>
    </row>
    <row r="16" spans="1:10">
      <c r="A16" t="s">
        <v>539</v>
      </c>
      <c r="B16" t="s">
        <v>539</v>
      </c>
      <c r="C16">
        <v>1.1000000000000001</v>
      </c>
      <c r="D16" s="19">
        <v>0</v>
      </c>
    </row>
    <row r="17" spans="1:4">
      <c r="A17" t="s">
        <v>540</v>
      </c>
      <c r="B17" t="s">
        <v>540</v>
      </c>
      <c r="C17">
        <v>1</v>
      </c>
      <c r="D17" s="19">
        <v>0.05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/>
  <dimension ref="A1:I36"/>
  <sheetViews>
    <sheetView zoomScaleNormal="100" workbookViewId="0">
      <selection activeCell="A2" sqref="A2:A36"/>
    </sheetView>
  </sheetViews>
  <sheetFormatPr defaultRowHeight="15"/>
  <cols>
    <col min="1" max="1" width="39.42578125" bestFit="1" customWidth="1"/>
    <col min="2" max="2" width="15" customWidth="1"/>
    <col min="3" max="3" width="15" style="7" bestFit="1" customWidth="1"/>
    <col min="4" max="4" width="13.42578125" bestFit="1" customWidth="1"/>
    <col min="5" max="5" width="13.28515625" customWidth="1"/>
    <col min="7" max="7" width="18" bestFit="1" customWidth="1"/>
    <col min="8" max="8" width="19.5703125" bestFit="1" customWidth="1"/>
    <col min="9" max="10" width="12.140625" bestFit="1" customWidth="1"/>
    <col min="11" max="12" width="10.5703125" bestFit="1" customWidth="1"/>
    <col min="13" max="13" width="10.5703125" customWidth="1"/>
    <col min="14" max="16" width="9.5703125" bestFit="1" customWidth="1"/>
    <col min="17" max="17" width="12.140625" bestFit="1" customWidth="1"/>
    <col min="18" max="18" width="13.28515625" bestFit="1" customWidth="1"/>
  </cols>
  <sheetData>
    <row r="1" spans="1:9" ht="25.5">
      <c r="A1" s="38" t="s">
        <v>431</v>
      </c>
      <c r="B1" s="39" t="s">
        <v>432</v>
      </c>
      <c r="C1" s="80" t="s">
        <v>433</v>
      </c>
      <c r="D1" s="40" t="s">
        <v>434</v>
      </c>
      <c r="E1" s="20" t="s">
        <v>435</v>
      </c>
      <c r="G1" s="25" t="s">
        <v>438</v>
      </c>
      <c r="H1" s="18">
        <f>GETPIVOTDATA("VALOR",$G$3)</f>
        <v>9075</v>
      </c>
    </row>
    <row r="2" spans="1:9">
      <c r="A2" s="53" t="str">
        <f ca="1">VLOOKUP(RANDBETWEEN(1,5),$G$21:$H$25,2,0)</f>
        <v>Fornecedor 2</v>
      </c>
      <c r="B2" s="21">
        <v>44569</v>
      </c>
      <c r="C2" s="81">
        <v>5911</v>
      </c>
      <c r="D2" s="54">
        <v>1</v>
      </c>
      <c r="E2" s="22"/>
    </row>
    <row r="3" spans="1:9">
      <c r="A3" s="53" t="str">
        <f t="shared" ref="A3:A36" ca="1" si="0">VLOOKUP(RANDBETWEEN(1,5),$G$21:$H$25,2,0)</f>
        <v>Fornecedor 1</v>
      </c>
      <c r="B3" s="21">
        <v>44570</v>
      </c>
      <c r="C3" s="81">
        <v>1972</v>
      </c>
      <c r="D3" s="54">
        <v>1</v>
      </c>
      <c r="E3" s="22"/>
      <c r="G3" s="8" t="s">
        <v>437</v>
      </c>
      <c r="H3" s="8" t="s">
        <v>436</v>
      </c>
    </row>
    <row r="4" spans="1:9">
      <c r="A4" s="53" t="str">
        <f t="shared" ca="1" si="0"/>
        <v>Fornecedor 2</v>
      </c>
      <c r="B4" s="21">
        <v>44570</v>
      </c>
      <c r="C4" s="81">
        <v>1192</v>
      </c>
      <c r="D4" s="54">
        <v>1</v>
      </c>
      <c r="E4" s="22"/>
      <c r="G4" s="8" t="s">
        <v>388</v>
      </c>
      <c r="H4" s="24">
        <v>1</v>
      </c>
      <c r="I4" s="24" t="s">
        <v>389</v>
      </c>
    </row>
    <row r="5" spans="1:9">
      <c r="A5" s="53" t="str">
        <f t="shared" ca="1" si="0"/>
        <v>Fornecedor 3</v>
      </c>
      <c r="B5" s="21">
        <v>44571</v>
      </c>
      <c r="C5" s="81">
        <v>4187</v>
      </c>
      <c r="D5" s="55">
        <v>2</v>
      </c>
      <c r="E5" s="22"/>
      <c r="G5" s="9" t="s">
        <v>546</v>
      </c>
      <c r="H5" s="17">
        <v>1972</v>
      </c>
      <c r="I5" s="17">
        <v>1972</v>
      </c>
    </row>
    <row r="6" spans="1:9">
      <c r="A6" s="53" t="str">
        <f t="shared" ca="1" si="0"/>
        <v>Fornecedor 5</v>
      </c>
      <c r="B6" s="21">
        <v>44571</v>
      </c>
      <c r="C6" s="81">
        <v>4187</v>
      </c>
      <c r="D6" s="55">
        <v>2</v>
      </c>
      <c r="E6" s="22"/>
      <c r="G6" s="9" t="s">
        <v>544</v>
      </c>
      <c r="H6" s="17">
        <v>7103</v>
      </c>
      <c r="I6" s="17">
        <v>7103</v>
      </c>
    </row>
    <row r="7" spans="1:9">
      <c r="A7" s="53" t="str">
        <f t="shared" ca="1" si="0"/>
        <v>Fornecedor 3</v>
      </c>
      <c r="B7" s="21">
        <v>44573</v>
      </c>
      <c r="C7" s="81">
        <v>1192</v>
      </c>
      <c r="D7" s="55">
        <v>2</v>
      </c>
      <c r="E7" s="22"/>
      <c r="G7" s="9" t="s">
        <v>389</v>
      </c>
      <c r="H7" s="17">
        <v>9075</v>
      </c>
      <c r="I7" s="17">
        <v>9075</v>
      </c>
    </row>
    <row r="8" spans="1:9">
      <c r="A8" s="53" t="str">
        <f t="shared" ca="1" si="0"/>
        <v>Fornecedor 4</v>
      </c>
      <c r="B8" s="21">
        <v>44575</v>
      </c>
      <c r="C8" s="81">
        <v>1365</v>
      </c>
      <c r="D8" s="55">
        <v>2</v>
      </c>
      <c r="E8" s="23"/>
    </row>
    <row r="9" spans="1:9">
      <c r="A9" s="53" t="str">
        <f t="shared" ca="1" si="0"/>
        <v>Fornecedor 5</v>
      </c>
      <c r="B9" s="21">
        <v>44574</v>
      </c>
      <c r="C9" s="81">
        <v>5256</v>
      </c>
      <c r="D9" s="55">
        <v>2</v>
      </c>
      <c r="E9" s="37"/>
    </row>
    <row r="10" spans="1:9">
      <c r="A10" s="53" t="str">
        <f t="shared" ca="1" si="0"/>
        <v>Fornecedor 1</v>
      </c>
      <c r="B10" s="21">
        <v>44578</v>
      </c>
      <c r="C10" s="81">
        <v>2547</v>
      </c>
      <c r="D10" s="55">
        <v>3</v>
      </c>
      <c r="E10" s="22"/>
    </row>
    <row r="11" spans="1:9">
      <c r="A11" s="53" t="str">
        <f t="shared" ca="1" si="0"/>
        <v>Fornecedor 5</v>
      </c>
      <c r="B11" s="21">
        <v>44578</v>
      </c>
      <c r="C11" s="81">
        <v>2530</v>
      </c>
      <c r="D11" s="55">
        <v>3</v>
      </c>
      <c r="E11" s="22"/>
    </row>
    <row r="12" spans="1:9">
      <c r="A12" s="53" t="str">
        <f t="shared" ca="1" si="0"/>
        <v>Fornecedor 2</v>
      </c>
      <c r="B12" s="21">
        <v>44578</v>
      </c>
      <c r="C12" s="81">
        <v>1167</v>
      </c>
      <c r="D12" s="55">
        <v>3</v>
      </c>
      <c r="E12" s="22"/>
    </row>
    <row r="13" spans="1:9">
      <c r="A13" s="53" t="str">
        <f t="shared" ca="1" si="0"/>
        <v>Fornecedor 1</v>
      </c>
      <c r="B13" s="21">
        <v>44580</v>
      </c>
      <c r="C13" s="81">
        <v>4927</v>
      </c>
      <c r="D13" s="55">
        <v>3</v>
      </c>
      <c r="E13" s="23"/>
    </row>
    <row r="14" spans="1:9">
      <c r="A14" s="53" t="str">
        <f t="shared" ca="1" si="0"/>
        <v>Fornecedor 2</v>
      </c>
      <c r="B14" s="21">
        <v>44580</v>
      </c>
      <c r="C14" s="81">
        <v>7789</v>
      </c>
      <c r="D14" s="55">
        <v>3</v>
      </c>
      <c r="E14" s="37"/>
    </row>
    <row r="15" spans="1:9">
      <c r="A15" s="53" t="str">
        <f t="shared" ca="1" si="0"/>
        <v>Fornecedor 1</v>
      </c>
      <c r="B15" s="21">
        <v>44582</v>
      </c>
      <c r="C15" s="81">
        <v>4085</v>
      </c>
      <c r="D15" s="55">
        <v>3</v>
      </c>
      <c r="E15" s="22"/>
    </row>
    <row r="16" spans="1:9">
      <c r="A16" s="53" t="str">
        <f t="shared" ca="1" si="0"/>
        <v>Fornecedor 2</v>
      </c>
      <c r="B16" s="21">
        <v>44582</v>
      </c>
      <c r="C16" s="81">
        <v>4153</v>
      </c>
      <c r="D16" s="55">
        <v>3</v>
      </c>
      <c r="E16" s="22"/>
    </row>
    <row r="17" spans="1:8">
      <c r="A17" s="53" t="str">
        <f t="shared" ca="1" si="0"/>
        <v>Fornecedor 2</v>
      </c>
      <c r="B17" s="21">
        <v>44582</v>
      </c>
      <c r="C17" s="81">
        <v>3618</v>
      </c>
      <c r="D17" s="55">
        <v>3</v>
      </c>
      <c r="E17" s="22"/>
    </row>
    <row r="18" spans="1:8">
      <c r="A18" s="53" t="str">
        <f t="shared" ca="1" si="0"/>
        <v>Fornecedor 1</v>
      </c>
      <c r="B18" s="21">
        <v>44584</v>
      </c>
      <c r="C18" s="81">
        <v>5911</v>
      </c>
      <c r="D18" s="55">
        <v>3</v>
      </c>
      <c r="E18" s="22"/>
    </row>
    <row r="19" spans="1:8">
      <c r="A19" s="53" t="str">
        <f t="shared" ca="1" si="0"/>
        <v>Fornecedor 1</v>
      </c>
      <c r="B19" s="21">
        <v>44585</v>
      </c>
      <c r="C19" s="81">
        <v>1972</v>
      </c>
      <c r="D19" s="55">
        <v>4</v>
      </c>
      <c r="E19" s="22"/>
    </row>
    <row r="20" spans="1:8">
      <c r="A20" s="53" t="str">
        <f t="shared" ca="1" si="0"/>
        <v>Fornecedor 2</v>
      </c>
      <c r="B20" s="21">
        <v>44587</v>
      </c>
      <c r="C20" s="81">
        <v>4927</v>
      </c>
      <c r="D20" s="55">
        <v>4</v>
      </c>
      <c r="E20" s="22"/>
    </row>
    <row r="21" spans="1:8">
      <c r="A21" s="53" t="str">
        <f t="shared" ca="1" si="0"/>
        <v>Fornecedor 4</v>
      </c>
      <c r="B21" s="21">
        <v>44590</v>
      </c>
      <c r="C21" s="81">
        <v>1365</v>
      </c>
      <c r="D21" s="55">
        <v>4</v>
      </c>
      <c r="E21" s="22"/>
      <c r="G21">
        <v>1</v>
      </c>
      <c r="H21" t="s">
        <v>543</v>
      </c>
    </row>
    <row r="22" spans="1:8">
      <c r="A22" s="53" t="str">
        <f t="shared" ca="1" si="0"/>
        <v>Fornecedor 4</v>
      </c>
      <c r="B22" s="21">
        <v>44590</v>
      </c>
      <c r="C22" s="81">
        <v>4845</v>
      </c>
      <c r="D22" s="55">
        <v>4</v>
      </c>
      <c r="E22" s="23"/>
      <c r="G22">
        <v>2</v>
      </c>
      <c r="H22" t="s">
        <v>544</v>
      </c>
    </row>
    <row r="23" spans="1:8">
      <c r="A23" s="53" t="str">
        <f t="shared" ca="1" si="0"/>
        <v>Fornecedor 3</v>
      </c>
      <c r="B23" s="21">
        <v>44589</v>
      </c>
      <c r="C23" s="81">
        <v>5256</v>
      </c>
      <c r="D23" s="55">
        <v>4</v>
      </c>
      <c r="E23" s="37"/>
      <c r="G23">
        <v>3</v>
      </c>
      <c r="H23" t="s">
        <v>545</v>
      </c>
    </row>
    <row r="24" spans="1:8">
      <c r="A24" s="53" t="str">
        <f t="shared" ca="1" si="0"/>
        <v>Fornecedor 5</v>
      </c>
      <c r="B24" s="21">
        <v>44593</v>
      </c>
      <c r="C24" s="81">
        <v>1167</v>
      </c>
      <c r="D24" s="55">
        <v>5</v>
      </c>
      <c r="E24" s="22"/>
      <c r="G24">
        <v>4</v>
      </c>
      <c r="H24" t="s">
        <v>546</v>
      </c>
    </row>
    <row r="25" spans="1:8">
      <c r="A25" s="53" t="str">
        <f t="shared" ca="1" si="0"/>
        <v>Fornecedor 5</v>
      </c>
      <c r="B25" s="21">
        <v>44594</v>
      </c>
      <c r="C25" s="81">
        <v>4927</v>
      </c>
      <c r="D25" s="55">
        <v>5</v>
      </c>
      <c r="E25" s="22"/>
      <c r="G25">
        <v>5</v>
      </c>
      <c r="H25" t="s">
        <v>547</v>
      </c>
    </row>
    <row r="26" spans="1:8">
      <c r="A26" s="53" t="str">
        <f t="shared" ca="1" si="0"/>
        <v>Fornecedor 3</v>
      </c>
      <c r="B26" s="21">
        <v>44597</v>
      </c>
      <c r="C26" s="81">
        <v>3619</v>
      </c>
      <c r="D26" s="55">
        <v>5</v>
      </c>
      <c r="E26" s="22"/>
    </row>
    <row r="27" spans="1:8">
      <c r="A27" s="53" t="str">
        <f t="shared" ca="1" si="0"/>
        <v>Fornecedor 5</v>
      </c>
      <c r="B27" s="21">
        <v>44597</v>
      </c>
      <c r="C27" s="81">
        <v>2773</v>
      </c>
      <c r="D27" s="55">
        <v>5</v>
      </c>
      <c r="E27" s="23"/>
    </row>
    <row r="28" spans="1:8">
      <c r="A28" s="53" t="str">
        <f t="shared" ca="1" si="0"/>
        <v>Fornecedor 2</v>
      </c>
      <c r="B28" s="21">
        <v>44599</v>
      </c>
      <c r="C28" s="81">
        <v>5911</v>
      </c>
      <c r="D28" s="54">
        <v>6</v>
      </c>
      <c r="E28" s="37"/>
    </row>
    <row r="29" spans="1:8">
      <c r="A29" s="53" t="str">
        <f t="shared" ca="1" si="0"/>
        <v>Fornecedor 4</v>
      </c>
      <c r="B29" s="21">
        <v>44600</v>
      </c>
      <c r="C29" s="81">
        <v>1972</v>
      </c>
      <c r="D29" s="54">
        <v>6</v>
      </c>
      <c r="E29" s="22"/>
    </row>
    <row r="30" spans="1:8">
      <c r="A30" s="53" t="str">
        <f t="shared" ca="1" si="0"/>
        <v>Fornecedor 5</v>
      </c>
      <c r="B30" s="21">
        <v>44601</v>
      </c>
      <c r="C30" s="81">
        <v>4927</v>
      </c>
      <c r="D30" s="54">
        <v>6</v>
      </c>
      <c r="E30" s="23"/>
    </row>
    <row r="31" spans="1:8">
      <c r="A31" s="53" t="str">
        <f t="shared" ca="1" si="0"/>
        <v>Fornecedor 1</v>
      </c>
      <c r="B31" s="21">
        <v>44605</v>
      </c>
      <c r="C31" s="81">
        <v>4845</v>
      </c>
      <c r="D31" s="54">
        <v>6</v>
      </c>
      <c r="E31" s="37"/>
    </row>
    <row r="32" spans="1:8">
      <c r="A32" s="53" t="str">
        <f t="shared" ca="1" si="0"/>
        <v>Fornecedor 1</v>
      </c>
      <c r="B32" s="21">
        <v>44604</v>
      </c>
      <c r="C32" s="81">
        <v>5256</v>
      </c>
      <c r="D32" s="54">
        <v>6</v>
      </c>
      <c r="E32" s="22"/>
    </row>
    <row r="33" spans="1:5">
      <c r="A33" s="53" t="str">
        <f t="shared" ca="1" si="0"/>
        <v>Fornecedor 1</v>
      </c>
      <c r="B33" s="21">
        <v>44605</v>
      </c>
      <c r="C33" s="81">
        <v>1366</v>
      </c>
      <c r="D33" s="54">
        <v>6</v>
      </c>
      <c r="E33" s="22"/>
    </row>
    <row r="34" spans="1:5">
      <c r="A34" s="53" t="str">
        <f t="shared" ca="1" si="0"/>
        <v>Fornecedor 5</v>
      </c>
      <c r="B34" s="21">
        <v>44612</v>
      </c>
      <c r="C34" s="81">
        <v>2773</v>
      </c>
      <c r="D34" s="56">
        <v>7</v>
      </c>
      <c r="E34" s="22"/>
    </row>
    <row r="35" spans="1:5">
      <c r="A35" s="53" t="str">
        <f t="shared" ca="1" si="0"/>
        <v>Fornecedor 1</v>
      </c>
      <c r="B35" s="21">
        <v>44620</v>
      </c>
      <c r="C35" s="81">
        <v>4845</v>
      </c>
      <c r="D35" s="56">
        <v>8</v>
      </c>
      <c r="E35" s="22"/>
    </row>
    <row r="36" spans="1:5">
      <c r="A36" s="53" t="str">
        <f t="shared" ca="1" si="0"/>
        <v>Fornecedor 3</v>
      </c>
      <c r="B36" s="21">
        <v>44630</v>
      </c>
      <c r="C36" s="81">
        <v>2773</v>
      </c>
      <c r="D36" s="56">
        <v>10</v>
      </c>
      <c r="E36" s="23"/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r:id="rId2"/>
  <headerFooter>
    <oddFooter>&amp;R&amp;1#&amp;"Arial"&amp;10&amp;K000000Confidential C</oddFooter>
  </headerFooter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>
    <tabColor rgb="FFFF8732"/>
  </sheetPr>
  <dimension ref="A1:X38"/>
  <sheetViews>
    <sheetView showGridLines="0" showRowColHeaders="0" zoomScale="90" zoomScaleNormal="90" workbookViewId="0"/>
  </sheetViews>
  <sheetFormatPr defaultColWidth="0" defaultRowHeight="15" zeroHeight="1"/>
  <cols>
    <col min="1" max="20" width="9.140625" customWidth="1"/>
    <col min="21" max="21" width="4.85546875" customWidth="1"/>
    <col min="22" max="24" width="0" hidden="1" customWidth="1"/>
    <col min="25" max="16384" width="9.140625" hidden="1"/>
  </cols>
  <sheetData>
    <row r="1" spans="1:21" ht="7.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>
      <c r="A18" s="11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7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/>
  <dimension ref="A1:P327"/>
  <sheetViews>
    <sheetView topLeftCell="A285" zoomScaleNormal="100" workbookViewId="0">
      <selection activeCell="D321" sqref="D321"/>
    </sheetView>
  </sheetViews>
  <sheetFormatPr defaultRowHeight="15"/>
  <cols>
    <col min="1" max="1" width="56.42578125" bestFit="1" customWidth="1"/>
    <col min="2" max="2" width="8.7109375" bestFit="1" customWidth="1"/>
    <col min="3" max="3" width="7.140625" bestFit="1" customWidth="1"/>
    <col min="4" max="4" width="10.42578125" bestFit="1" customWidth="1"/>
    <col min="5" max="5" width="14.7109375" bestFit="1" customWidth="1"/>
    <col min="6" max="6" width="11.28515625" bestFit="1" customWidth="1"/>
    <col min="7" max="7" width="11.85546875" bestFit="1" customWidth="1"/>
    <col min="8" max="8" width="6.7109375" bestFit="1" customWidth="1"/>
    <col min="9" max="9" width="6.42578125" bestFit="1" customWidth="1"/>
    <col min="10" max="10" width="8" bestFit="1" customWidth="1"/>
    <col min="11" max="11" width="9.140625" style="67"/>
    <col min="12" max="12" width="10.85546875" style="67" bestFit="1" customWidth="1"/>
    <col min="13" max="13" width="9.140625" style="67"/>
    <col min="14" max="14" width="14.28515625" style="67" bestFit="1" customWidth="1"/>
    <col min="15" max="15" width="9.140625" style="67"/>
    <col min="16" max="16" width="9.85546875" style="67" bestFit="1" customWidth="1"/>
    <col min="17" max="16384" width="9.140625" style="67"/>
  </cols>
  <sheetData>
    <row r="1" spans="1:16">
      <c r="A1" s="47" t="s">
        <v>439</v>
      </c>
      <c r="B1" s="48" t="s">
        <v>3</v>
      </c>
      <c r="C1" s="47" t="s">
        <v>440</v>
      </c>
      <c r="D1" s="49" t="s">
        <v>441</v>
      </c>
      <c r="E1" s="47" t="s">
        <v>447</v>
      </c>
      <c r="F1" s="47" t="s">
        <v>448</v>
      </c>
      <c r="G1" s="49" t="s">
        <v>449</v>
      </c>
      <c r="H1" s="47" t="s">
        <v>452</v>
      </c>
      <c r="I1" s="47" t="s">
        <v>451</v>
      </c>
      <c r="J1" s="47" t="s">
        <v>453</v>
      </c>
      <c r="M1" s="67" t="s">
        <v>510</v>
      </c>
      <c r="O1" s="83" t="s">
        <v>17</v>
      </c>
      <c r="P1" s="83"/>
    </row>
    <row r="2" spans="1:16">
      <c r="A2" s="65" t="s">
        <v>525</v>
      </c>
      <c r="B2" s="66">
        <v>44656</v>
      </c>
      <c r="C2" s="65" t="s">
        <v>517</v>
      </c>
      <c r="D2" s="71">
        <v>2605</v>
      </c>
      <c r="E2" s="44">
        <v>6</v>
      </c>
      <c r="F2" s="44" t="s">
        <v>508</v>
      </c>
      <c r="G2" s="45" t="s">
        <v>530</v>
      </c>
      <c r="H2" s="46" t="s">
        <v>458</v>
      </c>
      <c r="I2" s="46">
        <v>2022</v>
      </c>
      <c r="J2" s="46" t="s">
        <v>445</v>
      </c>
      <c r="M2" s="67" t="s">
        <v>511</v>
      </c>
      <c r="N2" s="70">
        <v>139</v>
      </c>
      <c r="O2" s="67">
        <v>1</v>
      </c>
      <c r="P2" s="67" t="s">
        <v>515</v>
      </c>
    </row>
    <row r="3" spans="1:16">
      <c r="A3" s="65" t="s">
        <v>520</v>
      </c>
      <c r="B3" s="66">
        <v>44701</v>
      </c>
      <c r="C3" s="65" t="s">
        <v>515</v>
      </c>
      <c r="D3" s="71">
        <v>180</v>
      </c>
      <c r="E3" s="44">
        <v>51</v>
      </c>
      <c r="F3" s="44" t="s">
        <v>531</v>
      </c>
      <c r="G3" s="45" t="s">
        <v>530</v>
      </c>
      <c r="H3" s="46" t="s">
        <v>459</v>
      </c>
      <c r="I3" s="46">
        <v>2022</v>
      </c>
      <c r="J3" s="46" t="s">
        <v>443</v>
      </c>
      <c r="M3" s="67" t="s">
        <v>512</v>
      </c>
      <c r="N3" s="70">
        <v>2698.25</v>
      </c>
      <c r="O3" s="67">
        <v>2</v>
      </c>
      <c r="P3" s="67" t="s">
        <v>449</v>
      </c>
    </row>
    <row r="4" spans="1:16">
      <c r="A4" s="65" t="s">
        <v>527</v>
      </c>
      <c r="B4" s="66">
        <v>44537</v>
      </c>
      <c r="C4" s="65" t="s">
        <v>517</v>
      </c>
      <c r="D4" s="71">
        <v>273</v>
      </c>
      <c r="E4" s="44">
        <v>-113</v>
      </c>
      <c r="F4" s="44" t="s">
        <v>530</v>
      </c>
      <c r="G4" s="45" t="s">
        <v>531</v>
      </c>
      <c r="H4" s="46" t="s">
        <v>466</v>
      </c>
      <c r="I4" s="46">
        <v>2021</v>
      </c>
      <c r="J4" s="46" t="s">
        <v>445</v>
      </c>
      <c r="M4" s="67" t="s">
        <v>513</v>
      </c>
      <c r="N4" s="69">
        <v>44531</v>
      </c>
      <c r="O4" s="67">
        <v>3</v>
      </c>
      <c r="P4" s="67" t="s">
        <v>516</v>
      </c>
    </row>
    <row r="5" spans="1:16">
      <c r="A5" s="65" t="s">
        <v>522</v>
      </c>
      <c r="B5" s="66">
        <v>44662</v>
      </c>
      <c r="C5" s="65" t="s">
        <v>517</v>
      </c>
      <c r="D5" s="71">
        <v>1710</v>
      </c>
      <c r="E5" s="44">
        <v>12</v>
      </c>
      <c r="F5" s="44" t="s">
        <v>508</v>
      </c>
      <c r="G5" s="45" t="s">
        <v>530</v>
      </c>
      <c r="H5" s="46" t="s">
        <v>458</v>
      </c>
      <c r="I5" s="46">
        <v>2022</v>
      </c>
      <c r="J5" s="46" t="s">
        <v>445</v>
      </c>
      <c r="M5" s="67" t="s">
        <v>514</v>
      </c>
      <c r="N5" s="69">
        <v>44711</v>
      </c>
      <c r="O5" s="67">
        <v>4</v>
      </c>
      <c r="P5" s="67" t="s">
        <v>517</v>
      </c>
    </row>
    <row r="6" spans="1:16">
      <c r="A6" s="65" t="s">
        <v>524</v>
      </c>
      <c r="B6" s="66">
        <v>44643</v>
      </c>
      <c r="C6" s="65" t="s">
        <v>516</v>
      </c>
      <c r="D6" s="71">
        <v>875</v>
      </c>
      <c r="E6" s="44">
        <v>-7</v>
      </c>
      <c r="F6" s="44" t="s">
        <v>530</v>
      </c>
      <c r="G6" s="45" t="s">
        <v>530</v>
      </c>
      <c r="H6" s="46" t="s">
        <v>457</v>
      </c>
      <c r="I6" s="46">
        <v>2022</v>
      </c>
      <c r="J6" s="46" t="s">
        <v>442</v>
      </c>
    </row>
    <row r="7" spans="1:16">
      <c r="A7" s="65" t="s">
        <v>524</v>
      </c>
      <c r="B7" s="66">
        <v>44667</v>
      </c>
      <c r="C7" s="65" t="s">
        <v>449</v>
      </c>
      <c r="D7" s="71">
        <v>870</v>
      </c>
      <c r="E7" s="44">
        <v>17</v>
      </c>
      <c r="F7" s="44" t="s">
        <v>509</v>
      </c>
      <c r="G7" s="45" t="s">
        <v>530</v>
      </c>
      <c r="H7" s="46" t="s">
        <v>458</v>
      </c>
      <c r="I7" s="46">
        <v>2022</v>
      </c>
      <c r="J7" s="46" t="s">
        <v>443</v>
      </c>
      <c r="M7" s="67">
        <v>1</v>
      </c>
      <c r="N7" s="67" t="s">
        <v>518</v>
      </c>
    </row>
    <row r="8" spans="1:16">
      <c r="A8" s="65" t="s">
        <v>520</v>
      </c>
      <c r="B8" s="66">
        <v>44597</v>
      </c>
      <c r="C8" s="65" t="s">
        <v>515</v>
      </c>
      <c r="D8" s="71">
        <v>903</v>
      </c>
      <c r="E8" s="44">
        <v>-53</v>
      </c>
      <c r="F8" s="44" t="s">
        <v>530</v>
      </c>
      <c r="G8" s="45" t="s">
        <v>531</v>
      </c>
      <c r="H8" s="46" t="s">
        <v>456</v>
      </c>
      <c r="I8" s="46">
        <v>2022</v>
      </c>
      <c r="J8" s="46" t="s">
        <v>444</v>
      </c>
      <c r="M8" s="67">
        <v>2</v>
      </c>
      <c r="N8" s="67" t="s">
        <v>519</v>
      </c>
    </row>
    <row r="9" spans="1:16">
      <c r="A9" s="65" t="s">
        <v>520</v>
      </c>
      <c r="B9" s="66">
        <v>44706</v>
      </c>
      <c r="C9" s="65" t="s">
        <v>515</v>
      </c>
      <c r="D9" s="71">
        <v>667</v>
      </c>
      <c r="E9" s="44">
        <v>56</v>
      </c>
      <c r="F9" s="44" t="s">
        <v>531</v>
      </c>
      <c r="G9" s="45" t="s">
        <v>530</v>
      </c>
      <c r="H9" s="46" t="s">
        <v>459</v>
      </c>
      <c r="I9" s="46">
        <v>2022</v>
      </c>
      <c r="J9" s="46" t="s">
        <v>443</v>
      </c>
      <c r="M9" s="67">
        <v>3</v>
      </c>
      <c r="N9" s="67" t="s">
        <v>520</v>
      </c>
    </row>
    <row r="10" spans="1:16">
      <c r="A10" s="65" t="s">
        <v>525</v>
      </c>
      <c r="B10" s="66">
        <v>44687</v>
      </c>
      <c r="C10" s="65" t="s">
        <v>449</v>
      </c>
      <c r="D10" s="71">
        <v>952</v>
      </c>
      <c r="E10" s="44">
        <v>37</v>
      </c>
      <c r="F10" s="44" t="s">
        <v>532</v>
      </c>
      <c r="G10" s="45" t="s">
        <v>530</v>
      </c>
      <c r="H10" s="46" t="s">
        <v>459</v>
      </c>
      <c r="I10" s="46">
        <v>2022</v>
      </c>
      <c r="J10" s="46" t="s">
        <v>443</v>
      </c>
      <c r="M10" s="67">
        <v>4</v>
      </c>
      <c r="N10" s="67" t="s">
        <v>521</v>
      </c>
    </row>
    <row r="11" spans="1:16">
      <c r="A11" s="65" t="s">
        <v>519</v>
      </c>
      <c r="B11" s="66">
        <v>44655</v>
      </c>
      <c r="C11" s="65" t="s">
        <v>515</v>
      </c>
      <c r="D11" s="71">
        <v>1962</v>
      </c>
      <c r="E11" s="44">
        <v>5</v>
      </c>
      <c r="F11" s="44" t="s">
        <v>508</v>
      </c>
      <c r="G11" s="45" t="s">
        <v>530</v>
      </c>
      <c r="H11" s="46" t="s">
        <v>458</v>
      </c>
      <c r="I11" s="46">
        <v>2022</v>
      </c>
      <c r="J11" s="46" t="s">
        <v>443</v>
      </c>
      <c r="M11" s="67">
        <v>5</v>
      </c>
      <c r="N11" s="67" t="s">
        <v>522</v>
      </c>
    </row>
    <row r="12" spans="1:16">
      <c r="A12" s="65" t="s">
        <v>520</v>
      </c>
      <c r="B12" s="66">
        <v>44552</v>
      </c>
      <c r="C12" s="65" t="s">
        <v>515</v>
      </c>
      <c r="D12" s="71">
        <v>2412</v>
      </c>
      <c r="E12" s="44">
        <v>-98</v>
      </c>
      <c r="F12" s="44" t="s">
        <v>530</v>
      </c>
      <c r="G12" s="45" t="s">
        <v>531</v>
      </c>
      <c r="H12" s="46" t="s">
        <v>466</v>
      </c>
      <c r="I12" s="46">
        <v>2021</v>
      </c>
      <c r="J12" s="46" t="s">
        <v>444</v>
      </c>
      <c r="M12" s="67">
        <v>6</v>
      </c>
      <c r="N12" s="67" t="s">
        <v>523</v>
      </c>
    </row>
    <row r="13" spans="1:16">
      <c r="A13" s="65" t="s">
        <v>527</v>
      </c>
      <c r="B13" s="66">
        <v>44553</v>
      </c>
      <c r="C13" s="65" t="s">
        <v>449</v>
      </c>
      <c r="D13" s="71">
        <v>1371</v>
      </c>
      <c r="E13" s="44">
        <v>-97</v>
      </c>
      <c r="F13" s="44" t="s">
        <v>530</v>
      </c>
      <c r="G13" s="45" t="s">
        <v>531</v>
      </c>
      <c r="H13" s="46" t="s">
        <v>466</v>
      </c>
      <c r="I13" s="46">
        <v>2021</v>
      </c>
      <c r="J13" s="46" t="s">
        <v>444</v>
      </c>
      <c r="M13" s="67">
        <v>7</v>
      </c>
      <c r="N13" s="67" t="s">
        <v>524</v>
      </c>
    </row>
    <row r="14" spans="1:16">
      <c r="A14" s="65" t="s">
        <v>520</v>
      </c>
      <c r="B14" s="66">
        <v>44624</v>
      </c>
      <c r="C14" s="65" t="s">
        <v>517</v>
      </c>
      <c r="D14" s="71">
        <v>596</v>
      </c>
      <c r="E14" s="44">
        <v>-26</v>
      </c>
      <c r="F14" s="44" t="s">
        <v>530</v>
      </c>
      <c r="G14" s="45" t="s">
        <v>509</v>
      </c>
      <c r="H14" s="46" t="s">
        <v>457</v>
      </c>
      <c r="I14" s="46">
        <v>2022</v>
      </c>
      <c r="J14" s="46" t="s">
        <v>445</v>
      </c>
      <c r="M14" s="67">
        <v>8</v>
      </c>
      <c r="N14" s="67" t="s">
        <v>525</v>
      </c>
    </row>
    <row r="15" spans="1:16">
      <c r="A15" s="65" t="s">
        <v>518</v>
      </c>
      <c r="B15" s="66">
        <v>44566</v>
      </c>
      <c r="C15" s="65" t="s">
        <v>517</v>
      </c>
      <c r="D15" s="71">
        <v>2545</v>
      </c>
      <c r="E15" s="44">
        <v>-84</v>
      </c>
      <c r="F15" s="44" t="s">
        <v>530</v>
      </c>
      <c r="G15" s="45" t="s">
        <v>531</v>
      </c>
      <c r="H15" s="46" t="s">
        <v>455</v>
      </c>
      <c r="I15" s="46">
        <v>2022</v>
      </c>
      <c r="J15" s="46" t="s">
        <v>445</v>
      </c>
      <c r="M15" s="67">
        <v>9</v>
      </c>
      <c r="N15" s="67" t="s">
        <v>526</v>
      </c>
    </row>
    <row r="16" spans="1:16">
      <c r="A16" s="65" t="s">
        <v>523</v>
      </c>
      <c r="B16" s="66">
        <v>44617</v>
      </c>
      <c r="C16" s="65" t="s">
        <v>516</v>
      </c>
      <c r="D16" s="71">
        <v>1681</v>
      </c>
      <c r="E16" s="44">
        <v>-33</v>
      </c>
      <c r="F16" s="44" t="s">
        <v>530</v>
      </c>
      <c r="G16" s="45" t="s">
        <v>530</v>
      </c>
      <c r="H16" s="46" t="s">
        <v>456</v>
      </c>
      <c r="I16" s="46">
        <v>2022</v>
      </c>
      <c r="J16" s="46" t="s">
        <v>442</v>
      </c>
      <c r="M16" s="67">
        <v>10</v>
      </c>
      <c r="N16" s="67" t="s">
        <v>527</v>
      </c>
    </row>
    <row r="17" spans="1:10">
      <c r="A17" s="65" t="s">
        <v>526</v>
      </c>
      <c r="B17" s="66">
        <v>44600</v>
      </c>
      <c r="C17" s="65" t="s">
        <v>515</v>
      </c>
      <c r="D17" s="71">
        <v>2584</v>
      </c>
      <c r="E17" s="44">
        <v>-50</v>
      </c>
      <c r="F17" s="44" t="s">
        <v>530</v>
      </c>
      <c r="G17" s="45" t="s">
        <v>531</v>
      </c>
      <c r="H17" s="46" t="s">
        <v>456</v>
      </c>
      <c r="I17" s="46">
        <v>2022</v>
      </c>
      <c r="J17" s="46" t="s">
        <v>444</v>
      </c>
    </row>
    <row r="18" spans="1:10">
      <c r="A18" s="65" t="s">
        <v>525</v>
      </c>
      <c r="B18" s="66">
        <v>44560</v>
      </c>
      <c r="C18" s="65" t="s">
        <v>515</v>
      </c>
      <c r="D18" s="71">
        <v>901</v>
      </c>
      <c r="E18" s="44">
        <v>-90</v>
      </c>
      <c r="F18" s="44" t="s">
        <v>530</v>
      </c>
      <c r="G18" s="45" t="s">
        <v>531</v>
      </c>
      <c r="H18" s="46" t="s">
        <v>466</v>
      </c>
      <c r="I18" s="46">
        <v>2021</v>
      </c>
      <c r="J18" s="46" t="s">
        <v>444</v>
      </c>
    </row>
    <row r="19" spans="1:10">
      <c r="A19" s="65" t="s">
        <v>524</v>
      </c>
      <c r="B19" s="66">
        <v>44674</v>
      </c>
      <c r="C19" s="65" t="s">
        <v>517</v>
      </c>
      <c r="D19" s="71">
        <v>1933</v>
      </c>
      <c r="E19" s="44">
        <v>24</v>
      </c>
      <c r="F19" s="44" t="s">
        <v>509</v>
      </c>
      <c r="G19" s="45" t="s">
        <v>530</v>
      </c>
      <c r="H19" s="46" t="s">
        <v>458</v>
      </c>
      <c r="I19" s="46">
        <v>2022</v>
      </c>
      <c r="J19" s="46" t="s">
        <v>445</v>
      </c>
    </row>
    <row r="20" spans="1:10">
      <c r="A20" s="65" t="s">
        <v>527</v>
      </c>
      <c r="B20" s="66">
        <v>44679</v>
      </c>
      <c r="C20" s="65" t="s">
        <v>449</v>
      </c>
      <c r="D20" s="71">
        <v>2321</v>
      </c>
      <c r="E20" s="44">
        <v>29</v>
      </c>
      <c r="F20" s="44" t="s">
        <v>509</v>
      </c>
      <c r="G20" s="45" t="s">
        <v>530</v>
      </c>
      <c r="H20" s="46" t="s">
        <v>458</v>
      </c>
      <c r="I20" s="46">
        <v>2022</v>
      </c>
      <c r="J20" s="46" t="s">
        <v>443</v>
      </c>
    </row>
    <row r="21" spans="1:10">
      <c r="A21" s="65" t="s">
        <v>519</v>
      </c>
      <c r="B21" s="66">
        <v>44688</v>
      </c>
      <c r="C21" s="65" t="s">
        <v>515</v>
      </c>
      <c r="D21" s="71">
        <v>2270</v>
      </c>
      <c r="E21" s="44">
        <v>38</v>
      </c>
      <c r="F21" s="44" t="s">
        <v>532</v>
      </c>
      <c r="G21" s="45" t="s">
        <v>530</v>
      </c>
      <c r="H21" s="46" t="s">
        <v>459</v>
      </c>
      <c r="I21" s="46">
        <v>2022</v>
      </c>
      <c r="J21" s="46" t="s">
        <v>443</v>
      </c>
    </row>
    <row r="22" spans="1:10">
      <c r="A22" s="65" t="s">
        <v>518</v>
      </c>
      <c r="B22" s="66">
        <v>44685</v>
      </c>
      <c r="C22" s="65" t="s">
        <v>517</v>
      </c>
      <c r="D22" s="71">
        <v>1602</v>
      </c>
      <c r="E22" s="44">
        <v>35</v>
      </c>
      <c r="F22" s="44" t="s">
        <v>532</v>
      </c>
      <c r="G22" s="45" t="s">
        <v>530</v>
      </c>
      <c r="H22" s="46" t="s">
        <v>459</v>
      </c>
      <c r="I22" s="46">
        <v>2022</v>
      </c>
      <c r="J22" s="46" t="s">
        <v>445</v>
      </c>
    </row>
    <row r="23" spans="1:10">
      <c r="A23" s="65" t="s">
        <v>519</v>
      </c>
      <c r="B23" s="66">
        <v>44540</v>
      </c>
      <c r="C23" s="65" t="s">
        <v>517</v>
      </c>
      <c r="D23" s="71">
        <v>1527</v>
      </c>
      <c r="E23" s="44">
        <v>-110</v>
      </c>
      <c r="F23" s="44" t="s">
        <v>530</v>
      </c>
      <c r="G23" s="45" t="s">
        <v>531</v>
      </c>
      <c r="H23" s="46" t="s">
        <v>466</v>
      </c>
      <c r="I23" s="46">
        <v>2021</v>
      </c>
      <c r="J23" s="46" t="s">
        <v>445</v>
      </c>
    </row>
    <row r="24" spans="1:10">
      <c r="A24" s="65" t="s">
        <v>522</v>
      </c>
      <c r="B24" s="66">
        <v>44619</v>
      </c>
      <c r="C24" s="65" t="s">
        <v>516</v>
      </c>
      <c r="D24" s="71">
        <v>1619</v>
      </c>
      <c r="E24" s="44">
        <v>-31</v>
      </c>
      <c r="F24" s="44" t="s">
        <v>530</v>
      </c>
      <c r="G24" s="45" t="s">
        <v>530</v>
      </c>
      <c r="H24" s="46" t="s">
        <v>456</v>
      </c>
      <c r="I24" s="46">
        <v>2022</v>
      </c>
      <c r="J24" s="46" t="s">
        <v>442</v>
      </c>
    </row>
    <row r="25" spans="1:10">
      <c r="A25" s="65" t="s">
        <v>523</v>
      </c>
      <c r="B25" s="66">
        <v>44547</v>
      </c>
      <c r="C25" s="65" t="s">
        <v>516</v>
      </c>
      <c r="D25" s="71">
        <v>2234</v>
      </c>
      <c r="E25" s="44">
        <v>-103</v>
      </c>
      <c r="F25" s="44" t="s">
        <v>530</v>
      </c>
      <c r="G25" s="45" t="s">
        <v>530</v>
      </c>
      <c r="H25" s="46" t="s">
        <v>466</v>
      </c>
      <c r="I25" s="46">
        <v>2021</v>
      </c>
      <c r="J25" s="46" t="s">
        <v>442</v>
      </c>
    </row>
    <row r="26" spans="1:10">
      <c r="A26" s="65" t="s">
        <v>524</v>
      </c>
      <c r="B26" s="66">
        <v>44619</v>
      </c>
      <c r="C26" s="65" t="s">
        <v>516</v>
      </c>
      <c r="D26" s="71">
        <v>1414</v>
      </c>
      <c r="E26" s="44">
        <v>-31</v>
      </c>
      <c r="F26" s="44" t="s">
        <v>530</v>
      </c>
      <c r="G26" s="45" t="s">
        <v>530</v>
      </c>
      <c r="H26" s="46" t="s">
        <v>456</v>
      </c>
      <c r="I26" s="46">
        <v>2022</v>
      </c>
      <c r="J26" s="46" t="s">
        <v>442</v>
      </c>
    </row>
    <row r="27" spans="1:10">
      <c r="A27" s="65" t="s">
        <v>519</v>
      </c>
      <c r="B27" s="66">
        <v>44612</v>
      </c>
      <c r="C27" s="65" t="s">
        <v>516</v>
      </c>
      <c r="D27" s="71">
        <v>680</v>
      </c>
      <c r="E27" s="44">
        <v>-38</v>
      </c>
      <c r="F27" s="44" t="s">
        <v>530</v>
      </c>
      <c r="G27" s="45" t="s">
        <v>530</v>
      </c>
      <c r="H27" s="46" t="s">
        <v>456</v>
      </c>
      <c r="I27" s="46">
        <v>2022</v>
      </c>
      <c r="J27" s="46" t="s">
        <v>442</v>
      </c>
    </row>
    <row r="28" spans="1:10">
      <c r="A28" s="65" t="s">
        <v>522</v>
      </c>
      <c r="B28" s="66">
        <v>44633</v>
      </c>
      <c r="C28" s="65" t="s">
        <v>516</v>
      </c>
      <c r="D28" s="71">
        <v>683</v>
      </c>
      <c r="E28" s="44">
        <v>-17</v>
      </c>
      <c r="F28" s="44" t="s">
        <v>530</v>
      </c>
      <c r="G28" s="45" t="s">
        <v>530</v>
      </c>
      <c r="H28" s="46" t="s">
        <v>457</v>
      </c>
      <c r="I28" s="46">
        <v>2022</v>
      </c>
      <c r="J28" s="46" t="s">
        <v>442</v>
      </c>
    </row>
    <row r="29" spans="1:10">
      <c r="A29" s="65" t="s">
        <v>521</v>
      </c>
      <c r="B29" s="66">
        <v>44710</v>
      </c>
      <c r="C29" s="65" t="s">
        <v>517</v>
      </c>
      <c r="D29" s="71">
        <v>1636</v>
      </c>
      <c r="E29" s="44">
        <v>60</v>
      </c>
      <c r="F29" s="44" t="s">
        <v>531</v>
      </c>
      <c r="G29" s="45" t="s">
        <v>530</v>
      </c>
      <c r="H29" s="46" t="s">
        <v>459</v>
      </c>
      <c r="I29" s="46">
        <v>2022</v>
      </c>
      <c r="J29" s="46" t="s">
        <v>445</v>
      </c>
    </row>
    <row r="30" spans="1:10">
      <c r="A30" s="65" t="s">
        <v>519</v>
      </c>
      <c r="B30" s="66">
        <v>44583</v>
      </c>
      <c r="C30" s="65" t="s">
        <v>516</v>
      </c>
      <c r="D30" s="71">
        <v>322</v>
      </c>
      <c r="E30" s="44">
        <v>-67</v>
      </c>
      <c r="F30" s="44" t="s">
        <v>530</v>
      </c>
      <c r="G30" s="45" t="s">
        <v>530</v>
      </c>
      <c r="H30" s="46" t="s">
        <v>455</v>
      </c>
      <c r="I30" s="46">
        <v>2022</v>
      </c>
      <c r="J30" s="46" t="s">
        <v>442</v>
      </c>
    </row>
    <row r="31" spans="1:10">
      <c r="A31" s="65" t="s">
        <v>524</v>
      </c>
      <c r="B31" s="66">
        <v>44696</v>
      </c>
      <c r="C31" s="65" t="s">
        <v>516</v>
      </c>
      <c r="D31" s="71">
        <v>2569</v>
      </c>
      <c r="E31" s="44">
        <v>46</v>
      </c>
      <c r="F31" s="44" t="s">
        <v>530</v>
      </c>
      <c r="G31" s="45" t="s">
        <v>530</v>
      </c>
      <c r="H31" s="46" t="s">
        <v>459</v>
      </c>
      <c r="I31" s="46">
        <v>2022</v>
      </c>
      <c r="J31" s="46" t="s">
        <v>442</v>
      </c>
    </row>
    <row r="32" spans="1:10">
      <c r="A32" s="65" t="s">
        <v>523</v>
      </c>
      <c r="B32" s="66">
        <v>44626</v>
      </c>
      <c r="C32" s="65" t="s">
        <v>516</v>
      </c>
      <c r="D32" s="71">
        <v>2033</v>
      </c>
      <c r="E32" s="44">
        <v>-24</v>
      </c>
      <c r="F32" s="44" t="s">
        <v>530</v>
      </c>
      <c r="G32" s="45" t="s">
        <v>530</v>
      </c>
      <c r="H32" s="46" t="s">
        <v>457</v>
      </c>
      <c r="I32" s="46">
        <v>2022</v>
      </c>
      <c r="J32" s="46" t="s">
        <v>442</v>
      </c>
    </row>
    <row r="33" spans="1:10">
      <c r="A33" s="65" t="s">
        <v>523</v>
      </c>
      <c r="B33" s="66">
        <v>44576</v>
      </c>
      <c r="C33" s="65" t="s">
        <v>449</v>
      </c>
      <c r="D33" s="71">
        <v>915</v>
      </c>
      <c r="E33" s="44">
        <v>-74</v>
      </c>
      <c r="F33" s="44" t="s">
        <v>530</v>
      </c>
      <c r="G33" s="45" t="s">
        <v>531</v>
      </c>
      <c r="H33" s="46" t="s">
        <v>455</v>
      </c>
      <c r="I33" s="46">
        <v>2022</v>
      </c>
      <c r="J33" s="46" t="s">
        <v>444</v>
      </c>
    </row>
    <row r="34" spans="1:10">
      <c r="A34" s="65" t="s">
        <v>522</v>
      </c>
      <c r="B34" s="66">
        <v>44554</v>
      </c>
      <c r="C34" s="65" t="s">
        <v>517</v>
      </c>
      <c r="D34" s="71">
        <v>2184</v>
      </c>
      <c r="E34" s="44">
        <v>-96</v>
      </c>
      <c r="F34" s="44" t="s">
        <v>530</v>
      </c>
      <c r="G34" s="45" t="s">
        <v>531</v>
      </c>
      <c r="H34" s="46" t="s">
        <v>466</v>
      </c>
      <c r="I34" s="46">
        <v>2021</v>
      </c>
      <c r="J34" s="46" t="s">
        <v>445</v>
      </c>
    </row>
    <row r="35" spans="1:10">
      <c r="A35" s="65" t="s">
        <v>518</v>
      </c>
      <c r="B35" s="66">
        <v>44621</v>
      </c>
      <c r="C35" s="65" t="s">
        <v>515</v>
      </c>
      <c r="D35" s="71">
        <v>1094</v>
      </c>
      <c r="E35" s="44">
        <v>-29</v>
      </c>
      <c r="F35" s="44" t="s">
        <v>530</v>
      </c>
      <c r="G35" s="45" t="s">
        <v>509</v>
      </c>
      <c r="H35" s="46" t="s">
        <v>457</v>
      </c>
      <c r="I35" s="46">
        <v>2022</v>
      </c>
      <c r="J35" s="46" t="s">
        <v>444</v>
      </c>
    </row>
    <row r="36" spans="1:10">
      <c r="A36" s="65" t="s">
        <v>523</v>
      </c>
      <c r="B36" s="66">
        <v>44699</v>
      </c>
      <c r="C36" s="65" t="s">
        <v>516</v>
      </c>
      <c r="D36" s="71">
        <v>1726</v>
      </c>
      <c r="E36" s="44">
        <v>49</v>
      </c>
      <c r="F36" s="44" t="s">
        <v>530</v>
      </c>
      <c r="G36" s="45" t="s">
        <v>530</v>
      </c>
      <c r="H36" s="46" t="s">
        <v>459</v>
      </c>
      <c r="I36" s="46">
        <v>2022</v>
      </c>
      <c r="J36" s="46" t="s">
        <v>442</v>
      </c>
    </row>
    <row r="37" spans="1:10">
      <c r="A37" s="65" t="s">
        <v>520</v>
      </c>
      <c r="B37" s="66">
        <v>44540</v>
      </c>
      <c r="C37" s="65" t="s">
        <v>517</v>
      </c>
      <c r="D37" s="71">
        <v>592</v>
      </c>
      <c r="E37" s="44">
        <v>-110</v>
      </c>
      <c r="F37" s="44" t="s">
        <v>530</v>
      </c>
      <c r="G37" s="45" t="s">
        <v>531</v>
      </c>
      <c r="H37" s="46" t="s">
        <v>466</v>
      </c>
      <c r="I37" s="46">
        <v>2021</v>
      </c>
      <c r="J37" s="46" t="s">
        <v>445</v>
      </c>
    </row>
    <row r="38" spans="1:10">
      <c r="A38" s="65" t="s">
        <v>526</v>
      </c>
      <c r="B38" s="66">
        <v>44579</v>
      </c>
      <c r="C38" s="65" t="s">
        <v>517</v>
      </c>
      <c r="D38" s="71">
        <v>2086</v>
      </c>
      <c r="E38" s="44">
        <v>-71</v>
      </c>
      <c r="F38" s="44" t="s">
        <v>530</v>
      </c>
      <c r="G38" s="45" t="s">
        <v>531</v>
      </c>
      <c r="H38" s="46" t="s">
        <v>455</v>
      </c>
      <c r="I38" s="46">
        <v>2022</v>
      </c>
      <c r="J38" s="46" t="s">
        <v>445</v>
      </c>
    </row>
    <row r="39" spans="1:10">
      <c r="A39" s="65" t="s">
        <v>519</v>
      </c>
      <c r="B39" s="66">
        <v>44579</v>
      </c>
      <c r="C39" s="65" t="s">
        <v>517</v>
      </c>
      <c r="D39" s="71">
        <v>675</v>
      </c>
      <c r="E39" s="44">
        <v>-71</v>
      </c>
      <c r="F39" s="44" t="s">
        <v>530</v>
      </c>
      <c r="G39" s="45" t="s">
        <v>531</v>
      </c>
      <c r="H39" s="46" t="s">
        <v>455</v>
      </c>
      <c r="I39" s="46">
        <v>2022</v>
      </c>
      <c r="J39" s="46" t="s">
        <v>445</v>
      </c>
    </row>
    <row r="40" spans="1:10">
      <c r="A40" s="65" t="s">
        <v>524</v>
      </c>
      <c r="B40" s="66">
        <v>44598</v>
      </c>
      <c r="C40" s="65" t="s">
        <v>515</v>
      </c>
      <c r="D40" s="71">
        <v>199</v>
      </c>
      <c r="E40" s="44">
        <v>-52</v>
      </c>
      <c r="F40" s="44" t="s">
        <v>530</v>
      </c>
      <c r="G40" s="45" t="s">
        <v>531</v>
      </c>
      <c r="H40" s="46" t="s">
        <v>456</v>
      </c>
      <c r="I40" s="46">
        <v>2022</v>
      </c>
      <c r="J40" s="46" t="s">
        <v>444</v>
      </c>
    </row>
    <row r="41" spans="1:10">
      <c r="A41" s="65" t="s">
        <v>522</v>
      </c>
      <c r="B41" s="66">
        <v>44617</v>
      </c>
      <c r="C41" s="65" t="s">
        <v>516</v>
      </c>
      <c r="D41" s="71">
        <v>1306</v>
      </c>
      <c r="E41" s="44">
        <v>-33</v>
      </c>
      <c r="F41" s="44" t="s">
        <v>530</v>
      </c>
      <c r="G41" s="45" t="s">
        <v>530</v>
      </c>
      <c r="H41" s="46" t="s">
        <v>456</v>
      </c>
      <c r="I41" s="46">
        <v>2022</v>
      </c>
      <c r="J41" s="46" t="s">
        <v>442</v>
      </c>
    </row>
    <row r="42" spans="1:10">
      <c r="A42" s="65" t="s">
        <v>518</v>
      </c>
      <c r="B42" s="66">
        <v>44669</v>
      </c>
      <c r="C42" s="65" t="s">
        <v>516</v>
      </c>
      <c r="D42" s="71">
        <v>1244</v>
      </c>
      <c r="E42" s="44">
        <v>19</v>
      </c>
      <c r="F42" s="44" t="s">
        <v>530</v>
      </c>
      <c r="G42" s="45" t="s">
        <v>530</v>
      </c>
      <c r="H42" s="46" t="s">
        <v>458</v>
      </c>
      <c r="I42" s="46">
        <v>2022</v>
      </c>
      <c r="J42" s="46" t="s">
        <v>442</v>
      </c>
    </row>
    <row r="43" spans="1:10">
      <c r="A43" s="65" t="s">
        <v>518</v>
      </c>
      <c r="B43" s="66">
        <v>44681</v>
      </c>
      <c r="C43" s="65" t="s">
        <v>516</v>
      </c>
      <c r="D43" s="71">
        <v>2360</v>
      </c>
      <c r="E43" s="44">
        <v>31</v>
      </c>
      <c r="F43" s="44" t="s">
        <v>530</v>
      </c>
      <c r="G43" s="45" t="s">
        <v>530</v>
      </c>
      <c r="H43" s="46" t="s">
        <v>458</v>
      </c>
      <c r="I43" s="46">
        <v>2022</v>
      </c>
      <c r="J43" s="46" t="s">
        <v>442</v>
      </c>
    </row>
    <row r="44" spans="1:10">
      <c r="A44" s="65" t="s">
        <v>523</v>
      </c>
      <c r="B44" s="66">
        <v>44629</v>
      </c>
      <c r="C44" s="65" t="s">
        <v>515</v>
      </c>
      <c r="D44" s="71">
        <v>2591</v>
      </c>
      <c r="E44" s="44">
        <v>-21</v>
      </c>
      <c r="F44" s="44" t="s">
        <v>530</v>
      </c>
      <c r="G44" s="45" t="s">
        <v>509</v>
      </c>
      <c r="H44" s="46" t="s">
        <v>457</v>
      </c>
      <c r="I44" s="46">
        <v>2022</v>
      </c>
      <c r="J44" s="46" t="s">
        <v>444</v>
      </c>
    </row>
    <row r="45" spans="1:10">
      <c r="A45" s="65" t="s">
        <v>525</v>
      </c>
      <c r="B45" s="66">
        <v>44637</v>
      </c>
      <c r="C45" s="65" t="s">
        <v>515</v>
      </c>
      <c r="D45" s="71">
        <v>2527</v>
      </c>
      <c r="E45" s="44">
        <v>-13</v>
      </c>
      <c r="F45" s="44" t="s">
        <v>530</v>
      </c>
      <c r="G45" s="45" t="s">
        <v>508</v>
      </c>
      <c r="H45" s="46" t="s">
        <v>457</v>
      </c>
      <c r="I45" s="46">
        <v>2022</v>
      </c>
      <c r="J45" s="46" t="s">
        <v>444</v>
      </c>
    </row>
    <row r="46" spans="1:10">
      <c r="A46" s="65" t="s">
        <v>520</v>
      </c>
      <c r="B46" s="66">
        <v>44613</v>
      </c>
      <c r="C46" s="65" t="s">
        <v>517</v>
      </c>
      <c r="D46" s="71">
        <v>1016</v>
      </c>
      <c r="E46" s="44">
        <v>-37</v>
      </c>
      <c r="F46" s="44" t="s">
        <v>530</v>
      </c>
      <c r="G46" s="45" t="s">
        <v>532</v>
      </c>
      <c r="H46" s="46" t="s">
        <v>456</v>
      </c>
      <c r="I46" s="46">
        <v>2022</v>
      </c>
      <c r="J46" s="46" t="s">
        <v>445</v>
      </c>
    </row>
    <row r="47" spans="1:10">
      <c r="A47" s="65" t="s">
        <v>518</v>
      </c>
      <c r="B47" s="66">
        <v>44639</v>
      </c>
      <c r="C47" s="65" t="s">
        <v>515</v>
      </c>
      <c r="D47" s="71">
        <v>659</v>
      </c>
      <c r="E47" s="44">
        <v>-11</v>
      </c>
      <c r="F47" s="44" t="s">
        <v>530</v>
      </c>
      <c r="G47" s="45" t="s">
        <v>508</v>
      </c>
      <c r="H47" s="46" t="s">
        <v>457</v>
      </c>
      <c r="I47" s="46">
        <v>2022</v>
      </c>
      <c r="J47" s="46" t="s">
        <v>444</v>
      </c>
    </row>
    <row r="48" spans="1:10">
      <c r="A48" s="65" t="s">
        <v>522</v>
      </c>
      <c r="B48" s="66">
        <v>44678</v>
      </c>
      <c r="C48" s="65" t="s">
        <v>515</v>
      </c>
      <c r="D48" s="71">
        <v>1046</v>
      </c>
      <c r="E48" s="44">
        <v>28</v>
      </c>
      <c r="F48" s="44" t="s">
        <v>509</v>
      </c>
      <c r="G48" s="45" t="s">
        <v>530</v>
      </c>
      <c r="H48" s="46" t="s">
        <v>458</v>
      </c>
      <c r="I48" s="46">
        <v>2022</v>
      </c>
      <c r="J48" s="46" t="s">
        <v>443</v>
      </c>
    </row>
    <row r="49" spans="1:10">
      <c r="A49" s="65" t="s">
        <v>518</v>
      </c>
      <c r="B49" s="66">
        <v>44651</v>
      </c>
      <c r="C49" s="65" t="s">
        <v>515</v>
      </c>
      <c r="D49" s="71">
        <v>1062</v>
      </c>
      <c r="E49" s="44">
        <v>1</v>
      </c>
      <c r="F49" s="44" t="s">
        <v>508</v>
      </c>
      <c r="G49" s="45" t="s">
        <v>530</v>
      </c>
      <c r="H49" s="46" t="s">
        <v>457</v>
      </c>
      <c r="I49" s="46">
        <v>2022</v>
      </c>
      <c r="J49" s="46" t="s">
        <v>443</v>
      </c>
    </row>
    <row r="50" spans="1:10">
      <c r="A50" s="65" t="s">
        <v>522</v>
      </c>
      <c r="B50" s="66">
        <v>44682</v>
      </c>
      <c r="C50" s="65" t="s">
        <v>515</v>
      </c>
      <c r="D50" s="71">
        <v>2516</v>
      </c>
      <c r="E50" s="44">
        <v>32</v>
      </c>
      <c r="F50" s="44" t="s">
        <v>532</v>
      </c>
      <c r="G50" s="45" t="s">
        <v>530</v>
      </c>
      <c r="H50" s="46" t="s">
        <v>459</v>
      </c>
      <c r="I50" s="46">
        <v>2022</v>
      </c>
      <c r="J50" s="46" t="s">
        <v>443</v>
      </c>
    </row>
    <row r="51" spans="1:10">
      <c r="A51" s="65" t="s">
        <v>518</v>
      </c>
      <c r="B51" s="66">
        <v>44591</v>
      </c>
      <c r="C51" s="65" t="s">
        <v>517</v>
      </c>
      <c r="D51" s="71">
        <v>1822</v>
      </c>
      <c r="E51" s="44">
        <v>-59</v>
      </c>
      <c r="F51" s="44" t="s">
        <v>530</v>
      </c>
      <c r="G51" s="45" t="s">
        <v>531</v>
      </c>
      <c r="H51" s="46" t="s">
        <v>455</v>
      </c>
      <c r="I51" s="46">
        <v>2022</v>
      </c>
      <c r="J51" s="46" t="s">
        <v>445</v>
      </c>
    </row>
    <row r="52" spans="1:10">
      <c r="A52" s="65" t="s">
        <v>527</v>
      </c>
      <c r="B52" s="66">
        <v>44566</v>
      </c>
      <c r="C52" s="65" t="s">
        <v>515</v>
      </c>
      <c r="D52" s="71">
        <v>1568</v>
      </c>
      <c r="E52" s="44">
        <v>-84</v>
      </c>
      <c r="F52" s="44" t="s">
        <v>530</v>
      </c>
      <c r="G52" s="45" t="s">
        <v>531</v>
      </c>
      <c r="H52" s="46" t="s">
        <v>455</v>
      </c>
      <c r="I52" s="46">
        <v>2022</v>
      </c>
      <c r="J52" s="46" t="s">
        <v>444</v>
      </c>
    </row>
    <row r="53" spans="1:10">
      <c r="A53" s="65" t="s">
        <v>520</v>
      </c>
      <c r="B53" s="66">
        <v>44568</v>
      </c>
      <c r="C53" s="65" t="s">
        <v>515</v>
      </c>
      <c r="D53" s="71">
        <v>787</v>
      </c>
      <c r="E53" s="44">
        <v>-82</v>
      </c>
      <c r="F53" s="44" t="s">
        <v>530</v>
      </c>
      <c r="G53" s="45" t="s">
        <v>531</v>
      </c>
      <c r="H53" s="46" t="s">
        <v>455</v>
      </c>
      <c r="I53" s="46">
        <v>2022</v>
      </c>
      <c r="J53" s="46" t="s">
        <v>444</v>
      </c>
    </row>
    <row r="54" spans="1:10">
      <c r="A54" s="65" t="s">
        <v>522</v>
      </c>
      <c r="B54" s="66">
        <v>44672</v>
      </c>
      <c r="C54" s="65" t="s">
        <v>449</v>
      </c>
      <c r="D54" s="71">
        <v>1275</v>
      </c>
      <c r="E54" s="44">
        <v>22</v>
      </c>
      <c r="F54" s="44" t="s">
        <v>509</v>
      </c>
      <c r="G54" s="45" t="s">
        <v>530</v>
      </c>
      <c r="H54" s="46" t="s">
        <v>458</v>
      </c>
      <c r="I54" s="46">
        <v>2022</v>
      </c>
      <c r="J54" s="46" t="s">
        <v>443</v>
      </c>
    </row>
    <row r="55" spans="1:10">
      <c r="A55" s="65" t="s">
        <v>518</v>
      </c>
      <c r="B55" s="66">
        <v>44550</v>
      </c>
      <c r="C55" s="65" t="s">
        <v>516</v>
      </c>
      <c r="D55" s="71">
        <v>797</v>
      </c>
      <c r="E55" s="44">
        <v>-100</v>
      </c>
      <c r="F55" s="44" t="s">
        <v>530</v>
      </c>
      <c r="G55" s="45" t="s">
        <v>530</v>
      </c>
      <c r="H55" s="46" t="s">
        <v>466</v>
      </c>
      <c r="I55" s="46">
        <v>2021</v>
      </c>
      <c r="J55" s="46" t="s">
        <v>442</v>
      </c>
    </row>
    <row r="56" spans="1:10">
      <c r="A56" s="65" t="s">
        <v>520</v>
      </c>
      <c r="B56" s="66">
        <v>44602</v>
      </c>
      <c r="C56" s="65" t="s">
        <v>515</v>
      </c>
      <c r="D56" s="71">
        <v>2641</v>
      </c>
      <c r="E56" s="44">
        <v>-48</v>
      </c>
      <c r="F56" s="44" t="s">
        <v>530</v>
      </c>
      <c r="G56" s="45" t="s">
        <v>531</v>
      </c>
      <c r="H56" s="46" t="s">
        <v>456</v>
      </c>
      <c r="I56" s="46">
        <v>2022</v>
      </c>
      <c r="J56" s="46" t="s">
        <v>444</v>
      </c>
    </row>
    <row r="57" spans="1:10">
      <c r="A57" s="65" t="s">
        <v>522</v>
      </c>
      <c r="B57" s="66">
        <v>44580</v>
      </c>
      <c r="C57" s="65" t="s">
        <v>516</v>
      </c>
      <c r="D57" s="71">
        <v>709</v>
      </c>
      <c r="E57" s="44">
        <v>-70</v>
      </c>
      <c r="F57" s="44" t="s">
        <v>530</v>
      </c>
      <c r="G57" s="45" t="s">
        <v>530</v>
      </c>
      <c r="H57" s="46" t="s">
        <v>455</v>
      </c>
      <c r="I57" s="46">
        <v>2022</v>
      </c>
      <c r="J57" s="46" t="s">
        <v>442</v>
      </c>
    </row>
    <row r="58" spans="1:10">
      <c r="A58" s="65" t="s">
        <v>518</v>
      </c>
      <c r="B58" s="66">
        <v>44532</v>
      </c>
      <c r="C58" s="65" t="s">
        <v>449</v>
      </c>
      <c r="D58" s="71">
        <v>2022</v>
      </c>
      <c r="E58" s="44">
        <v>-118</v>
      </c>
      <c r="F58" s="44" t="s">
        <v>530</v>
      </c>
      <c r="G58" s="45" t="s">
        <v>531</v>
      </c>
      <c r="H58" s="46" t="s">
        <v>466</v>
      </c>
      <c r="I58" s="46">
        <v>2021</v>
      </c>
      <c r="J58" s="46" t="s">
        <v>444</v>
      </c>
    </row>
    <row r="59" spans="1:10">
      <c r="A59" s="65" t="s">
        <v>520</v>
      </c>
      <c r="B59" s="66">
        <v>44580</v>
      </c>
      <c r="C59" s="65" t="s">
        <v>517</v>
      </c>
      <c r="D59" s="71">
        <v>260</v>
      </c>
      <c r="E59" s="44">
        <v>-70</v>
      </c>
      <c r="F59" s="44" t="s">
        <v>530</v>
      </c>
      <c r="G59" s="45" t="s">
        <v>531</v>
      </c>
      <c r="H59" s="46" t="s">
        <v>455</v>
      </c>
      <c r="I59" s="46">
        <v>2022</v>
      </c>
      <c r="J59" s="46" t="s">
        <v>445</v>
      </c>
    </row>
    <row r="60" spans="1:10">
      <c r="A60" s="65" t="s">
        <v>520</v>
      </c>
      <c r="B60" s="66">
        <v>44571</v>
      </c>
      <c r="C60" s="65" t="s">
        <v>515</v>
      </c>
      <c r="D60" s="71">
        <v>2103</v>
      </c>
      <c r="E60" s="44">
        <v>-79</v>
      </c>
      <c r="F60" s="44" t="s">
        <v>530</v>
      </c>
      <c r="G60" s="45" t="s">
        <v>531</v>
      </c>
      <c r="H60" s="46" t="s">
        <v>455</v>
      </c>
      <c r="I60" s="46">
        <v>2022</v>
      </c>
      <c r="J60" s="46" t="s">
        <v>444</v>
      </c>
    </row>
    <row r="61" spans="1:10">
      <c r="A61" s="65" t="s">
        <v>521</v>
      </c>
      <c r="B61" s="66">
        <v>44567</v>
      </c>
      <c r="C61" s="65" t="s">
        <v>515</v>
      </c>
      <c r="D61" s="71">
        <v>1315</v>
      </c>
      <c r="E61" s="44">
        <v>-83</v>
      </c>
      <c r="F61" s="44" t="s">
        <v>530</v>
      </c>
      <c r="G61" s="45" t="s">
        <v>531</v>
      </c>
      <c r="H61" s="46" t="s">
        <v>455</v>
      </c>
      <c r="I61" s="46">
        <v>2022</v>
      </c>
      <c r="J61" s="46" t="s">
        <v>444</v>
      </c>
    </row>
    <row r="62" spans="1:10">
      <c r="A62" s="65" t="s">
        <v>526</v>
      </c>
      <c r="B62" s="66">
        <v>44640</v>
      </c>
      <c r="C62" s="65" t="s">
        <v>517</v>
      </c>
      <c r="D62" s="71">
        <v>1843</v>
      </c>
      <c r="E62" s="44">
        <v>-10</v>
      </c>
      <c r="F62" s="44" t="s">
        <v>530</v>
      </c>
      <c r="G62" s="45" t="s">
        <v>508</v>
      </c>
      <c r="H62" s="46" t="s">
        <v>457</v>
      </c>
      <c r="I62" s="46">
        <v>2022</v>
      </c>
      <c r="J62" s="46" t="s">
        <v>445</v>
      </c>
    </row>
    <row r="63" spans="1:10">
      <c r="A63" s="65" t="s">
        <v>523</v>
      </c>
      <c r="B63" s="66">
        <v>44686</v>
      </c>
      <c r="C63" s="65" t="s">
        <v>449</v>
      </c>
      <c r="D63" s="71">
        <v>1471</v>
      </c>
      <c r="E63" s="44">
        <v>36</v>
      </c>
      <c r="F63" s="44" t="s">
        <v>532</v>
      </c>
      <c r="G63" s="45" t="s">
        <v>530</v>
      </c>
      <c r="H63" s="46" t="s">
        <v>459</v>
      </c>
      <c r="I63" s="46">
        <v>2022</v>
      </c>
      <c r="J63" s="46" t="s">
        <v>443</v>
      </c>
    </row>
    <row r="64" spans="1:10">
      <c r="A64" s="65" t="s">
        <v>527</v>
      </c>
      <c r="B64" s="66">
        <v>44597</v>
      </c>
      <c r="C64" s="65" t="s">
        <v>517</v>
      </c>
      <c r="D64" s="71">
        <v>2677</v>
      </c>
      <c r="E64" s="44">
        <v>-53</v>
      </c>
      <c r="F64" s="44" t="s">
        <v>530</v>
      </c>
      <c r="G64" s="45" t="s">
        <v>531</v>
      </c>
      <c r="H64" s="46" t="s">
        <v>456</v>
      </c>
      <c r="I64" s="46">
        <v>2022</v>
      </c>
      <c r="J64" s="46" t="s">
        <v>445</v>
      </c>
    </row>
    <row r="65" spans="1:10">
      <c r="A65" s="65" t="s">
        <v>519</v>
      </c>
      <c r="B65" s="66">
        <v>44584</v>
      </c>
      <c r="C65" s="65" t="s">
        <v>516</v>
      </c>
      <c r="D65" s="71">
        <v>1354</v>
      </c>
      <c r="E65" s="44">
        <v>-66</v>
      </c>
      <c r="F65" s="44" t="s">
        <v>530</v>
      </c>
      <c r="G65" s="45" t="s">
        <v>530</v>
      </c>
      <c r="H65" s="46" t="s">
        <v>455</v>
      </c>
      <c r="I65" s="46">
        <v>2022</v>
      </c>
      <c r="J65" s="46" t="s">
        <v>442</v>
      </c>
    </row>
    <row r="66" spans="1:10">
      <c r="A66" s="65" t="s">
        <v>526</v>
      </c>
      <c r="B66" s="66">
        <v>44703</v>
      </c>
      <c r="C66" s="65" t="s">
        <v>515</v>
      </c>
      <c r="D66" s="71">
        <v>1972</v>
      </c>
      <c r="E66" s="44">
        <v>53</v>
      </c>
      <c r="F66" s="44" t="s">
        <v>531</v>
      </c>
      <c r="G66" s="45" t="s">
        <v>530</v>
      </c>
      <c r="H66" s="46" t="s">
        <v>459</v>
      </c>
      <c r="I66" s="46">
        <v>2022</v>
      </c>
      <c r="J66" s="46" t="s">
        <v>443</v>
      </c>
    </row>
    <row r="67" spans="1:10">
      <c r="A67" s="65" t="s">
        <v>518</v>
      </c>
      <c r="B67" s="66">
        <v>44636</v>
      </c>
      <c r="C67" s="65" t="s">
        <v>449</v>
      </c>
      <c r="D67" s="71">
        <v>781</v>
      </c>
      <c r="E67" s="44">
        <v>-14</v>
      </c>
      <c r="F67" s="44" t="s">
        <v>530</v>
      </c>
      <c r="G67" s="45" t="s">
        <v>508</v>
      </c>
      <c r="H67" s="46" t="s">
        <v>457</v>
      </c>
      <c r="I67" s="46">
        <v>2022</v>
      </c>
      <c r="J67" s="46" t="s">
        <v>444</v>
      </c>
    </row>
    <row r="68" spans="1:10">
      <c r="A68" s="65" t="s">
        <v>519</v>
      </c>
      <c r="B68" s="66">
        <v>44644</v>
      </c>
      <c r="C68" s="65" t="s">
        <v>516</v>
      </c>
      <c r="D68" s="71">
        <v>553</v>
      </c>
      <c r="E68" s="44">
        <v>-6</v>
      </c>
      <c r="F68" s="44" t="s">
        <v>530</v>
      </c>
      <c r="G68" s="45" t="s">
        <v>530</v>
      </c>
      <c r="H68" s="46" t="s">
        <v>457</v>
      </c>
      <c r="I68" s="46">
        <v>2022</v>
      </c>
      <c r="J68" s="46" t="s">
        <v>442</v>
      </c>
    </row>
    <row r="69" spans="1:10">
      <c r="A69" s="65" t="s">
        <v>523</v>
      </c>
      <c r="B69" s="66">
        <v>44683</v>
      </c>
      <c r="C69" s="65" t="s">
        <v>517</v>
      </c>
      <c r="D69" s="71">
        <v>2430</v>
      </c>
      <c r="E69" s="44">
        <v>33</v>
      </c>
      <c r="F69" s="44" t="s">
        <v>532</v>
      </c>
      <c r="G69" s="45" t="s">
        <v>530</v>
      </c>
      <c r="H69" s="46" t="s">
        <v>459</v>
      </c>
      <c r="I69" s="46">
        <v>2022</v>
      </c>
      <c r="J69" s="46" t="s">
        <v>445</v>
      </c>
    </row>
    <row r="70" spans="1:10">
      <c r="A70" s="65" t="s">
        <v>525</v>
      </c>
      <c r="B70" s="66">
        <v>44627</v>
      </c>
      <c r="C70" s="65" t="s">
        <v>515</v>
      </c>
      <c r="D70" s="71">
        <v>1842</v>
      </c>
      <c r="E70" s="44">
        <v>-23</v>
      </c>
      <c r="F70" s="44" t="s">
        <v>530</v>
      </c>
      <c r="G70" s="45" t="s">
        <v>509</v>
      </c>
      <c r="H70" s="46" t="s">
        <v>457</v>
      </c>
      <c r="I70" s="46">
        <v>2022</v>
      </c>
      <c r="J70" s="46" t="s">
        <v>444</v>
      </c>
    </row>
    <row r="71" spans="1:10">
      <c r="A71" s="65" t="s">
        <v>526</v>
      </c>
      <c r="B71" s="66">
        <v>44651</v>
      </c>
      <c r="C71" s="65" t="s">
        <v>516</v>
      </c>
      <c r="D71" s="71">
        <v>1242</v>
      </c>
      <c r="E71" s="44">
        <v>1</v>
      </c>
      <c r="F71" s="44" t="s">
        <v>530</v>
      </c>
      <c r="G71" s="45" t="s">
        <v>530</v>
      </c>
      <c r="H71" s="46" t="s">
        <v>457</v>
      </c>
      <c r="I71" s="46">
        <v>2022</v>
      </c>
      <c r="J71" s="46" t="s">
        <v>442</v>
      </c>
    </row>
    <row r="72" spans="1:10">
      <c r="A72" s="65" t="s">
        <v>520</v>
      </c>
      <c r="B72" s="66">
        <v>44599</v>
      </c>
      <c r="C72" s="65" t="s">
        <v>515</v>
      </c>
      <c r="D72" s="71">
        <v>2471</v>
      </c>
      <c r="E72" s="44">
        <v>-51</v>
      </c>
      <c r="F72" s="44" t="s">
        <v>530</v>
      </c>
      <c r="G72" s="45" t="s">
        <v>531</v>
      </c>
      <c r="H72" s="46" t="s">
        <v>456</v>
      </c>
      <c r="I72" s="46">
        <v>2022</v>
      </c>
      <c r="J72" s="46" t="s">
        <v>444</v>
      </c>
    </row>
    <row r="73" spans="1:10">
      <c r="A73" s="65" t="s">
        <v>522</v>
      </c>
      <c r="B73" s="66">
        <v>44709</v>
      </c>
      <c r="C73" s="65" t="s">
        <v>517</v>
      </c>
      <c r="D73" s="71">
        <v>466</v>
      </c>
      <c r="E73" s="44">
        <v>59</v>
      </c>
      <c r="F73" s="44" t="s">
        <v>531</v>
      </c>
      <c r="G73" s="45" t="s">
        <v>530</v>
      </c>
      <c r="H73" s="46" t="s">
        <v>459</v>
      </c>
      <c r="I73" s="46">
        <v>2022</v>
      </c>
      <c r="J73" s="46" t="s">
        <v>445</v>
      </c>
    </row>
    <row r="74" spans="1:10">
      <c r="A74" s="65" t="s">
        <v>522</v>
      </c>
      <c r="B74" s="66">
        <v>44694</v>
      </c>
      <c r="C74" s="65" t="s">
        <v>517</v>
      </c>
      <c r="D74" s="71">
        <v>1973</v>
      </c>
      <c r="E74" s="44">
        <v>44</v>
      </c>
      <c r="F74" s="44" t="s">
        <v>532</v>
      </c>
      <c r="G74" s="45" t="s">
        <v>530</v>
      </c>
      <c r="H74" s="46" t="s">
        <v>459</v>
      </c>
      <c r="I74" s="46">
        <v>2022</v>
      </c>
      <c r="J74" s="46" t="s">
        <v>445</v>
      </c>
    </row>
    <row r="75" spans="1:10">
      <c r="A75" s="65" t="s">
        <v>521</v>
      </c>
      <c r="B75" s="66">
        <v>44661</v>
      </c>
      <c r="C75" s="65" t="s">
        <v>449</v>
      </c>
      <c r="D75" s="71">
        <v>1078</v>
      </c>
      <c r="E75" s="44">
        <v>11</v>
      </c>
      <c r="F75" s="44" t="s">
        <v>508</v>
      </c>
      <c r="G75" s="45" t="s">
        <v>530</v>
      </c>
      <c r="H75" s="46" t="s">
        <v>458</v>
      </c>
      <c r="I75" s="46">
        <v>2022</v>
      </c>
      <c r="J75" s="46" t="s">
        <v>443</v>
      </c>
    </row>
    <row r="76" spans="1:10">
      <c r="A76" s="65" t="s">
        <v>519</v>
      </c>
      <c r="B76" s="66">
        <v>44567</v>
      </c>
      <c r="C76" s="65" t="s">
        <v>515</v>
      </c>
      <c r="D76" s="71">
        <v>1761</v>
      </c>
      <c r="E76" s="44">
        <v>-83</v>
      </c>
      <c r="F76" s="44" t="s">
        <v>530</v>
      </c>
      <c r="G76" s="45" t="s">
        <v>531</v>
      </c>
      <c r="H76" s="46" t="s">
        <v>455</v>
      </c>
      <c r="I76" s="46">
        <v>2022</v>
      </c>
      <c r="J76" s="46" t="s">
        <v>444</v>
      </c>
    </row>
    <row r="77" spans="1:10">
      <c r="A77" s="65" t="s">
        <v>521</v>
      </c>
      <c r="B77" s="66">
        <v>44558</v>
      </c>
      <c r="C77" s="65" t="s">
        <v>517</v>
      </c>
      <c r="D77" s="71">
        <v>2407</v>
      </c>
      <c r="E77" s="44">
        <v>-92</v>
      </c>
      <c r="F77" s="44" t="s">
        <v>530</v>
      </c>
      <c r="G77" s="45" t="s">
        <v>531</v>
      </c>
      <c r="H77" s="46" t="s">
        <v>466</v>
      </c>
      <c r="I77" s="46">
        <v>2021</v>
      </c>
      <c r="J77" s="46" t="s">
        <v>445</v>
      </c>
    </row>
    <row r="78" spans="1:10">
      <c r="A78" s="65" t="s">
        <v>518</v>
      </c>
      <c r="B78" s="66">
        <v>44535</v>
      </c>
      <c r="C78" s="65" t="s">
        <v>515</v>
      </c>
      <c r="D78" s="71">
        <v>2302</v>
      </c>
      <c r="E78" s="44">
        <v>-115</v>
      </c>
      <c r="F78" s="44" t="s">
        <v>530</v>
      </c>
      <c r="G78" s="45" t="s">
        <v>531</v>
      </c>
      <c r="H78" s="46" t="s">
        <v>466</v>
      </c>
      <c r="I78" s="46">
        <v>2021</v>
      </c>
      <c r="J78" s="46" t="s">
        <v>444</v>
      </c>
    </row>
    <row r="79" spans="1:10">
      <c r="A79" s="65" t="s">
        <v>523</v>
      </c>
      <c r="B79" s="66">
        <v>44635</v>
      </c>
      <c r="C79" s="65" t="s">
        <v>449</v>
      </c>
      <c r="D79" s="71">
        <v>2162</v>
      </c>
      <c r="E79" s="44">
        <v>-15</v>
      </c>
      <c r="F79" s="44" t="s">
        <v>530</v>
      </c>
      <c r="G79" s="45" t="s">
        <v>509</v>
      </c>
      <c r="H79" s="46" t="s">
        <v>457</v>
      </c>
      <c r="I79" s="46">
        <v>2022</v>
      </c>
      <c r="J79" s="46" t="s">
        <v>444</v>
      </c>
    </row>
    <row r="80" spans="1:10">
      <c r="A80" s="65" t="s">
        <v>525</v>
      </c>
      <c r="B80" s="66">
        <v>44613</v>
      </c>
      <c r="C80" s="65" t="s">
        <v>517</v>
      </c>
      <c r="D80" s="71">
        <v>498</v>
      </c>
      <c r="E80" s="44">
        <v>-37</v>
      </c>
      <c r="F80" s="44" t="s">
        <v>530</v>
      </c>
      <c r="G80" s="45" t="s">
        <v>532</v>
      </c>
      <c r="H80" s="46" t="s">
        <v>456</v>
      </c>
      <c r="I80" s="46">
        <v>2022</v>
      </c>
      <c r="J80" s="46" t="s">
        <v>445</v>
      </c>
    </row>
    <row r="81" spans="1:10">
      <c r="A81" s="65" t="s">
        <v>524</v>
      </c>
      <c r="B81" s="66">
        <v>44591</v>
      </c>
      <c r="C81" s="65" t="s">
        <v>515</v>
      </c>
      <c r="D81" s="71">
        <v>1421</v>
      </c>
      <c r="E81" s="44">
        <v>-59</v>
      </c>
      <c r="F81" s="44" t="s">
        <v>530</v>
      </c>
      <c r="G81" s="45" t="s">
        <v>531</v>
      </c>
      <c r="H81" s="46" t="s">
        <v>455</v>
      </c>
      <c r="I81" s="46">
        <v>2022</v>
      </c>
      <c r="J81" s="46" t="s">
        <v>444</v>
      </c>
    </row>
    <row r="82" spans="1:10">
      <c r="A82" s="65" t="s">
        <v>518</v>
      </c>
      <c r="B82" s="66">
        <v>44533</v>
      </c>
      <c r="C82" s="65" t="s">
        <v>515</v>
      </c>
      <c r="D82" s="71">
        <v>1858</v>
      </c>
      <c r="E82" s="44">
        <v>-117</v>
      </c>
      <c r="F82" s="44" t="s">
        <v>530</v>
      </c>
      <c r="G82" s="45" t="s">
        <v>531</v>
      </c>
      <c r="H82" s="46" t="s">
        <v>466</v>
      </c>
      <c r="I82" s="46">
        <v>2021</v>
      </c>
      <c r="J82" s="46" t="s">
        <v>444</v>
      </c>
    </row>
    <row r="83" spans="1:10">
      <c r="A83" s="65" t="s">
        <v>521</v>
      </c>
      <c r="B83" s="66">
        <v>44536</v>
      </c>
      <c r="C83" s="65" t="s">
        <v>517</v>
      </c>
      <c r="D83" s="71">
        <v>1466</v>
      </c>
      <c r="E83" s="44">
        <v>-114</v>
      </c>
      <c r="F83" s="44" t="s">
        <v>530</v>
      </c>
      <c r="G83" s="45" t="s">
        <v>531</v>
      </c>
      <c r="H83" s="46" t="s">
        <v>466</v>
      </c>
      <c r="I83" s="46">
        <v>2021</v>
      </c>
      <c r="J83" s="46" t="s">
        <v>445</v>
      </c>
    </row>
    <row r="84" spans="1:10">
      <c r="A84" s="65" t="s">
        <v>520</v>
      </c>
      <c r="B84" s="66">
        <v>44709</v>
      </c>
      <c r="C84" s="65" t="s">
        <v>515</v>
      </c>
      <c r="D84" s="71">
        <v>1077</v>
      </c>
      <c r="E84" s="44">
        <v>59</v>
      </c>
      <c r="F84" s="44" t="s">
        <v>531</v>
      </c>
      <c r="G84" s="45" t="s">
        <v>530</v>
      </c>
      <c r="H84" s="46" t="s">
        <v>459</v>
      </c>
      <c r="I84" s="46">
        <v>2022</v>
      </c>
      <c r="J84" s="46" t="s">
        <v>443</v>
      </c>
    </row>
    <row r="85" spans="1:10">
      <c r="A85" s="65" t="s">
        <v>519</v>
      </c>
      <c r="B85" s="66">
        <v>44631</v>
      </c>
      <c r="C85" s="65" t="s">
        <v>515</v>
      </c>
      <c r="D85" s="71">
        <v>419</v>
      </c>
      <c r="E85" s="44">
        <v>-19</v>
      </c>
      <c r="F85" s="44" t="s">
        <v>530</v>
      </c>
      <c r="G85" s="45" t="s">
        <v>509</v>
      </c>
      <c r="H85" s="46" t="s">
        <v>457</v>
      </c>
      <c r="I85" s="46">
        <v>2022</v>
      </c>
      <c r="J85" s="46" t="s">
        <v>444</v>
      </c>
    </row>
    <row r="86" spans="1:10">
      <c r="A86" s="65" t="s">
        <v>518</v>
      </c>
      <c r="B86" s="66">
        <v>44693</v>
      </c>
      <c r="C86" s="65" t="s">
        <v>517</v>
      </c>
      <c r="D86" s="71">
        <v>2275</v>
      </c>
      <c r="E86" s="44">
        <v>43</v>
      </c>
      <c r="F86" s="44" t="s">
        <v>532</v>
      </c>
      <c r="G86" s="45" t="s">
        <v>530</v>
      </c>
      <c r="H86" s="46" t="s">
        <v>459</v>
      </c>
      <c r="I86" s="46">
        <v>2022</v>
      </c>
      <c r="J86" s="46" t="s">
        <v>445</v>
      </c>
    </row>
    <row r="87" spans="1:10">
      <c r="A87" s="65" t="s">
        <v>518</v>
      </c>
      <c r="B87" s="66">
        <v>44672</v>
      </c>
      <c r="C87" s="65" t="s">
        <v>516</v>
      </c>
      <c r="D87" s="71">
        <v>1167</v>
      </c>
      <c r="E87" s="44">
        <v>22</v>
      </c>
      <c r="F87" s="44" t="s">
        <v>530</v>
      </c>
      <c r="G87" s="45" t="s">
        <v>530</v>
      </c>
      <c r="H87" s="46" t="s">
        <v>458</v>
      </c>
      <c r="I87" s="46">
        <v>2022</v>
      </c>
      <c r="J87" s="46" t="s">
        <v>442</v>
      </c>
    </row>
    <row r="88" spans="1:10">
      <c r="A88" s="65" t="s">
        <v>522</v>
      </c>
      <c r="B88" s="66">
        <v>44591</v>
      </c>
      <c r="C88" s="65" t="s">
        <v>517</v>
      </c>
      <c r="D88" s="71">
        <v>1212</v>
      </c>
      <c r="E88" s="44">
        <v>-59</v>
      </c>
      <c r="F88" s="44" t="s">
        <v>530</v>
      </c>
      <c r="G88" s="45" t="s">
        <v>531</v>
      </c>
      <c r="H88" s="46" t="s">
        <v>455</v>
      </c>
      <c r="I88" s="46">
        <v>2022</v>
      </c>
      <c r="J88" s="46" t="s">
        <v>445</v>
      </c>
    </row>
    <row r="89" spans="1:10">
      <c r="A89" s="65" t="s">
        <v>525</v>
      </c>
      <c r="B89" s="66">
        <v>44662</v>
      </c>
      <c r="C89" s="65" t="s">
        <v>449</v>
      </c>
      <c r="D89" s="71">
        <v>1714</v>
      </c>
      <c r="E89" s="44">
        <v>12</v>
      </c>
      <c r="F89" s="44" t="s">
        <v>508</v>
      </c>
      <c r="G89" s="45" t="s">
        <v>530</v>
      </c>
      <c r="H89" s="46" t="s">
        <v>458</v>
      </c>
      <c r="I89" s="46">
        <v>2022</v>
      </c>
      <c r="J89" s="46" t="s">
        <v>443</v>
      </c>
    </row>
    <row r="90" spans="1:10">
      <c r="A90" s="65" t="s">
        <v>527</v>
      </c>
      <c r="B90" s="66">
        <v>44658</v>
      </c>
      <c r="C90" s="65" t="s">
        <v>449</v>
      </c>
      <c r="D90" s="71">
        <v>1493</v>
      </c>
      <c r="E90" s="44">
        <v>8</v>
      </c>
      <c r="F90" s="44" t="s">
        <v>508</v>
      </c>
      <c r="G90" s="45" t="s">
        <v>530</v>
      </c>
      <c r="H90" s="46" t="s">
        <v>458</v>
      </c>
      <c r="I90" s="46">
        <v>2022</v>
      </c>
      <c r="J90" s="46" t="s">
        <v>443</v>
      </c>
    </row>
    <row r="91" spans="1:10">
      <c r="A91" s="65" t="s">
        <v>524</v>
      </c>
      <c r="B91" s="66">
        <v>44644</v>
      </c>
      <c r="C91" s="65" t="s">
        <v>517</v>
      </c>
      <c r="D91" s="71">
        <v>1711</v>
      </c>
      <c r="E91" s="44">
        <v>-6</v>
      </c>
      <c r="F91" s="44" t="s">
        <v>530</v>
      </c>
      <c r="G91" s="45" t="s">
        <v>508</v>
      </c>
      <c r="H91" s="46" t="s">
        <v>457</v>
      </c>
      <c r="I91" s="46">
        <v>2022</v>
      </c>
      <c r="J91" s="46" t="s">
        <v>445</v>
      </c>
    </row>
    <row r="92" spans="1:10">
      <c r="A92" s="65" t="s">
        <v>523</v>
      </c>
      <c r="B92" s="66">
        <v>44605</v>
      </c>
      <c r="C92" s="65" t="s">
        <v>516</v>
      </c>
      <c r="D92" s="71">
        <v>2257</v>
      </c>
      <c r="E92" s="44">
        <v>-45</v>
      </c>
      <c r="F92" s="44" t="s">
        <v>530</v>
      </c>
      <c r="G92" s="45" t="s">
        <v>530</v>
      </c>
      <c r="H92" s="46" t="s">
        <v>456</v>
      </c>
      <c r="I92" s="46">
        <v>2022</v>
      </c>
      <c r="J92" s="46" t="s">
        <v>442</v>
      </c>
    </row>
    <row r="93" spans="1:10">
      <c r="A93" s="65" t="s">
        <v>525</v>
      </c>
      <c r="B93" s="66">
        <v>44697</v>
      </c>
      <c r="C93" s="65" t="s">
        <v>516</v>
      </c>
      <c r="D93" s="71">
        <v>208</v>
      </c>
      <c r="E93" s="44">
        <v>47</v>
      </c>
      <c r="F93" s="44" t="s">
        <v>530</v>
      </c>
      <c r="G93" s="45" t="s">
        <v>530</v>
      </c>
      <c r="H93" s="46" t="s">
        <v>459</v>
      </c>
      <c r="I93" s="46">
        <v>2022</v>
      </c>
      <c r="J93" s="46" t="s">
        <v>442</v>
      </c>
    </row>
    <row r="94" spans="1:10">
      <c r="A94" s="65" t="s">
        <v>524</v>
      </c>
      <c r="B94" s="66">
        <v>44589</v>
      </c>
      <c r="C94" s="65" t="s">
        <v>449</v>
      </c>
      <c r="D94" s="71">
        <v>2561</v>
      </c>
      <c r="E94" s="44">
        <v>-61</v>
      </c>
      <c r="F94" s="44" t="s">
        <v>530</v>
      </c>
      <c r="G94" s="45" t="s">
        <v>531</v>
      </c>
      <c r="H94" s="46" t="s">
        <v>455</v>
      </c>
      <c r="I94" s="46">
        <v>2022</v>
      </c>
      <c r="J94" s="46" t="s">
        <v>444</v>
      </c>
    </row>
    <row r="95" spans="1:10">
      <c r="A95" s="65" t="s">
        <v>521</v>
      </c>
      <c r="B95" s="66">
        <v>44613</v>
      </c>
      <c r="C95" s="65" t="s">
        <v>449</v>
      </c>
      <c r="D95" s="71">
        <v>636</v>
      </c>
      <c r="E95" s="44">
        <v>-37</v>
      </c>
      <c r="F95" s="44" t="s">
        <v>530</v>
      </c>
      <c r="G95" s="45" t="s">
        <v>532</v>
      </c>
      <c r="H95" s="46" t="s">
        <v>456</v>
      </c>
      <c r="I95" s="46">
        <v>2022</v>
      </c>
      <c r="J95" s="46" t="s">
        <v>444</v>
      </c>
    </row>
    <row r="96" spans="1:10">
      <c r="A96" s="65" t="s">
        <v>521</v>
      </c>
      <c r="B96" s="66">
        <v>44552</v>
      </c>
      <c r="C96" s="65" t="s">
        <v>517</v>
      </c>
      <c r="D96" s="71">
        <v>994</v>
      </c>
      <c r="E96" s="44">
        <v>-98</v>
      </c>
      <c r="F96" s="44" t="s">
        <v>530</v>
      </c>
      <c r="G96" s="45" t="s">
        <v>531</v>
      </c>
      <c r="H96" s="46" t="s">
        <v>466</v>
      </c>
      <c r="I96" s="46">
        <v>2021</v>
      </c>
      <c r="J96" s="46" t="s">
        <v>445</v>
      </c>
    </row>
    <row r="97" spans="1:10">
      <c r="A97" s="65" t="s">
        <v>523</v>
      </c>
      <c r="B97" s="66">
        <v>44655</v>
      </c>
      <c r="C97" s="65" t="s">
        <v>449</v>
      </c>
      <c r="D97" s="71">
        <v>1604</v>
      </c>
      <c r="E97" s="44">
        <v>5</v>
      </c>
      <c r="F97" s="44" t="s">
        <v>508</v>
      </c>
      <c r="G97" s="45" t="s">
        <v>530</v>
      </c>
      <c r="H97" s="46" t="s">
        <v>458</v>
      </c>
      <c r="I97" s="46">
        <v>2022</v>
      </c>
      <c r="J97" s="46" t="s">
        <v>443</v>
      </c>
    </row>
    <row r="98" spans="1:10">
      <c r="A98" s="65" t="s">
        <v>527</v>
      </c>
      <c r="B98" s="66">
        <v>44592</v>
      </c>
      <c r="C98" s="65" t="s">
        <v>515</v>
      </c>
      <c r="D98" s="71">
        <v>808</v>
      </c>
      <c r="E98" s="44">
        <v>-58</v>
      </c>
      <c r="F98" s="44" t="s">
        <v>530</v>
      </c>
      <c r="G98" s="45" t="s">
        <v>531</v>
      </c>
      <c r="H98" s="46" t="s">
        <v>455</v>
      </c>
      <c r="I98" s="46">
        <v>2022</v>
      </c>
      <c r="J98" s="46" t="s">
        <v>444</v>
      </c>
    </row>
    <row r="99" spans="1:10">
      <c r="A99" s="65" t="s">
        <v>522</v>
      </c>
      <c r="B99" s="66">
        <v>44564</v>
      </c>
      <c r="C99" s="65" t="s">
        <v>449</v>
      </c>
      <c r="D99" s="71">
        <v>1234</v>
      </c>
      <c r="E99" s="44">
        <v>-86</v>
      </c>
      <c r="F99" s="44" t="s">
        <v>530</v>
      </c>
      <c r="G99" s="45" t="s">
        <v>531</v>
      </c>
      <c r="H99" s="46" t="s">
        <v>455</v>
      </c>
      <c r="I99" s="46">
        <v>2022</v>
      </c>
      <c r="J99" s="46" t="s">
        <v>444</v>
      </c>
    </row>
    <row r="100" spans="1:10">
      <c r="A100" s="65" t="s">
        <v>518</v>
      </c>
      <c r="B100" s="66">
        <v>44593</v>
      </c>
      <c r="C100" s="65" t="s">
        <v>515</v>
      </c>
      <c r="D100" s="71">
        <v>2308</v>
      </c>
      <c r="E100" s="44">
        <v>-57</v>
      </c>
      <c r="F100" s="44" t="s">
        <v>530</v>
      </c>
      <c r="G100" s="45" t="s">
        <v>531</v>
      </c>
      <c r="H100" s="46" t="s">
        <v>456</v>
      </c>
      <c r="I100" s="46">
        <v>2022</v>
      </c>
      <c r="J100" s="46" t="s">
        <v>444</v>
      </c>
    </row>
    <row r="101" spans="1:10">
      <c r="A101" s="65" t="s">
        <v>527</v>
      </c>
      <c r="B101" s="66">
        <v>44658</v>
      </c>
      <c r="C101" s="65" t="s">
        <v>449</v>
      </c>
      <c r="D101" s="71">
        <v>2360</v>
      </c>
      <c r="E101" s="44">
        <v>8</v>
      </c>
      <c r="F101" s="44" t="s">
        <v>508</v>
      </c>
      <c r="G101" s="45" t="s">
        <v>530</v>
      </c>
      <c r="H101" s="46" t="s">
        <v>458</v>
      </c>
      <c r="I101" s="46">
        <v>2022</v>
      </c>
      <c r="J101" s="46" t="s">
        <v>443</v>
      </c>
    </row>
    <row r="102" spans="1:10">
      <c r="A102" s="65" t="s">
        <v>520</v>
      </c>
      <c r="B102" s="66">
        <v>44603</v>
      </c>
      <c r="C102" s="65" t="s">
        <v>516</v>
      </c>
      <c r="D102" s="71">
        <v>764</v>
      </c>
      <c r="E102" s="44">
        <v>-47</v>
      </c>
      <c r="F102" s="44" t="s">
        <v>530</v>
      </c>
      <c r="G102" s="45" t="s">
        <v>530</v>
      </c>
      <c r="H102" s="46" t="s">
        <v>456</v>
      </c>
      <c r="I102" s="46">
        <v>2022</v>
      </c>
      <c r="J102" s="46" t="s">
        <v>442</v>
      </c>
    </row>
    <row r="103" spans="1:10">
      <c r="A103" s="65" t="s">
        <v>521</v>
      </c>
      <c r="B103" s="66">
        <v>44641</v>
      </c>
      <c r="C103" s="65" t="s">
        <v>449</v>
      </c>
      <c r="D103" s="71">
        <v>1001</v>
      </c>
      <c r="E103" s="44">
        <v>-9</v>
      </c>
      <c r="F103" s="44" t="s">
        <v>530</v>
      </c>
      <c r="G103" s="45" t="s">
        <v>508</v>
      </c>
      <c r="H103" s="46" t="s">
        <v>457</v>
      </c>
      <c r="I103" s="46">
        <v>2022</v>
      </c>
      <c r="J103" s="46" t="s">
        <v>444</v>
      </c>
    </row>
    <row r="104" spans="1:10">
      <c r="A104" s="65" t="s">
        <v>527</v>
      </c>
      <c r="B104" s="66">
        <v>44598</v>
      </c>
      <c r="C104" s="65" t="s">
        <v>516</v>
      </c>
      <c r="D104" s="71">
        <v>1713</v>
      </c>
      <c r="E104" s="44">
        <v>-52</v>
      </c>
      <c r="F104" s="44" t="s">
        <v>530</v>
      </c>
      <c r="G104" s="45" t="s">
        <v>530</v>
      </c>
      <c r="H104" s="46" t="s">
        <v>456</v>
      </c>
      <c r="I104" s="46">
        <v>2022</v>
      </c>
      <c r="J104" s="46" t="s">
        <v>442</v>
      </c>
    </row>
    <row r="105" spans="1:10">
      <c r="A105" s="65" t="s">
        <v>523</v>
      </c>
      <c r="B105" s="66">
        <v>44558</v>
      </c>
      <c r="C105" s="65" t="s">
        <v>517</v>
      </c>
      <c r="D105" s="71">
        <v>2360</v>
      </c>
      <c r="E105" s="44">
        <v>-92</v>
      </c>
      <c r="F105" s="44" t="s">
        <v>530</v>
      </c>
      <c r="G105" s="45" t="s">
        <v>531</v>
      </c>
      <c r="H105" s="46" t="s">
        <v>466</v>
      </c>
      <c r="I105" s="46">
        <v>2021</v>
      </c>
      <c r="J105" s="46" t="s">
        <v>445</v>
      </c>
    </row>
    <row r="106" spans="1:10">
      <c r="A106" s="65" t="s">
        <v>522</v>
      </c>
      <c r="B106" s="66">
        <v>44684</v>
      </c>
      <c r="C106" s="65" t="s">
        <v>449</v>
      </c>
      <c r="D106" s="71">
        <v>815</v>
      </c>
      <c r="E106" s="44">
        <v>34</v>
      </c>
      <c r="F106" s="44" t="s">
        <v>532</v>
      </c>
      <c r="G106" s="45" t="s">
        <v>530</v>
      </c>
      <c r="H106" s="46" t="s">
        <v>459</v>
      </c>
      <c r="I106" s="46">
        <v>2022</v>
      </c>
      <c r="J106" s="46" t="s">
        <v>443</v>
      </c>
    </row>
    <row r="107" spans="1:10">
      <c r="A107" s="65" t="s">
        <v>520</v>
      </c>
      <c r="B107" s="66">
        <v>44543</v>
      </c>
      <c r="C107" s="65" t="s">
        <v>517</v>
      </c>
      <c r="D107" s="71">
        <v>2199</v>
      </c>
      <c r="E107" s="44">
        <v>-107</v>
      </c>
      <c r="F107" s="44" t="s">
        <v>530</v>
      </c>
      <c r="G107" s="45" t="s">
        <v>531</v>
      </c>
      <c r="H107" s="46" t="s">
        <v>466</v>
      </c>
      <c r="I107" s="46">
        <v>2021</v>
      </c>
      <c r="J107" s="46" t="s">
        <v>445</v>
      </c>
    </row>
    <row r="108" spans="1:10">
      <c r="A108" s="65" t="s">
        <v>525</v>
      </c>
      <c r="B108" s="66">
        <v>44594</v>
      </c>
      <c r="C108" s="65" t="s">
        <v>516</v>
      </c>
      <c r="D108" s="71">
        <v>1351</v>
      </c>
      <c r="E108" s="44">
        <v>-56</v>
      </c>
      <c r="F108" s="44" t="s">
        <v>530</v>
      </c>
      <c r="G108" s="45" t="s">
        <v>530</v>
      </c>
      <c r="H108" s="46" t="s">
        <v>456</v>
      </c>
      <c r="I108" s="46">
        <v>2022</v>
      </c>
      <c r="J108" s="46" t="s">
        <v>442</v>
      </c>
    </row>
    <row r="109" spans="1:10">
      <c r="A109" s="65" t="s">
        <v>527</v>
      </c>
      <c r="B109" s="66">
        <v>44674</v>
      </c>
      <c r="C109" s="65" t="s">
        <v>516</v>
      </c>
      <c r="D109" s="71">
        <v>339</v>
      </c>
      <c r="E109" s="44">
        <v>24</v>
      </c>
      <c r="F109" s="44" t="s">
        <v>530</v>
      </c>
      <c r="G109" s="45" t="s">
        <v>530</v>
      </c>
      <c r="H109" s="46" t="s">
        <v>458</v>
      </c>
      <c r="I109" s="46">
        <v>2022</v>
      </c>
      <c r="J109" s="46" t="s">
        <v>442</v>
      </c>
    </row>
    <row r="110" spans="1:10">
      <c r="A110" s="65" t="s">
        <v>521</v>
      </c>
      <c r="B110" s="66">
        <v>44693</v>
      </c>
      <c r="C110" s="65" t="s">
        <v>517</v>
      </c>
      <c r="D110" s="71">
        <v>1653</v>
      </c>
      <c r="E110" s="44">
        <v>43</v>
      </c>
      <c r="F110" s="44" t="s">
        <v>532</v>
      </c>
      <c r="G110" s="45" t="s">
        <v>530</v>
      </c>
      <c r="H110" s="46" t="s">
        <v>459</v>
      </c>
      <c r="I110" s="46">
        <v>2022</v>
      </c>
      <c r="J110" s="46" t="s">
        <v>445</v>
      </c>
    </row>
    <row r="111" spans="1:10">
      <c r="A111" s="65" t="s">
        <v>527</v>
      </c>
      <c r="B111" s="66">
        <v>44652</v>
      </c>
      <c r="C111" s="65" t="s">
        <v>517</v>
      </c>
      <c r="D111" s="71">
        <v>230</v>
      </c>
      <c r="E111" s="44">
        <v>2</v>
      </c>
      <c r="F111" s="44" t="s">
        <v>508</v>
      </c>
      <c r="G111" s="45" t="s">
        <v>530</v>
      </c>
      <c r="H111" s="46" t="s">
        <v>458</v>
      </c>
      <c r="I111" s="46">
        <v>2022</v>
      </c>
      <c r="J111" s="46" t="s">
        <v>445</v>
      </c>
    </row>
    <row r="112" spans="1:10">
      <c r="A112" s="65" t="s">
        <v>518</v>
      </c>
      <c r="B112" s="66">
        <v>44702</v>
      </c>
      <c r="C112" s="65" t="s">
        <v>449</v>
      </c>
      <c r="D112" s="71">
        <v>205</v>
      </c>
      <c r="E112" s="44">
        <v>52</v>
      </c>
      <c r="F112" s="44" t="s">
        <v>531</v>
      </c>
      <c r="G112" s="45" t="s">
        <v>530</v>
      </c>
      <c r="H112" s="46" t="s">
        <v>459</v>
      </c>
      <c r="I112" s="46">
        <v>2022</v>
      </c>
      <c r="J112" s="46" t="s">
        <v>443</v>
      </c>
    </row>
    <row r="113" spans="1:10">
      <c r="A113" s="65" t="s">
        <v>525</v>
      </c>
      <c r="B113" s="66">
        <v>44620</v>
      </c>
      <c r="C113" s="65" t="s">
        <v>515</v>
      </c>
      <c r="D113" s="71">
        <v>2005</v>
      </c>
      <c r="E113" s="44">
        <v>-30</v>
      </c>
      <c r="F113" s="44" t="s">
        <v>530</v>
      </c>
      <c r="G113" s="45" t="s">
        <v>532</v>
      </c>
      <c r="H113" s="46" t="s">
        <v>456</v>
      </c>
      <c r="I113" s="46">
        <v>2022</v>
      </c>
      <c r="J113" s="46" t="s">
        <v>444</v>
      </c>
    </row>
    <row r="114" spans="1:10">
      <c r="A114" s="65" t="s">
        <v>526</v>
      </c>
      <c r="B114" s="66">
        <v>44541</v>
      </c>
      <c r="C114" s="65" t="s">
        <v>517</v>
      </c>
      <c r="D114" s="71">
        <v>667</v>
      </c>
      <c r="E114" s="44">
        <v>-109</v>
      </c>
      <c r="F114" s="44" t="s">
        <v>530</v>
      </c>
      <c r="G114" s="45" t="s">
        <v>531</v>
      </c>
      <c r="H114" s="46" t="s">
        <v>466</v>
      </c>
      <c r="I114" s="46">
        <v>2021</v>
      </c>
      <c r="J114" s="46" t="s">
        <v>445</v>
      </c>
    </row>
    <row r="115" spans="1:10">
      <c r="A115" s="65" t="s">
        <v>520</v>
      </c>
      <c r="B115" s="66">
        <v>44656</v>
      </c>
      <c r="C115" s="65" t="s">
        <v>515</v>
      </c>
      <c r="D115" s="71">
        <v>2623</v>
      </c>
      <c r="E115" s="44">
        <v>6</v>
      </c>
      <c r="F115" s="44" t="s">
        <v>508</v>
      </c>
      <c r="G115" s="45" t="s">
        <v>530</v>
      </c>
      <c r="H115" s="46" t="s">
        <v>458</v>
      </c>
      <c r="I115" s="46">
        <v>2022</v>
      </c>
      <c r="J115" s="46" t="s">
        <v>443</v>
      </c>
    </row>
    <row r="116" spans="1:10">
      <c r="A116" s="65" t="s">
        <v>527</v>
      </c>
      <c r="B116" s="66">
        <v>44560</v>
      </c>
      <c r="C116" s="65" t="s">
        <v>515</v>
      </c>
      <c r="D116" s="71">
        <v>386</v>
      </c>
      <c r="E116" s="44">
        <v>-90</v>
      </c>
      <c r="F116" s="44" t="s">
        <v>530</v>
      </c>
      <c r="G116" s="45" t="s">
        <v>531</v>
      </c>
      <c r="H116" s="46" t="s">
        <v>466</v>
      </c>
      <c r="I116" s="46">
        <v>2021</v>
      </c>
      <c r="J116" s="46" t="s">
        <v>444</v>
      </c>
    </row>
    <row r="117" spans="1:10">
      <c r="A117" s="65" t="s">
        <v>527</v>
      </c>
      <c r="B117" s="66">
        <v>44595</v>
      </c>
      <c r="C117" s="65" t="s">
        <v>516</v>
      </c>
      <c r="D117" s="71">
        <v>1783</v>
      </c>
      <c r="E117" s="44">
        <v>-55</v>
      </c>
      <c r="F117" s="44" t="s">
        <v>530</v>
      </c>
      <c r="G117" s="45" t="s">
        <v>530</v>
      </c>
      <c r="H117" s="46" t="s">
        <v>456</v>
      </c>
      <c r="I117" s="46">
        <v>2022</v>
      </c>
      <c r="J117" s="46" t="s">
        <v>442</v>
      </c>
    </row>
    <row r="118" spans="1:10">
      <c r="A118" s="65" t="s">
        <v>522</v>
      </c>
      <c r="B118" s="66">
        <v>44673</v>
      </c>
      <c r="C118" s="65" t="s">
        <v>515</v>
      </c>
      <c r="D118" s="71">
        <v>1536</v>
      </c>
      <c r="E118" s="44">
        <v>23</v>
      </c>
      <c r="F118" s="44" t="s">
        <v>509</v>
      </c>
      <c r="G118" s="45" t="s">
        <v>530</v>
      </c>
      <c r="H118" s="46" t="s">
        <v>458</v>
      </c>
      <c r="I118" s="46">
        <v>2022</v>
      </c>
      <c r="J118" s="46" t="s">
        <v>443</v>
      </c>
    </row>
    <row r="119" spans="1:10">
      <c r="A119" s="65" t="s">
        <v>526</v>
      </c>
      <c r="B119" s="66">
        <v>44621</v>
      </c>
      <c r="C119" s="65" t="s">
        <v>449</v>
      </c>
      <c r="D119" s="71">
        <v>817</v>
      </c>
      <c r="E119" s="44">
        <v>-29</v>
      </c>
      <c r="F119" s="44" t="s">
        <v>530</v>
      </c>
      <c r="G119" s="45" t="s">
        <v>509</v>
      </c>
      <c r="H119" s="46" t="s">
        <v>457</v>
      </c>
      <c r="I119" s="46">
        <v>2022</v>
      </c>
      <c r="J119" s="46" t="s">
        <v>444</v>
      </c>
    </row>
    <row r="120" spans="1:10">
      <c r="A120" s="65" t="s">
        <v>524</v>
      </c>
      <c r="B120" s="66">
        <v>44554</v>
      </c>
      <c r="C120" s="65" t="s">
        <v>516</v>
      </c>
      <c r="D120" s="71">
        <v>763</v>
      </c>
      <c r="E120" s="44">
        <v>-96</v>
      </c>
      <c r="F120" s="44" t="s">
        <v>530</v>
      </c>
      <c r="G120" s="45" t="s">
        <v>530</v>
      </c>
      <c r="H120" s="46" t="s">
        <v>466</v>
      </c>
      <c r="I120" s="46">
        <v>2021</v>
      </c>
      <c r="J120" s="46" t="s">
        <v>442</v>
      </c>
    </row>
    <row r="121" spans="1:10">
      <c r="A121" s="65" t="s">
        <v>523</v>
      </c>
      <c r="B121" s="66">
        <v>44685</v>
      </c>
      <c r="C121" s="65" t="s">
        <v>449</v>
      </c>
      <c r="D121" s="71">
        <v>797</v>
      </c>
      <c r="E121" s="44">
        <v>35</v>
      </c>
      <c r="F121" s="44" t="s">
        <v>532</v>
      </c>
      <c r="G121" s="45" t="s">
        <v>530</v>
      </c>
      <c r="H121" s="46" t="s">
        <v>459</v>
      </c>
      <c r="I121" s="46">
        <v>2022</v>
      </c>
      <c r="J121" s="46" t="s">
        <v>443</v>
      </c>
    </row>
    <row r="122" spans="1:10">
      <c r="A122" s="65" t="s">
        <v>520</v>
      </c>
      <c r="B122" s="66">
        <v>44629</v>
      </c>
      <c r="C122" s="65" t="s">
        <v>515</v>
      </c>
      <c r="D122" s="71">
        <v>1704</v>
      </c>
      <c r="E122" s="44">
        <v>-21</v>
      </c>
      <c r="F122" s="44" t="s">
        <v>530</v>
      </c>
      <c r="G122" s="45" t="s">
        <v>509</v>
      </c>
      <c r="H122" s="46" t="s">
        <v>457</v>
      </c>
      <c r="I122" s="46">
        <v>2022</v>
      </c>
      <c r="J122" s="46" t="s">
        <v>444</v>
      </c>
    </row>
    <row r="123" spans="1:10">
      <c r="A123" s="65" t="s">
        <v>524</v>
      </c>
      <c r="B123" s="66">
        <v>44576</v>
      </c>
      <c r="C123" s="65" t="s">
        <v>449</v>
      </c>
      <c r="D123" s="71">
        <v>668</v>
      </c>
      <c r="E123" s="44">
        <v>-74</v>
      </c>
      <c r="F123" s="44" t="s">
        <v>530</v>
      </c>
      <c r="G123" s="45" t="s">
        <v>531</v>
      </c>
      <c r="H123" s="46" t="s">
        <v>455</v>
      </c>
      <c r="I123" s="46">
        <v>2022</v>
      </c>
      <c r="J123" s="46" t="s">
        <v>444</v>
      </c>
    </row>
    <row r="124" spans="1:10">
      <c r="A124" s="65" t="s">
        <v>520</v>
      </c>
      <c r="B124" s="66">
        <v>44646</v>
      </c>
      <c r="C124" s="65" t="s">
        <v>515</v>
      </c>
      <c r="D124" s="71">
        <v>2036</v>
      </c>
      <c r="E124" s="44">
        <v>-4</v>
      </c>
      <c r="F124" s="44" t="s">
        <v>530</v>
      </c>
      <c r="G124" s="45" t="s">
        <v>508</v>
      </c>
      <c r="H124" s="46" t="s">
        <v>457</v>
      </c>
      <c r="I124" s="46">
        <v>2022</v>
      </c>
      <c r="J124" s="46" t="s">
        <v>444</v>
      </c>
    </row>
    <row r="125" spans="1:10">
      <c r="A125" s="65" t="s">
        <v>520</v>
      </c>
      <c r="B125" s="66">
        <v>44702</v>
      </c>
      <c r="C125" s="65" t="s">
        <v>515</v>
      </c>
      <c r="D125" s="71">
        <v>1048</v>
      </c>
      <c r="E125" s="44">
        <v>52</v>
      </c>
      <c r="F125" s="44" t="s">
        <v>531</v>
      </c>
      <c r="G125" s="45" t="s">
        <v>530</v>
      </c>
      <c r="H125" s="46" t="s">
        <v>459</v>
      </c>
      <c r="I125" s="46">
        <v>2022</v>
      </c>
      <c r="J125" s="46" t="s">
        <v>443</v>
      </c>
    </row>
    <row r="126" spans="1:10">
      <c r="A126" s="65" t="s">
        <v>525</v>
      </c>
      <c r="B126" s="66">
        <v>44625</v>
      </c>
      <c r="C126" s="65" t="s">
        <v>515</v>
      </c>
      <c r="D126" s="71">
        <v>2502</v>
      </c>
      <c r="E126" s="44">
        <v>-25</v>
      </c>
      <c r="F126" s="44" t="s">
        <v>530</v>
      </c>
      <c r="G126" s="45" t="s">
        <v>509</v>
      </c>
      <c r="H126" s="46" t="s">
        <v>457</v>
      </c>
      <c r="I126" s="46">
        <v>2022</v>
      </c>
      <c r="J126" s="46" t="s">
        <v>444</v>
      </c>
    </row>
    <row r="127" spans="1:10">
      <c r="A127" s="65" t="s">
        <v>518</v>
      </c>
      <c r="B127" s="66">
        <v>44609</v>
      </c>
      <c r="C127" s="65" t="s">
        <v>515</v>
      </c>
      <c r="D127" s="71">
        <v>1430</v>
      </c>
      <c r="E127" s="44">
        <v>-41</v>
      </c>
      <c r="F127" s="44" t="s">
        <v>530</v>
      </c>
      <c r="G127" s="45" t="s">
        <v>532</v>
      </c>
      <c r="H127" s="46" t="s">
        <v>456</v>
      </c>
      <c r="I127" s="46">
        <v>2022</v>
      </c>
      <c r="J127" s="46" t="s">
        <v>444</v>
      </c>
    </row>
    <row r="128" spans="1:10">
      <c r="A128" s="65" t="s">
        <v>521</v>
      </c>
      <c r="B128" s="66">
        <v>44646</v>
      </c>
      <c r="C128" s="65" t="s">
        <v>515</v>
      </c>
      <c r="D128" s="71">
        <v>1996</v>
      </c>
      <c r="E128" s="44">
        <v>-4</v>
      </c>
      <c r="F128" s="44" t="s">
        <v>530</v>
      </c>
      <c r="G128" s="45" t="s">
        <v>508</v>
      </c>
      <c r="H128" s="46" t="s">
        <v>457</v>
      </c>
      <c r="I128" s="46">
        <v>2022</v>
      </c>
      <c r="J128" s="46" t="s">
        <v>444</v>
      </c>
    </row>
    <row r="129" spans="1:10">
      <c r="A129" s="65" t="s">
        <v>525</v>
      </c>
      <c r="B129" s="66">
        <v>44682</v>
      </c>
      <c r="C129" s="65" t="s">
        <v>516</v>
      </c>
      <c r="D129" s="71">
        <v>882</v>
      </c>
      <c r="E129" s="44">
        <v>32</v>
      </c>
      <c r="F129" s="44" t="s">
        <v>530</v>
      </c>
      <c r="G129" s="45" t="s">
        <v>530</v>
      </c>
      <c r="H129" s="46" t="s">
        <v>459</v>
      </c>
      <c r="I129" s="46">
        <v>2022</v>
      </c>
      <c r="J129" s="46" t="s">
        <v>442</v>
      </c>
    </row>
    <row r="130" spans="1:10">
      <c r="A130" s="65" t="s">
        <v>527</v>
      </c>
      <c r="B130" s="66">
        <v>44660</v>
      </c>
      <c r="C130" s="65" t="s">
        <v>515</v>
      </c>
      <c r="D130" s="71">
        <v>1776</v>
      </c>
      <c r="E130" s="44">
        <v>10</v>
      </c>
      <c r="F130" s="44" t="s">
        <v>508</v>
      </c>
      <c r="G130" s="45" t="s">
        <v>530</v>
      </c>
      <c r="H130" s="46" t="s">
        <v>458</v>
      </c>
      <c r="I130" s="46">
        <v>2022</v>
      </c>
      <c r="J130" s="46" t="s">
        <v>443</v>
      </c>
    </row>
    <row r="131" spans="1:10">
      <c r="A131" s="65" t="s">
        <v>525</v>
      </c>
      <c r="B131" s="66">
        <v>44615</v>
      </c>
      <c r="C131" s="65" t="s">
        <v>516</v>
      </c>
      <c r="D131" s="71">
        <v>556</v>
      </c>
      <c r="E131" s="44">
        <v>-35</v>
      </c>
      <c r="F131" s="44" t="s">
        <v>530</v>
      </c>
      <c r="G131" s="45" t="s">
        <v>530</v>
      </c>
      <c r="H131" s="46" t="s">
        <v>456</v>
      </c>
      <c r="I131" s="46">
        <v>2022</v>
      </c>
      <c r="J131" s="46" t="s">
        <v>442</v>
      </c>
    </row>
    <row r="132" spans="1:10">
      <c r="A132" s="65" t="s">
        <v>523</v>
      </c>
      <c r="B132" s="66">
        <v>44631</v>
      </c>
      <c r="C132" s="65" t="s">
        <v>515</v>
      </c>
      <c r="D132" s="71">
        <v>2030</v>
      </c>
      <c r="E132" s="44">
        <v>-19</v>
      </c>
      <c r="F132" s="44" t="s">
        <v>530</v>
      </c>
      <c r="G132" s="45" t="s">
        <v>509</v>
      </c>
      <c r="H132" s="46" t="s">
        <v>457</v>
      </c>
      <c r="I132" s="46">
        <v>2022</v>
      </c>
      <c r="J132" s="46" t="s">
        <v>444</v>
      </c>
    </row>
    <row r="133" spans="1:10">
      <c r="A133" s="65" t="s">
        <v>524</v>
      </c>
      <c r="B133" s="66">
        <v>44612</v>
      </c>
      <c r="C133" s="65" t="s">
        <v>517</v>
      </c>
      <c r="D133" s="71">
        <v>1078</v>
      </c>
      <c r="E133" s="44">
        <v>-38</v>
      </c>
      <c r="F133" s="44" t="s">
        <v>530</v>
      </c>
      <c r="G133" s="45" t="s">
        <v>532</v>
      </c>
      <c r="H133" s="46" t="s">
        <v>456</v>
      </c>
      <c r="I133" s="46">
        <v>2022</v>
      </c>
      <c r="J133" s="46" t="s">
        <v>445</v>
      </c>
    </row>
    <row r="134" spans="1:10">
      <c r="A134" s="65" t="s">
        <v>524</v>
      </c>
      <c r="B134" s="66">
        <v>44560</v>
      </c>
      <c r="C134" s="65" t="s">
        <v>449</v>
      </c>
      <c r="D134" s="71">
        <v>759</v>
      </c>
      <c r="E134" s="44">
        <v>-90</v>
      </c>
      <c r="F134" s="44" t="s">
        <v>530</v>
      </c>
      <c r="G134" s="45" t="s">
        <v>531</v>
      </c>
      <c r="H134" s="46" t="s">
        <v>466</v>
      </c>
      <c r="I134" s="46">
        <v>2021</v>
      </c>
      <c r="J134" s="46" t="s">
        <v>444</v>
      </c>
    </row>
    <row r="135" spans="1:10">
      <c r="A135" s="65" t="s">
        <v>526</v>
      </c>
      <c r="B135" s="66">
        <v>44553</v>
      </c>
      <c r="C135" s="65" t="s">
        <v>516</v>
      </c>
      <c r="D135" s="71">
        <v>1700</v>
      </c>
      <c r="E135" s="44">
        <v>-97</v>
      </c>
      <c r="F135" s="44" t="s">
        <v>530</v>
      </c>
      <c r="G135" s="45" t="s">
        <v>530</v>
      </c>
      <c r="H135" s="46" t="s">
        <v>466</v>
      </c>
      <c r="I135" s="46">
        <v>2021</v>
      </c>
      <c r="J135" s="46" t="s">
        <v>442</v>
      </c>
    </row>
    <row r="136" spans="1:10">
      <c r="A136" s="65" t="s">
        <v>518</v>
      </c>
      <c r="B136" s="66">
        <v>44702</v>
      </c>
      <c r="C136" s="65" t="s">
        <v>517</v>
      </c>
      <c r="D136" s="71">
        <v>2182</v>
      </c>
      <c r="E136" s="44">
        <v>52</v>
      </c>
      <c r="F136" s="44" t="s">
        <v>531</v>
      </c>
      <c r="G136" s="45" t="s">
        <v>530</v>
      </c>
      <c r="H136" s="46" t="s">
        <v>459</v>
      </c>
      <c r="I136" s="46">
        <v>2022</v>
      </c>
      <c r="J136" s="46" t="s">
        <v>445</v>
      </c>
    </row>
    <row r="137" spans="1:10">
      <c r="A137" s="65" t="s">
        <v>518</v>
      </c>
      <c r="B137" s="66">
        <v>44534</v>
      </c>
      <c r="C137" s="65" t="s">
        <v>516</v>
      </c>
      <c r="D137" s="71">
        <v>1978</v>
      </c>
      <c r="E137" s="44">
        <v>-116</v>
      </c>
      <c r="F137" s="44" t="s">
        <v>530</v>
      </c>
      <c r="G137" s="45" t="s">
        <v>530</v>
      </c>
      <c r="H137" s="46" t="s">
        <v>466</v>
      </c>
      <c r="I137" s="46">
        <v>2021</v>
      </c>
      <c r="J137" s="46" t="s">
        <v>442</v>
      </c>
    </row>
    <row r="138" spans="1:10">
      <c r="A138" s="65" t="s">
        <v>522</v>
      </c>
      <c r="B138" s="66">
        <v>44700</v>
      </c>
      <c r="C138" s="65" t="s">
        <v>449</v>
      </c>
      <c r="D138" s="71">
        <v>1926</v>
      </c>
      <c r="E138" s="44">
        <v>50</v>
      </c>
      <c r="F138" s="44" t="s">
        <v>531</v>
      </c>
      <c r="G138" s="45" t="s">
        <v>530</v>
      </c>
      <c r="H138" s="46" t="s">
        <v>459</v>
      </c>
      <c r="I138" s="46">
        <v>2022</v>
      </c>
      <c r="J138" s="46" t="s">
        <v>443</v>
      </c>
    </row>
    <row r="139" spans="1:10">
      <c r="A139" s="65" t="s">
        <v>526</v>
      </c>
      <c r="B139" s="66">
        <v>44691</v>
      </c>
      <c r="C139" s="65" t="s">
        <v>517</v>
      </c>
      <c r="D139" s="71">
        <v>1437</v>
      </c>
      <c r="E139" s="44">
        <v>41</v>
      </c>
      <c r="F139" s="44" t="s">
        <v>532</v>
      </c>
      <c r="G139" s="45" t="s">
        <v>530</v>
      </c>
      <c r="H139" s="46" t="s">
        <v>459</v>
      </c>
      <c r="I139" s="46">
        <v>2022</v>
      </c>
      <c r="J139" s="46" t="s">
        <v>445</v>
      </c>
    </row>
    <row r="140" spans="1:10">
      <c r="A140" s="65" t="s">
        <v>525</v>
      </c>
      <c r="B140" s="66">
        <v>44599</v>
      </c>
      <c r="C140" s="65" t="s">
        <v>517</v>
      </c>
      <c r="D140" s="71">
        <v>2465</v>
      </c>
      <c r="E140" s="44">
        <v>-51</v>
      </c>
      <c r="F140" s="44" t="s">
        <v>530</v>
      </c>
      <c r="G140" s="45" t="s">
        <v>531</v>
      </c>
      <c r="H140" s="46" t="s">
        <v>456</v>
      </c>
      <c r="I140" s="46">
        <v>2022</v>
      </c>
      <c r="J140" s="46" t="s">
        <v>445</v>
      </c>
    </row>
    <row r="141" spans="1:10">
      <c r="A141" s="65" t="s">
        <v>521</v>
      </c>
      <c r="B141" s="66">
        <v>44581</v>
      </c>
      <c r="C141" s="65" t="s">
        <v>515</v>
      </c>
      <c r="D141" s="71">
        <v>2159</v>
      </c>
      <c r="E141" s="44">
        <v>-69</v>
      </c>
      <c r="F141" s="44" t="s">
        <v>530</v>
      </c>
      <c r="G141" s="45" t="s">
        <v>531</v>
      </c>
      <c r="H141" s="46" t="s">
        <v>455</v>
      </c>
      <c r="I141" s="46">
        <v>2022</v>
      </c>
      <c r="J141" s="46" t="s">
        <v>444</v>
      </c>
    </row>
    <row r="142" spans="1:10">
      <c r="A142" s="65" t="s">
        <v>524</v>
      </c>
      <c r="B142" s="66">
        <v>44645</v>
      </c>
      <c r="C142" s="65" t="s">
        <v>515</v>
      </c>
      <c r="D142" s="71">
        <v>1955</v>
      </c>
      <c r="E142" s="44">
        <v>-5</v>
      </c>
      <c r="F142" s="44" t="s">
        <v>530</v>
      </c>
      <c r="G142" s="45" t="s">
        <v>508</v>
      </c>
      <c r="H142" s="46" t="s">
        <v>457</v>
      </c>
      <c r="I142" s="46">
        <v>2022</v>
      </c>
      <c r="J142" s="46" t="s">
        <v>444</v>
      </c>
    </row>
    <row r="143" spans="1:10">
      <c r="A143" s="65" t="s">
        <v>522</v>
      </c>
      <c r="B143" s="66">
        <v>44600</v>
      </c>
      <c r="C143" s="65" t="s">
        <v>515</v>
      </c>
      <c r="D143" s="71">
        <v>1309</v>
      </c>
      <c r="E143" s="44">
        <v>-50</v>
      </c>
      <c r="F143" s="44" t="s">
        <v>530</v>
      </c>
      <c r="G143" s="45" t="s">
        <v>531</v>
      </c>
      <c r="H143" s="46" t="s">
        <v>456</v>
      </c>
      <c r="I143" s="46">
        <v>2022</v>
      </c>
      <c r="J143" s="46" t="s">
        <v>444</v>
      </c>
    </row>
    <row r="144" spans="1:10">
      <c r="A144" s="65" t="s">
        <v>525</v>
      </c>
      <c r="B144" s="66">
        <v>44667</v>
      </c>
      <c r="C144" s="65" t="s">
        <v>516</v>
      </c>
      <c r="D144" s="71">
        <v>902</v>
      </c>
      <c r="E144" s="44">
        <v>17</v>
      </c>
      <c r="F144" s="44" t="s">
        <v>530</v>
      </c>
      <c r="G144" s="45" t="s">
        <v>530</v>
      </c>
      <c r="H144" s="46" t="s">
        <v>458</v>
      </c>
      <c r="I144" s="46">
        <v>2022</v>
      </c>
      <c r="J144" s="46" t="s">
        <v>442</v>
      </c>
    </row>
    <row r="145" spans="1:10">
      <c r="A145" s="65" t="s">
        <v>523</v>
      </c>
      <c r="B145" s="66">
        <v>44593</v>
      </c>
      <c r="C145" s="65" t="s">
        <v>515</v>
      </c>
      <c r="D145" s="71">
        <v>1545</v>
      </c>
      <c r="E145" s="44">
        <v>-57</v>
      </c>
      <c r="F145" s="44" t="s">
        <v>530</v>
      </c>
      <c r="G145" s="45" t="s">
        <v>531</v>
      </c>
      <c r="H145" s="46" t="s">
        <v>456</v>
      </c>
      <c r="I145" s="46">
        <v>2022</v>
      </c>
      <c r="J145" s="46" t="s">
        <v>444</v>
      </c>
    </row>
    <row r="146" spans="1:10">
      <c r="A146" s="65" t="s">
        <v>523</v>
      </c>
      <c r="B146" s="66">
        <v>44570</v>
      </c>
      <c r="C146" s="65" t="s">
        <v>449</v>
      </c>
      <c r="D146" s="71">
        <v>369</v>
      </c>
      <c r="E146" s="44">
        <v>-80</v>
      </c>
      <c r="F146" s="44" t="s">
        <v>530</v>
      </c>
      <c r="G146" s="45" t="s">
        <v>531</v>
      </c>
      <c r="H146" s="46" t="s">
        <v>455</v>
      </c>
      <c r="I146" s="46">
        <v>2022</v>
      </c>
      <c r="J146" s="46" t="s">
        <v>444</v>
      </c>
    </row>
    <row r="147" spans="1:10">
      <c r="A147" s="65" t="s">
        <v>522</v>
      </c>
      <c r="B147" s="66">
        <v>44634</v>
      </c>
      <c r="C147" s="65" t="s">
        <v>516</v>
      </c>
      <c r="D147" s="71">
        <v>1214</v>
      </c>
      <c r="E147" s="44">
        <v>-16</v>
      </c>
      <c r="F147" s="44" t="s">
        <v>530</v>
      </c>
      <c r="G147" s="45" t="s">
        <v>530</v>
      </c>
      <c r="H147" s="46" t="s">
        <v>457</v>
      </c>
      <c r="I147" s="46">
        <v>2022</v>
      </c>
      <c r="J147" s="46" t="s">
        <v>442</v>
      </c>
    </row>
    <row r="148" spans="1:10">
      <c r="A148" s="65" t="s">
        <v>524</v>
      </c>
      <c r="B148" s="66">
        <v>44593</v>
      </c>
      <c r="C148" s="65" t="s">
        <v>449</v>
      </c>
      <c r="D148" s="71">
        <v>2405</v>
      </c>
      <c r="E148" s="44">
        <v>-57</v>
      </c>
      <c r="F148" s="44" t="s">
        <v>530</v>
      </c>
      <c r="G148" s="45" t="s">
        <v>531</v>
      </c>
      <c r="H148" s="46" t="s">
        <v>456</v>
      </c>
      <c r="I148" s="46">
        <v>2022</v>
      </c>
      <c r="J148" s="46" t="s">
        <v>444</v>
      </c>
    </row>
    <row r="149" spans="1:10">
      <c r="A149" s="65" t="s">
        <v>526</v>
      </c>
      <c r="B149" s="66">
        <v>44567</v>
      </c>
      <c r="C149" s="65" t="s">
        <v>517</v>
      </c>
      <c r="D149" s="71">
        <v>2350</v>
      </c>
      <c r="E149" s="44">
        <v>-83</v>
      </c>
      <c r="F149" s="44" t="s">
        <v>530</v>
      </c>
      <c r="G149" s="45" t="s">
        <v>531</v>
      </c>
      <c r="H149" s="46" t="s">
        <v>455</v>
      </c>
      <c r="I149" s="46">
        <v>2022</v>
      </c>
      <c r="J149" s="46" t="s">
        <v>445</v>
      </c>
    </row>
    <row r="150" spans="1:10">
      <c r="A150" s="65" t="s">
        <v>518</v>
      </c>
      <c r="B150" s="66">
        <v>44626</v>
      </c>
      <c r="C150" s="65" t="s">
        <v>449</v>
      </c>
      <c r="D150" s="71">
        <v>1040</v>
      </c>
      <c r="E150" s="44">
        <v>-24</v>
      </c>
      <c r="F150" s="44" t="s">
        <v>530</v>
      </c>
      <c r="G150" s="45" t="s">
        <v>509</v>
      </c>
      <c r="H150" s="46" t="s">
        <v>457</v>
      </c>
      <c r="I150" s="46">
        <v>2022</v>
      </c>
      <c r="J150" s="46" t="s">
        <v>444</v>
      </c>
    </row>
    <row r="151" spans="1:10">
      <c r="A151" s="65" t="s">
        <v>522</v>
      </c>
      <c r="B151" s="66">
        <v>44650</v>
      </c>
      <c r="C151" s="65" t="s">
        <v>516</v>
      </c>
      <c r="D151" s="71">
        <v>2429</v>
      </c>
      <c r="E151" s="44">
        <v>0</v>
      </c>
      <c r="F151" s="44" t="s">
        <v>530</v>
      </c>
      <c r="G151" s="45" t="s">
        <v>530</v>
      </c>
      <c r="H151" s="46" t="s">
        <v>457</v>
      </c>
      <c r="I151" s="46">
        <v>2022</v>
      </c>
      <c r="J151" s="46" t="s">
        <v>442</v>
      </c>
    </row>
    <row r="152" spans="1:10">
      <c r="A152" s="65" t="s">
        <v>527</v>
      </c>
      <c r="B152" s="66">
        <v>44542</v>
      </c>
      <c r="C152" s="65" t="s">
        <v>449</v>
      </c>
      <c r="D152" s="71">
        <v>2547</v>
      </c>
      <c r="E152" s="44">
        <v>-108</v>
      </c>
      <c r="F152" s="44" t="s">
        <v>530</v>
      </c>
      <c r="G152" s="45" t="s">
        <v>531</v>
      </c>
      <c r="H152" s="46" t="s">
        <v>466</v>
      </c>
      <c r="I152" s="46">
        <v>2021</v>
      </c>
      <c r="J152" s="46" t="s">
        <v>444</v>
      </c>
    </row>
    <row r="153" spans="1:10">
      <c r="A153" s="65" t="s">
        <v>520</v>
      </c>
      <c r="B153" s="66">
        <v>44649</v>
      </c>
      <c r="C153" s="65" t="s">
        <v>516</v>
      </c>
      <c r="D153" s="71">
        <v>2347</v>
      </c>
      <c r="E153" s="44">
        <v>-1</v>
      </c>
      <c r="F153" s="44" t="s">
        <v>530</v>
      </c>
      <c r="G153" s="45" t="s">
        <v>508</v>
      </c>
      <c r="H153" s="46" t="s">
        <v>457</v>
      </c>
      <c r="I153" s="46">
        <v>2022</v>
      </c>
      <c r="J153" s="46" t="s">
        <v>444</v>
      </c>
    </row>
    <row r="154" spans="1:10">
      <c r="A154" s="65" t="s">
        <v>525</v>
      </c>
      <c r="B154" s="66">
        <v>44545</v>
      </c>
      <c r="C154" s="65" t="s">
        <v>515</v>
      </c>
      <c r="D154" s="71">
        <v>272</v>
      </c>
      <c r="E154" s="44">
        <v>-105</v>
      </c>
      <c r="F154" s="44" t="s">
        <v>530</v>
      </c>
      <c r="G154" s="45" t="s">
        <v>531</v>
      </c>
      <c r="H154" s="46" t="s">
        <v>466</v>
      </c>
      <c r="I154" s="46">
        <v>2021</v>
      </c>
      <c r="J154" s="46" t="s">
        <v>444</v>
      </c>
    </row>
    <row r="155" spans="1:10">
      <c r="A155" s="65" t="s">
        <v>524</v>
      </c>
      <c r="B155" s="66">
        <v>44688</v>
      </c>
      <c r="C155" s="65" t="s">
        <v>449</v>
      </c>
      <c r="D155" s="71">
        <v>1454</v>
      </c>
      <c r="E155" s="44">
        <v>38</v>
      </c>
      <c r="F155" s="44" t="s">
        <v>532</v>
      </c>
      <c r="G155" s="45" t="s">
        <v>530</v>
      </c>
      <c r="H155" s="46" t="s">
        <v>459</v>
      </c>
      <c r="I155" s="46">
        <v>2022</v>
      </c>
      <c r="J155" s="46" t="s">
        <v>443</v>
      </c>
    </row>
    <row r="156" spans="1:10">
      <c r="A156" s="65" t="s">
        <v>521</v>
      </c>
      <c r="B156" s="66">
        <v>44538</v>
      </c>
      <c r="C156" s="65" t="s">
        <v>515</v>
      </c>
      <c r="D156" s="71">
        <v>172</v>
      </c>
      <c r="E156" s="44">
        <v>-112</v>
      </c>
      <c r="F156" s="44" t="s">
        <v>530</v>
      </c>
      <c r="G156" s="45" t="s">
        <v>531</v>
      </c>
      <c r="H156" s="46" t="s">
        <v>466</v>
      </c>
      <c r="I156" s="46">
        <v>2021</v>
      </c>
      <c r="J156" s="46" t="s">
        <v>444</v>
      </c>
    </row>
    <row r="157" spans="1:10">
      <c r="A157" s="65" t="s">
        <v>520</v>
      </c>
      <c r="B157" s="66">
        <v>44618</v>
      </c>
      <c r="C157" s="65" t="s">
        <v>515</v>
      </c>
      <c r="D157" s="71">
        <v>950</v>
      </c>
      <c r="E157" s="44">
        <v>-32</v>
      </c>
      <c r="F157" s="44" t="s">
        <v>530</v>
      </c>
      <c r="G157" s="45" t="s">
        <v>532</v>
      </c>
      <c r="H157" s="46" t="s">
        <v>456</v>
      </c>
      <c r="I157" s="46">
        <v>2022</v>
      </c>
      <c r="J157" s="46" t="s">
        <v>444</v>
      </c>
    </row>
    <row r="158" spans="1:10">
      <c r="A158" s="65" t="s">
        <v>523</v>
      </c>
      <c r="B158" s="66">
        <v>44536</v>
      </c>
      <c r="C158" s="65" t="s">
        <v>515</v>
      </c>
      <c r="D158" s="71">
        <v>2222</v>
      </c>
      <c r="E158" s="44">
        <v>-114</v>
      </c>
      <c r="F158" s="44" t="s">
        <v>530</v>
      </c>
      <c r="G158" s="45" t="s">
        <v>531</v>
      </c>
      <c r="H158" s="46" t="s">
        <v>466</v>
      </c>
      <c r="I158" s="46">
        <v>2021</v>
      </c>
      <c r="J158" s="46" t="s">
        <v>444</v>
      </c>
    </row>
    <row r="159" spans="1:10">
      <c r="A159" s="65" t="s">
        <v>521</v>
      </c>
      <c r="B159" s="66">
        <v>44607</v>
      </c>
      <c r="C159" s="65" t="s">
        <v>516</v>
      </c>
      <c r="D159" s="71">
        <v>990</v>
      </c>
      <c r="E159" s="44">
        <v>-43</v>
      </c>
      <c r="F159" s="44" t="s">
        <v>530</v>
      </c>
      <c r="G159" s="45" t="s">
        <v>530</v>
      </c>
      <c r="H159" s="46" t="s">
        <v>456</v>
      </c>
      <c r="I159" s="46">
        <v>2022</v>
      </c>
      <c r="J159" s="46" t="s">
        <v>442</v>
      </c>
    </row>
    <row r="160" spans="1:10">
      <c r="A160" s="65" t="s">
        <v>527</v>
      </c>
      <c r="B160" s="66">
        <v>44703</v>
      </c>
      <c r="C160" s="65" t="s">
        <v>517</v>
      </c>
      <c r="D160" s="71">
        <v>1845</v>
      </c>
      <c r="E160" s="44">
        <v>53</v>
      </c>
      <c r="F160" s="44" t="s">
        <v>531</v>
      </c>
      <c r="G160" s="45" t="s">
        <v>530</v>
      </c>
      <c r="H160" s="46" t="s">
        <v>459</v>
      </c>
      <c r="I160" s="46">
        <v>2022</v>
      </c>
      <c r="J160" s="46" t="s">
        <v>445</v>
      </c>
    </row>
    <row r="161" spans="1:10">
      <c r="A161" s="65" t="s">
        <v>522</v>
      </c>
      <c r="B161" s="66">
        <v>44560</v>
      </c>
      <c r="C161" s="65" t="s">
        <v>449</v>
      </c>
      <c r="D161" s="71">
        <v>269</v>
      </c>
      <c r="E161" s="44">
        <v>-90</v>
      </c>
      <c r="F161" s="44" t="s">
        <v>530</v>
      </c>
      <c r="G161" s="45" t="s">
        <v>531</v>
      </c>
      <c r="H161" s="46" t="s">
        <v>466</v>
      </c>
      <c r="I161" s="46">
        <v>2021</v>
      </c>
      <c r="J161" s="46" t="s">
        <v>444</v>
      </c>
    </row>
    <row r="162" spans="1:10">
      <c r="A162" s="65" t="s">
        <v>519</v>
      </c>
      <c r="B162" s="66">
        <v>44683</v>
      </c>
      <c r="C162" s="65" t="s">
        <v>517</v>
      </c>
      <c r="D162" s="71">
        <v>678</v>
      </c>
      <c r="E162" s="44">
        <v>33</v>
      </c>
      <c r="F162" s="44" t="s">
        <v>532</v>
      </c>
      <c r="G162" s="45" t="s">
        <v>530</v>
      </c>
      <c r="H162" s="46" t="s">
        <v>459</v>
      </c>
      <c r="I162" s="46">
        <v>2022</v>
      </c>
      <c r="J162" s="46" t="s">
        <v>445</v>
      </c>
    </row>
    <row r="163" spans="1:10">
      <c r="A163" s="65" t="s">
        <v>525</v>
      </c>
      <c r="B163" s="66">
        <v>44630</v>
      </c>
      <c r="C163" s="65" t="s">
        <v>515</v>
      </c>
      <c r="D163" s="71">
        <v>1530</v>
      </c>
      <c r="E163" s="44">
        <v>-20</v>
      </c>
      <c r="F163" s="44" t="s">
        <v>530</v>
      </c>
      <c r="G163" s="45" t="s">
        <v>509</v>
      </c>
      <c r="H163" s="46" t="s">
        <v>457</v>
      </c>
      <c r="I163" s="46">
        <v>2022</v>
      </c>
      <c r="J163" s="46" t="s">
        <v>444</v>
      </c>
    </row>
    <row r="164" spans="1:10">
      <c r="A164" s="65" t="s">
        <v>524</v>
      </c>
      <c r="B164" s="66">
        <v>44574</v>
      </c>
      <c r="C164" s="65" t="s">
        <v>449</v>
      </c>
      <c r="D164" s="71">
        <v>1948</v>
      </c>
      <c r="E164" s="44">
        <v>-76</v>
      </c>
      <c r="F164" s="44" t="s">
        <v>530</v>
      </c>
      <c r="G164" s="45" t="s">
        <v>531</v>
      </c>
      <c r="H164" s="46" t="s">
        <v>455</v>
      </c>
      <c r="I164" s="46">
        <v>2022</v>
      </c>
      <c r="J164" s="46" t="s">
        <v>444</v>
      </c>
    </row>
    <row r="165" spans="1:10">
      <c r="A165" s="65" t="s">
        <v>519</v>
      </c>
      <c r="B165" s="66">
        <v>44611</v>
      </c>
      <c r="C165" s="65" t="s">
        <v>517</v>
      </c>
      <c r="D165" s="71">
        <v>1052</v>
      </c>
      <c r="E165" s="44">
        <v>-39</v>
      </c>
      <c r="F165" s="44" t="s">
        <v>530</v>
      </c>
      <c r="G165" s="45" t="s">
        <v>532</v>
      </c>
      <c r="H165" s="46" t="s">
        <v>456</v>
      </c>
      <c r="I165" s="46">
        <v>2022</v>
      </c>
      <c r="J165" s="46" t="s">
        <v>445</v>
      </c>
    </row>
    <row r="166" spans="1:10">
      <c r="A166" s="65" t="s">
        <v>519</v>
      </c>
      <c r="B166" s="66">
        <v>44632</v>
      </c>
      <c r="C166" s="65" t="s">
        <v>515</v>
      </c>
      <c r="D166" s="71">
        <v>563</v>
      </c>
      <c r="E166" s="44">
        <v>-18</v>
      </c>
      <c r="F166" s="44" t="s">
        <v>530</v>
      </c>
      <c r="G166" s="45" t="s">
        <v>509</v>
      </c>
      <c r="H166" s="46" t="s">
        <v>457</v>
      </c>
      <c r="I166" s="46">
        <v>2022</v>
      </c>
      <c r="J166" s="46" t="s">
        <v>444</v>
      </c>
    </row>
    <row r="167" spans="1:10">
      <c r="A167" s="65" t="s">
        <v>524</v>
      </c>
      <c r="B167" s="66">
        <v>44677</v>
      </c>
      <c r="C167" s="65" t="s">
        <v>515</v>
      </c>
      <c r="D167" s="71">
        <v>900</v>
      </c>
      <c r="E167" s="44">
        <v>27</v>
      </c>
      <c r="F167" s="44" t="s">
        <v>509</v>
      </c>
      <c r="G167" s="45" t="s">
        <v>530</v>
      </c>
      <c r="H167" s="46" t="s">
        <v>458</v>
      </c>
      <c r="I167" s="46">
        <v>2022</v>
      </c>
      <c r="J167" s="46" t="s">
        <v>443</v>
      </c>
    </row>
    <row r="168" spans="1:10">
      <c r="A168" s="65" t="s">
        <v>518</v>
      </c>
      <c r="B168" s="66">
        <v>44704</v>
      </c>
      <c r="C168" s="65" t="s">
        <v>517</v>
      </c>
      <c r="D168" s="71">
        <v>2526</v>
      </c>
      <c r="E168" s="44">
        <v>54</v>
      </c>
      <c r="F168" s="44" t="s">
        <v>531</v>
      </c>
      <c r="G168" s="45" t="s">
        <v>530</v>
      </c>
      <c r="H168" s="46" t="s">
        <v>459</v>
      </c>
      <c r="I168" s="46">
        <v>2022</v>
      </c>
      <c r="J168" s="46" t="s">
        <v>445</v>
      </c>
    </row>
    <row r="169" spans="1:10">
      <c r="A169" s="65" t="s">
        <v>518</v>
      </c>
      <c r="B169" s="66">
        <v>44598</v>
      </c>
      <c r="C169" s="65" t="s">
        <v>449</v>
      </c>
      <c r="D169" s="71">
        <v>2303</v>
      </c>
      <c r="E169" s="44">
        <v>-52</v>
      </c>
      <c r="F169" s="44" t="s">
        <v>530</v>
      </c>
      <c r="G169" s="45" t="s">
        <v>531</v>
      </c>
      <c r="H169" s="46" t="s">
        <v>456</v>
      </c>
      <c r="I169" s="46">
        <v>2022</v>
      </c>
      <c r="J169" s="46" t="s">
        <v>444</v>
      </c>
    </row>
    <row r="170" spans="1:10">
      <c r="A170" s="65" t="s">
        <v>519</v>
      </c>
      <c r="B170" s="66">
        <v>44596</v>
      </c>
      <c r="C170" s="65" t="s">
        <v>516</v>
      </c>
      <c r="D170" s="71">
        <v>735</v>
      </c>
      <c r="E170" s="44">
        <v>-54</v>
      </c>
      <c r="F170" s="44" t="s">
        <v>530</v>
      </c>
      <c r="G170" s="45" t="s">
        <v>530</v>
      </c>
      <c r="H170" s="46" t="s">
        <v>456</v>
      </c>
      <c r="I170" s="46">
        <v>2022</v>
      </c>
      <c r="J170" s="46" t="s">
        <v>442</v>
      </c>
    </row>
    <row r="171" spans="1:10">
      <c r="A171" s="65" t="s">
        <v>527</v>
      </c>
      <c r="B171" s="66">
        <v>44610</v>
      </c>
      <c r="C171" s="65" t="s">
        <v>515</v>
      </c>
      <c r="D171" s="71">
        <v>1188</v>
      </c>
      <c r="E171" s="44">
        <v>-40</v>
      </c>
      <c r="F171" s="44" t="s">
        <v>530</v>
      </c>
      <c r="G171" s="45" t="s">
        <v>532</v>
      </c>
      <c r="H171" s="46" t="s">
        <v>456</v>
      </c>
      <c r="I171" s="46">
        <v>2022</v>
      </c>
      <c r="J171" s="46" t="s">
        <v>444</v>
      </c>
    </row>
    <row r="172" spans="1:10">
      <c r="A172" s="65" t="s">
        <v>525</v>
      </c>
      <c r="B172" s="66">
        <v>44625</v>
      </c>
      <c r="C172" s="65" t="s">
        <v>517</v>
      </c>
      <c r="D172" s="71">
        <v>729</v>
      </c>
      <c r="E172" s="44">
        <v>-25</v>
      </c>
      <c r="F172" s="44" t="s">
        <v>530</v>
      </c>
      <c r="G172" s="45" t="s">
        <v>509</v>
      </c>
      <c r="H172" s="46" t="s">
        <v>457</v>
      </c>
      <c r="I172" s="46">
        <v>2022</v>
      </c>
      <c r="J172" s="46" t="s">
        <v>445</v>
      </c>
    </row>
    <row r="173" spans="1:10">
      <c r="A173" s="65" t="s">
        <v>520</v>
      </c>
      <c r="B173" s="66">
        <v>44559</v>
      </c>
      <c r="C173" s="65" t="s">
        <v>515</v>
      </c>
      <c r="D173" s="71">
        <v>2460</v>
      </c>
      <c r="E173" s="44">
        <v>-91</v>
      </c>
      <c r="F173" s="44" t="s">
        <v>530</v>
      </c>
      <c r="G173" s="45" t="s">
        <v>531</v>
      </c>
      <c r="H173" s="46" t="s">
        <v>466</v>
      </c>
      <c r="I173" s="46">
        <v>2021</v>
      </c>
      <c r="J173" s="46" t="s">
        <v>444</v>
      </c>
    </row>
    <row r="174" spans="1:10">
      <c r="A174" s="65" t="s">
        <v>525</v>
      </c>
      <c r="B174" s="66">
        <v>44547</v>
      </c>
      <c r="C174" s="65" t="s">
        <v>517</v>
      </c>
      <c r="D174" s="71">
        <v>323</v>
      </c>
      <c r="E174" s="44">
        <v>-103</v>
      </c>
      <c r="F174" s="44" t="s">
        <v>530</v>
      </c>
      <c r="G174" s="45" t="s">
        <v>531</v>
      </c>
      <c r="H174" s="46" t="s">
        <v>466</v>
      </c>
      <c r="I174" s="46">
        <v>2021</v>
      </c>
      <c r="J174" s="46" t="s">
        <v>445</v>
      </c>
    </row>
    <row r="175" spans="1:10">
      <c r="A175" s="65" t="s">
        <v>526</v>
      </c>
      <c r="B175" s="66">
        <v>44538</v>
      </c>
      <c r="C175" s="65" t="s">
        <v>515</v>
      </c>
      <c r="D175" s="71">
        <v>755</v>
      </c>
      <c r="E175" s="44">
        <v>-112</v>
      </c>
      <c r="F175" s="44" t="s">
        <v>530</v>
      </c>
      <c r="G175" s="45" t="s">
        <v>531</v>
      </c>
      <c r="H175" s="46" t="s">
        <v>466</v>
      </c>
      <c r="I175" s="46">
        <v>2021</v>
      </c>
      <c r="J175" s="46" t="s">
        <v>444</v>
      </c>
    </row>
    <row r="176" spans="1:10">
      <c r="A176" s="65" t="s">
        <v>527</v>
      </c>
      <c r="B176" s="66">
        <v>44550</v>
      </c>
      <c r="C176" s="65" t="s">
        <v>517</v>
      </c>
      <c r="D176" s="71">
        <v>2541</v>
      </c>
      <c r="E176" s="44">
        <v>-100</v>
      </c>
      <c r="F176" s="44" t="s">
        <v>530</v>
      </c>
      <c r="G176" s="45" t="s">
        <v>531</v>
      </c>
      <c r="H176" s="46" t="s">
        <v>466</v>
      </c>
      <c r="I176" s="46">
        <v>2021</v>
      </c>
      <c r="J176" s="46" t="s">
        <v>445</v>
      </c>
    </row>
    <row r="177" spans="1:10">
      <c r="A177" s="65" t="s">
        <v>519</v>
      </c>
      <c r="B177" s="66">
        <v>44697</v>
      </c>
      <c r="C177" s="65" t="s">
        <v>517</v>
      </c>
      <c r="D177" s="71">
        <v>1214</v>
      </c>
      <c r="E177" s="44">
        <v>47</v>
      </c>
      <c r="F177" s="44" t="s">
        <v>531</v>
      </c>
      <c r="G177" s="45" t="s">
        <v>530</v>
      </c>
      <c r="H177" s="46" t="s">
        <v>459</v>
      </c>
      <c r="I177" s="46">
        <v>2022</v>
      </c>
      <c r="J177" s="46" t="s">
        <v>445</v>
      </c>
    </row>
    <row r="178" spans="1:10">
      <c r="A178" s="65" t="s">
        <v>519</v>
      </c>
      <c r="B178" s="66">
        <v>44654</v>
      </c>
      <c r="C178" s="65" t="s">
        <v>516</v>
      </c>
      <c r="D178" s="71">
        <v>1689</v>
      </c>
      <c r="E178" s="44">
        <v>4</v>
      </c>
      <c r="F178" s="44" t="s">
        <v>508</v>
      </c>
      <c r="G178" s="45" t="s">
        <v>530</v>
      </c>
      <c r="H178" s="46" t="s">
        <v>458</v>
      </c>
      <c r="I178" s="46">
        <v>2022</v>
      </c>
      <c r="J178" s="46" t="s">
        <v>443</v>
      </c>
    </row>
    <row r="179" spans="1:10">
      <c r="A179" s="65" t="s">
        <v>520</v>
      </c>
      <c r="B179" s="66">
        <v>44567</v>
      </c>
      <c r="C179" s="65" t="s">
        <v>517</v>
      </c>
      <c r="D179" s="71">
        <v>1119</v>
      </c>
      <c r="E179" s="44">
        <v>-83</v>
      </c>
      <c r="F179" s="44" t="s">
        <v>530</v>
      </c>
      <c r="G179" s="45" t="s">
        <v>531</v>
      </c>
      <c r="H179" s="46" t="s">
        <v>455</v>
      </c>
      <c r="I179" s="46">
        <v>2022</v>
      </c>
      <c r="J179" s="46" t="s">
        <v>445</v>
      </c>
    </row>
    <row r="180" spans="1:10">
      <c r="A180" s="65" t="s">
        <v>521</v>
      </c>
      <c r="B180" s="66">
        <v>44655</v>
      </c>
      <c r="C180" s="65" t="s">
        <v>515</v>
      </c>
      <c r="D180" s="71">
        <v>1254</v>
      </c>
      <c r="E180" s="44">
        <v>5</v>
      </c>
      <c r="F180" s="44" t="s">
        <v>508</v>
      </c>
      <c r="G180" s="45" t="s">
        <v>530</v>
      </c>
      <c r="H180" s="46" t="s">
        <v>458</v>
      </c>
      <c r="I180" s="46">
        <v>2022</v>
      </c>
      <c r="J180" s="46" t="s">
        <v>443</v>
      </c>
    </row>
    <row r="181" spans="1:10">
      <c r="A181" s="65" t="s">
        <v>525</v>
      </c>
      <c r="B181" s="66">
        <v>44663</v>
      </c>
      <c r="C181" s="65" t="s">
        <v>516</v>
      </c>
      <c r="D181" s="71">
        <v>765</v>
      </c>
      <c r="E181" s="44">
        <v>13</v>
      </c>
      <c r="F181" s="44" t="s">
        <v>530</v>
      </c>
      <c r="G181" s="45" t="s">
        <v>530</v>
      </c>
      <c r="H181" s="46" t="s">
        <v>458</v>
      </c>
      <c r="I181" s="46">
        <v>2022</v>
      </c>
      <c r="J181" s="46" t="s">
        <v>442</v>
      </c>
    </row>
    <row r="182" spans="1:10">
      <c r="A182" s="65" t="s">
        <v>526</v>
      </c>
      <c r="B182" s="66">
        <v>44682</v>
      </c>
      <c r="C182" s="65" t="s">
        <v>517</v>
      </c>
      <c r="D182" s="71">
        <v>2018</v>
      </c>
      <c r="E182" s="44">
        <v>32</v>
      </c>
      <c r="F182" s="44" t="s">
        <v>532</v>
      </c>
      <c r="G182" s="45" t="s">
        <v>530</v>
      </c>
      <c r="H182" s="46" t="s">
        <v>459</v>
      </c>
      <c r="I182" s="46">
        <v>2022</v>
      </c>
      <c r="J182" s="46" t="s">
        <v>445</v>
      </c>
    </row>
    <row r="183" spans="1:10">
      <c r="A183" s="65" t="s">
        <v>525</v>
      </c>
      <c r="B183" s="66">
        <v>44657</v>
      </c>
      <c r="C183" s="65" t="s">
        <v>517</v>
      </c>
      <c r="D183" s="71">
        <v>2686</v>
      </c>
      <c r="E183" s="44">
        <v>7</v>
      </c>
      <c r="F183" s="44" t="s">
        <v>508</v>
      </c>
      <c r="G183" s="45" t="s">
        <v>530</v>
      </c>
      <c r="H183" s="46" t="s">
        <v>458</v>
      </c>
      <c r="I183" s="46">
        <v>2022</v>
      </c>
      <c r="J183" s="46" t="s">
        <v>445</v>
      </c>
    </row>
    <row r="184" spans="1:10">
      <c r="A184" s="65" t="s">
        <v>520</v>
      </c>
      <c r="B184" s="66">
        <v>44669</v>
      </c>
      <c r="C184" s="65" t="s">
        <v>515</v>
      </c>
      <c r="D184" s="71">
        <v>1833</v>
      </c>
      <c r="E184" s="44">
        <v>19</v>
      </c>
      <c r="F184" s="44" t="s">
        <v>509</v>
      </c>
      <c r="G184" s="45" t="s">
        <v>530</v>
      </c>
      <c r="H184" s="46" t="s">
        <v>458</v>
      </c>
      <c r="I184" s="46">
        <v>2022</v>
      </c>
      <c r="J184" s="46" t="s">
        <v>443</v>
      </c>
    </row>
    <row r="185" spans="1:10">
      <c r="A185" s="65" t="s">
        <v>521</v>
      </c>
      <c r="B185" s="66">
        <v>44696</v>
      </c>
      <c r="C185" s="65" t="s">
        <v>449</v>
      </c>
      <c r="D185" s="71">
        <v>2371</v>
      </c>
      <c r="E185" s="44">
        <v>46</v>
      </c>
      <c r="F185" s="44" t="s">
        <v>531</v>
      </c>
      <c r="G185" s="45" t="s">
        <v>530</v>
      </c>
      <c r="H185" s="46" t="s">
        <v>459</v>
      </c>
      <c r="I185" s="46">
        <v>2022</v>
      </c>
      <c r="J185" s="46" t="s">
        <v>443</v>
      </c>
    </row>
    <row r="186" spans="1:10">
      <c r="A186" s="65" t="s">
        <v>523</v>
      </c>
      <c r="B186" s="66">
        <v>44596</v>
      </c>
      <c r="C186" s="65" t="s">
        <v>517</v>
      </c>
      <c r="D186" s="71">
        <v>560</v>
      </c>
      <c r="E186" s="44">
        <v>-54</v>
      </c>
      <c r="F186" s="44" t="s">
        <v>530</v>
      </c>
      <c r="G186" s="45" t="s">
        <v>531</v>
      </c>
      <c r="H186" s="46" t="s">
        <v>456</v>
      </c>
      <c r="I186" s="46">
        <v>2022</v>
      </c>
      <c r="J186" s="46" t="s">
        <v>445</v>
      </c>
    </row>
    <row r="187" spans="1:10">
      <c r="A187" s="65" t="s">
        <v>526</v>
      </c>
      <c r="B187" s="66">
        <v>44588</v>
      </c>
      <c r="C187" s="65" t="s">
        <v>516</v>
      </c>
      <c r="D187" s="71">
        <v>304</v>
      </c>
      <c r="E187" s="44">
        <v>-62</v>
      </c>
      <c r="F187" s="44" t="s">
        <v>530</v>
      </c>
      <c r="G187" s="45" t="s">
        <v>530</v>
      </c>
      <c r="H187" s="46" t="s">
        <v>455</v>
      </c>
      <c r="I187" s="46">
        <v>2022</v>
      </c>
      <c r="J187" s="46" t="s">
        <v>442</v>
      </c>
    </row>
    <row r="188" spans="1:10">
      <c r="A188" s="65" t="s">
        <v>523</v>
      </c>
      <c r="B188" s="66">
        <v>44699</v>
      </c>
      <c r="C188" s="65" t="s">
        <v>449</v>
      </c>
      <c r="D188" s="71">
        <v>2154</v>
      </c>
      <c r="E188" s="44">
        <v>49</v>
      </c>
      <c r="F188" s="44" t="s">
        <v>531</v>
      </c>
      <c r="G188" s="45" t="s">
        <v>530</v>
      </c>
      <c r="H188" s="46" t="s">
        <v>459</v>
      </c>
      <c r="I188" s="46">
        <v>2022</v>
      </c>
      <c r="J188" s="46" t="s">
        <v>443</v>
      </c>
    </row>
    <row r="189" spans="1:10">
      <c r="A189" s="65" t="s">
        <v>520</v>
      </c>
      <c r="B189" s="66">
        <v>44569</v>
      </c>
      <c r="C189" s="65" t="s">
        <v>517</v>
      </c>
      <c r="D189" s="71">
        <v>2058</v>
      </c>
      <c r="E189" s="44">
        <v>-81</v>
      </c>
      <c r="F189" s="44" t="s">
        <v>530</v>
      </c>
      <c r="G189" s="45" t="s">
        <v>531</v>
      </c>
      <c r="H189" s="46" t="s">
        <v>455</v>
      </c>
      <c r="I189" s="46">
        <v>2022</v>
      </c>
      <c r="J189" s="46" t="s">
        <v>445</v>
      </c>
    </row>
    <row r="190" spans="1:10">
      <c r="A190" s="65" t="s">
        <v>525</v>
      </c>
      <c r="B190" s="66">
        <v>44626</v>
      </c>
      <c r="C190" s="65" t="s">
        <v>516</v>
      </c>
      <c r="D190" s="71">
        <v>2397</v>
      </c>
      <c r="E190" s="44">
        <v>-24</v>
      </c>
      <c r="F190" s="44" t="s">
        <v>530</v>
      </c>
      <c r="G190" s="45" t="s">
        <v>530</v>
      </c>
      <c r="H190" s="46" t="s">
        <v>457</v>
      </c>
      <c r="I190" s="46">
        <v>2022</v>
      </c>
      <c r="J190" s="46" t="s">
        <v>442</v>
      </c>
    </row>
    <row r="191" spans="1:10">
      <c r="A191" s="65" t="s">
        <v>521</v>
      </c>
      <c r="B191" s="66">
        <v>44557</v>
      </c>
      <c r="C191" s="65" t="s">
        <v>515</v>
      </c>
      <c r="D191" s="71">
        <v>2203</v>
      </c>
      <c r="E191" s="44">
        <v>-93</v>
      </c>
      <c r="F191" s="44" t="s">
        <v>530</v>
      </c>
      <c r="G191" s="45" t="s">
        <v>531</v>
      </c>
      <c r="H191" s="46" t="s">
        <v>466</v>
      </c>
      <c r="I191" s="46">
        <v>2021</v>
      </c>
      <c r="J191" s="46" t="s">
        <v>444</v>
      </c>
    </row>
    <row r="192" spans="1:10">
      <c r="A192" s="65" t="s">
        <v>522</v>
      </c>
      <c r="B192" s="66">
        <v>44578</v>
      </c>
      <c r="C192" s="65" t="s">
        <v>516</v>
      </c>
      <c r="D192" s="71">
        <v>1217</v>
      </c>
      <c r="E192" s="44">
        <v>-72</v>
      </c>
      <c r="F192" s="44" t="s">
        <v>530</v>
      </c>
      <c r="G192" s="45" t="s">
        <v>530</v>
      </c>
      <c r="H192" s="46" t="s">
        <v>455</v>
      </c>
      <c r="I192" s="46">
        <v>2022</v>
      </c>
      <c r="J192" s="46" t="s">
        <v>442</v>
      </c>
    </row>
    <row r="193" spans="1:10">
      <c r="A193" s="65" t="s">
        <v>524</v>
      </c>
      <c r="B193" s="66">
        <v>44557</v>
      </c>
      <c r="C193" s="65" t="s">
        <v>516</v>
      </c>
      <c r="D193" s="71">
        <v>551</v>
      </c>
      <c r="E193" s="44">
        <v>-93</v>
      </c>
      <c r="F193" s="44" t="s">
        <v>530</v>
      </c>
      <c r="G193" s="45" t="s">
        <v>530</v>
      </c>
      <c r="H193" s="46" t="s">
        <v>466</v>
      </c>
      <c r="I193" s="46">
        <v>2021</v>
      </c>
      <c r="J193" s="46" t="s">
        <v>442</v>
      </c>
    </row>
    <row r="194" spans="1:10">
      <c r="A194" s="65" t="s">
        <v>523</v>
      </c>
      <c r="B194" s="66">
        <v>44632</v>
      </c>
      <c r="C194" s="65" t="s">
        <v>449</v>
      </c>
      <c r="D194" s="71">
        <v>2361</v>
      </c>
      <c r="E194" s="44">
        <v>-18</v>
      </c>
      <c r="F194" s="44" t="s">
        <v>530</v>
      </c>
      <c r="G194" s="45" t="s">
        <v>509</v>
      </c>
      <c r="H194" s="46" t="s">
        <v>457</v>
      </c>
      <c r="I194" s="46">
        <v>2022</v>
      </c>
      <c r="J194" s="46" t="s">
        <v>444</v>
      </c>
    </row>
    <row r="195" spans="1:10">
      <c r="A195" s="65" t="s">
        <v>521</v>
      </c>
      <c r="B195" s="66">
        <v>44534</v>
      </c>
      <c r="C195" s="65" t="s">
        <v>517</v>
      </c>
      <c r="D195" s="71">
        <v>932</v>
      </c>
      <c r="E195" s="44">
        <v>-116</v>
      </c>
      <c r="F195" s="44" t="s">
        <v>530</v>
      </c>
      <c r="G195" s="45" t="s">
        <v>531</v>
      </c>
      <c r="H195" s="46" t="s">
        <v>466</v>
      </c>
      <c r="I195" s="46">
        <v>2021</v>
      </c>
      <c r="J195" s="46" t="s">
        <v>445</v>
      </c>
    </row>
    <row r="196" spans="1:10">
      <c r="A196" s="65" t="s">
        <v>526</v>
      </c>
      <c r="B196" s="66">
        <v>44683</v>
      </c>
      <c r="C196" s="65" t="s">
        <v>516</v>
      </c>
      <c r="D196" s="71">
        <v>1610</v>
      </c>
      <c r="E196" s="44">
        <v>33</v>
      </c>
      <c r="F196" s="44" t="s">
        <v>530</v>
      </c>
      <c r="G196" s="45" t="s">
        <v>530</v>
      </c>
      <c r="H196" s="46" t="s">
        <v>459</v>
      </c>
      <c r="I196" s="46">
        <v>2022</v>
      </c>
      <c r="J196" s="46" t="s">
        <v>442</v>
      </c>
    </row>
    <row r="197" spans="1:10">
      <c r="A197" s="65" t="s">
        <v>522</v>
      </c>
      <c r="B197" s="66">
        <v>44579</v>
      </c>
      <c r="C197" s="65" t="s">
        <v>449</v>
      </c>
      <c r="D197" s="71">
        <v>331</v>
      </c>
      <c r="E197" s="44">
        <v>-71</v>
      </c>
      <c r="F197" s="44" t="s">
        <v>530</v>
      </c>
      <c r="G197" s="45" t="s">
        <v>531</v>
      </c>
      <c r="H197" s="46" t="s">
        <v>455</v>
      </c>
      <c r="I197" s="46">
        <v>2022</v>
      </c>
      <c r="J197" s="46" t="s">
        <v>444</v>
      </c>
    </row>
    <row r="198" spans="1:10">
      <c r="A198" s="65" t="s">
        <v>523</v>
      </c>
      <c r="B198" s="66">
        <v>44568</v>
      </c>
      <c r="C198" s="65" t="s">
        <v>516</v>
      </c>
      <c r="D198" s="71">
        <v>1195</v>
      </c>
      <c r="E198" s="44">
        <v>-82</v>
      </c>
      <c r="F198" s="44" t="s">
        <v>530</v>
      </c>
      <c r="G198" s="45" t="s">
        <v>530</v>
      </c>
      <c r="H198" s="46" t="s">
        <v>455</v>
      </c>
      <c r="I198" s="46">
        <v>2022</v>
      </c>
      <c r="J198" s="46" t="s">
        <v>442</v>
      </c>
    </row>
    <row r="199" spans="1:10">
      <c r="A199" s="65" t="s">
        <v>527</v>
      </c>
      <c r="B199" s="66">
        <v>44536</v>
      </c>
      <c r="C199" s="65" t="s">
        <v>516</v>
      </c>
      <c r="D199" s="71">
        <v>1151</v>
      </c>
      <c r="E199" s="44">
        <v>-114</v>
      </c>
      <c r="F199" s="44" t="s">
        <v>530</v>
      </c>
      <c r="G199" s="45" t="s">
        <v>530</v>
      </c>
      <c r="H199" s="46" t="s">
        <v>466</v>
      </c>
      <c r="I199" s="46">
        <v>2021</v>
      </c>
      <c r="J199" s="46" t="s">
        <v>442</v>
      </c>
    </row>
    <row r="200" spans="1:10">
      <c r="A200" s="65" t="s">
        <v>522</v>
      </c>
      <c r="B200" s="66">
        <v>44672</v>
      </c>
      <c r="C200" s="65" t="s">
        <v>515</v>
      </c>
      <c r="D200" s="71">
        <v>2064</v>
      </c>
      <c r="E200" s="44">
        <v>22</v>
      </c>
      <c r="F200" s="44" t="s">
        <v>509</v>
      </c>
      <c r="G200" s="45" t="s">
        <v>530</v>
      </c>
      <c r="H200" s="46" t="s">
        <v>458</v>
      </c>
      <c r="I200" s="46">
        <v>2022</v>
      </c>
      <c r="J200" s="46" t="s">
        <v>443</v>
      </c>
    </row>
    <row r="201" spans="1:10">
      <c r="A201" s="65" t="s">
        <v>520</v>
      </c>
      <c r="B201" s="66">
        <v>44539</v>
      </c>
      <c r="C201" s="65" t="s">
        <v>515</v>
      </c>
      <c r="D201" s="71">
        <v>1649</v>
      </c>
      <c r="E201" s="44">
        <v>-111</v>
      </c>
      <c r="F201" s="44" t="s">
        <v>530</v>
      </c>
      <c r="G201" s="45" t="s">
        <v>531</v>
      </c>
      <c r="H201" s="46" t="s">
        <v>466</v>
      </c>
      <c r="I201" s="46">
        <v>2021</v>
      </c>
      <c r="J201" s="46" t="s">
        <v>444</v>
      </c>
    </row>
    <row r="202" spans="1:10">
      <c r="A202" s="65" t="s">
        <v>526</v>
      </c>
      <c r="B202" s="66">
        <v>44656</v>
      </c>
      <c r="C202" s="65" t="s">
        <v>516</v>
      </c>
      <c r="D202" s="71">
        <v>261</v>
      </c>
      <c r="E202" s="44">
        <v>6</v>
      </c>
      <c r="F202" s="44" t="s">
        <v>530</v>
      </c>
      <c r="G202" s="45" t="s">
        <v>530</v>
      </c>
      <c r="H202" s="46" t="s">
        <v>458</v>
      </c>
      <c r="I202" s="46">
        <v>2022</v>
      </c>
      <c r="J202" s="46" t="s">
        <v>442</v>
      </c>
    </row>
    <row r="203" spans="1:10">
      <c r="A203" s="65" t="s">
        <v>526</v>
      </c>
      <c r="B203" s="66">
        <v>44705</v>
      </c>
      <c r="C203" s="65" t="s">
        <v>515</v>
      </c>
      <c r="D203" s="71">
        <v>2008</v>
      </c>
      <c r="E203" s="44">
        <v>55</v>
      </c>
      <c r="F203" s="44" t="s">
        <v>531</v>
      </c>
      <c r="G203" s="45" t="s">
        <v>530</v>
      </c>
      <c r="H203" s="46" t="s">
        <v>459</v>
      </c>
      <c r="I203" s="46">
        <v>2022</v>
      </c>
      <c r="J203" s="46" t="s">
        <v>443</v>
      </c>
    </row>
    <row r="204" spans="1:10">
      <c r="A204" s="65" t="s">
        <v>527</v>
      </c>
      <c r="B204" s="66">
        <v>44673</v>
      </c>
      <c r="C204" s="65" t="s">
        <v>449</v>
      </c>
      <c r="D204" s="71">
        <v>1953</v>
      </c>
      <c r="E204" s="44">
        <v>23</v>
      </c>
      <c r="F204" s="44" t="s">
        <v>509</v>
      </c>
      <c r="G204" s="45" t="s">
        <v>530</v>
      </c>
      <c r="H204" s="46" t="s">
        <v>458</v>
      </c>
      <c r="I204" s="46">
        <v>2022</v>
      </c>
      <c r="J204" s="46" t="s">
        <v>443</v>
      </c>
    </row>
    <row r="205" spans="1:10">
      <c r="A205" s="65" t="s">
        <v>524</v>
      </c>
      <c r="B205" s="66">
        <v>44617</v>
      </c>
      <c r="C205" s="65" t="s">
        <v>517</v>
      </c>
      <c r="D205" s="71">
        <v>842</v>
      </c>
      <c r="E205" s="44">
        <v>-33</v>
      </c>
      <c r="F205" s="44" t="s">
        <v>530</v>
      </c>
      <c r="G205" s="45" t="s">
        <v>532</v>
      </c>
      <c r="H205" s="46" t="s">
        <v>456</v>
      </c>
      <c r="I205" s="46">
        <v>2022</v>
      </c>
      <c r="J205" s="46" t="s">
        <v>445</v>
      </c>
    </row>
    <row r="206" spans="1:10">
      <c r="A206" s="65" t="s">
        <v>527</v>
      </c>
      <c r="B206" s="66">
        <v>44622</v>
      </c>
      <c r="C206" s="65" t="s">
        <v>515</v>
      </c>
      <c r="D206" s="71">
        <v>335</v>
      </c>
      <c r="E206" s="44">
        <v>-28</v>
      </c>
      <c r="F206" s="44" t="s">
        <v>530</v>
      </c>
      <c r="G206" s="45" t="s">
        <v>509</v>
      </c>
      <c r="H206" s="46" t="s">
        <v>457</v>
      </c>
      <c r="I206" s="46">
        <v>2022</v>
      </c>
      <c r="J206" s="46" t="s">
        <v>444</v>
      </c>
    </row>
    <row r="207" spans="1:10">
      <c r="A207" s="65" t="s">
        <v>523</v>
      </c>
      <c r="B207" s="66">
        <v>44685</v>
      </c>
      <c r="C207" s="65" t="s">
        <v>516</v>
      </c>
      <c r="D207" s="71">
        <v>2327</v>
      </c>
      <c r="E207" s="44">
        <v>35</v>
      </c>
      <c r="F207" s="44" t="s">
        <v>530</v>
      </c>
      <c r="G207" s="45" t="s">
        <v>530</v>
      </c>
      <c r="H207" s="46" t="s">
        <v>459</v>
      </c>
      <c r="I207" s="46">
        <v>2022</v>
      </c>
      <c r="J207" s="46" t="s">
        <v>442</v>
      </c>
    </row>
    <row r="208" spans="1:10">
      <c r="A208" s="65" t="s">
        <v>524</v>
      </c>
      <c r="B208" s="66">
        <v>44683</v>
      </c>
      <c r="C208" s="65" t="s">
        <v>515</v>
      </c>
      <c r="D208" s="71">
        <v>2504</v>
      </c>
      <c r="E208" s="44">
        <v>33</v>
      </c>
      <c r="F208" s="44" t="s">
        <v>532</v>
      </c>
      <c r="G208" s="45" t="s">
        <v>530</v>
      </c>
      <c r="H208" s="46" t="s">
        <v>459</v>
      </c>
      <c r="I208" s="46">
        <v>2022</v>
      </c>
      <c r="J208" s="46" t="s">
        <v>443</v>
      </c>
    </row>
    <row r="209" spans="1:10">
      <c r="A209" s="65" t="s">
        <v>522</v>
      </c>
      <c r="B209" s="66">
        <v>44678</v>
      </c>
      <c r="C209" s="65" t="s">
        <v>449</v>
      </c>
      <c r="D209" s="71">
        <v>1853</v>
      </c>
      <c r="E209" s="44">
        <v>28</v>
      </c>
      <c r="F209" s="44" t="s">
        <v>509</v>
      </c>
      <c r="G209" s="45" t="s">
        <v>530</v>
      </c>
      <c r="H209" s="46" t="s">
        <v>458</v>
      </c>
      <c r="I209" s="46">
        <v>2022</v>
      </c>
      <c r="J209" s="46" t="s">
        <v>443</v>
      </c>
    </row>
    <row r="210" spans="1:10">
      <c r="A210" s="65" t="s">
        <v>524</v>
      </c>
      <c r="B210" s="66">
        <v>44646</v>
      </c>
      <c r="C210" s="65" t="s">
        <v>516</v>
      </c>
      <c r="D210" s="71">
        <v>801</v>
      </c>
      <c r="E210" s="44">
        <v>-4</v>
      </c>
      <c r="F210" s="44" t="s">
        <v>530</v>
      </c>
      <c r="G210" s="45" t="s">
        <v>530</v>
      </c>
      <c r="H210" s="46" t="s">
        <v>457</v>
      </c>
      <c r="I210" s="46">
        <v>2022</v>
      </c>
      <c r="J210" s="46" t="s">
        <v>442</v>
      </c>
    </row>
    <row r="211" spans="1:10">
      <c r="A211" s="65" t="s">
        <v>525</v>
      </c>
      <c r="B211" s="66">
        <v>44545</v>
      </c>
      <c r="C211" s="65" t="s">
        <v>517</v>
      </c>
      <c r="D211" s="71">
        <v>2519</v>
      </c>
      <c r="E211" s="44">
        <v>-105</v>
      </c>
      <c r="F211" s="44" t="s">
        <v>530</v>
      </c>
      <c r="G211" s="45" t="s">
        <v>531</v>
      </c>
      <c r="H211" s="46" t="s">
        <v>466</v>
      </c>
      <c r="I211" s="46">
        <v>2021</v>
      </c>
      <c r="J211" s="46" t="s">
        <v>445</v>
      </c>
    </row>
    <row r="212" spans="1:10">
      <c r="A212" s="65" t="s">
        <v>523</v>
      </c>
      <c r="B212" s="66">
        <v>44655</v>
      </c>
      <c r="C212" s="65" t="s">
        <v>517</v>
      </c>
      <c r="D212" s="71">
        <v>1759</v>
      </c>
      <c r="E212" s="44">
        <v>5</v>
      </c>
      <c r="F212" s="44" t="s">
        <v>508</v>
      </c>
      <c r="G212" s="45" t="s">
        <v>530</v>
      </c>
      <c r="H212" s="46" t="s">
        <v>458</v>
      </c>
      <c r="I212" s="46">
        <v>2022</v>
      </c>
      <c r="J212" s="46" t="s">
        <v>445</v>
      </c>
    </row>
    <row r="213" spans="1:10">
      <c r="A213" s="65" t="s">
        <v>521</v>
      </c>
      <c r="B213" s="66">
        <v>44575</v>
      </c>
      <c r="C213" s="65" t="s">
        <v>516</v>
      </c>
      <c r="D213" s="71">
        <v>1594</v>
      </c>
      <c r="E213" s="44">
        <v>-75</v>
      </c>
      <c r="F213" s="44" t="s">
        <v>530</v>
      </c>
      <c r="G213" s="45" t="s">
        <v>530</v>
      </c>
      <c r="H213" s="46" t="s">
        <v>455</v>
      </c>
      <c r="I213" s="46">
        <v>2022</v>
      </c>
      <c r="J213" s="46" t="s">
        <v>442</v>
      </c>
    </row>
    <row r="214" spans="1:10">
      <c r="A214" s="65" t="s">
        <v>521</v>
      </c>
      <c r="B214" s="66">
        <v>44596</v>
      </c>
      <c r="C214" s="65" t="s">
        <v>517</v>
      </c>
      <c r="D214" s="71">
        <v>1860</v>
      </c>
      <c r="E214" s="44">
        <v>-54</v>
      </c>
      <c r="F214" s="44" t="s">
        <v>530</v>
      </c>
      <c r="G214" s="45" t="s">
        <v>531</v>
      </c>
      <c r="H214" s="46" t="s">
        <v>456</v>
      </c>
      <c r="I214" s="46">
        <v>2022</v>
      </c>
      <c r="J214" s="46" t="s">
        <v>445</v>
      </c>
    </row>
    <row r="215" spans="1:10">
      <c r="A215" s="65" t="s">
        <v>523</v>
      </c>
      <c r="B215" s="66">
        <v>44693</v>
      </c>
      <c r="C215" s="65" t="s">
        <v>517</v>
      </c>
      <c r="D215" s="71">
        <v>2547</v>
      </c>
      <c r="E215" s="44">
        <v>43</v>
      </c>
      <c r="F215" s="44" t="s">
        <v>532</v>
      </c>
      <c r="G215" s="45" t="s">
        <v>530</v>
      </c>
      <c r="H215" s="46" t="s">
        <v>459</v>
      </c>
      <c r="I215" s="46">
        <v>2022</v>
      </c>
      <c r="J215" s="46" t="s">
        <v>445</v>
      </c>
    </row>
    <row r="216" spans="1:10">
      <c r="A216" s="65" t="s">
        <v>526</v>
      </c>
      <c r="B216" s="66">
        <v>44697</v>
      </c>
      <c r="C216" s="65" t="s">
        <v>449</v>
      </c>
      <c r="D216" s="71">
        <v>1060</v>
      </c>
      <c r="E216" s="44">
        <v>47</v>
      </c>
      <c r="F216" s="44" t="s">
        <v>531</v>
      </c>
      <c r="G216" s="45" t="s">
        <v>530</v>
      </c>
      <c r="H216" s="46" t="s">
        <v>459</v>
      </c>
      <c r="I216" s="46">
        <v>2022</v>
      </c>
      <c r="J216" s="46" t="s">
        <v>443</v>
      </c>
    </row>
    <row r="217" spans="1:10">
      <c r="A217" s="65" t="s">
        <v>518</v>
      </c>
      <c r="B217" s="66">
        <v>44576</v>
      </c>
      <c r="C217" s="65" t="s">
        <v>516</v>
      </c>
      <c r="D217" s="71">
        <v>576</v>
      </c>
      <c r="E217" s="44">
        <v>-74</v>
      </c>
      <c r="F217" s="44" t="s">
        <v>530</v>
      </c>
      <c r="G217" s="45" t="s">
        <v>530</v>
      </c>
      <c r="H217" s="46" t="s">
        <v>455</v>
      </c>
      <c r="I217" s="46">
        <v>2022</v>
      </c>
      <c r="J217" s="46" t="s">
        <v>442</v>
      </c>
    </row>
    <row r="218" spans="1:10">
      <c r="A218" s="65" t="s">
        <v>519</v>
      </c>
      <c r="B218" s="66">
        <v>44627</v>
      </c>
      <c r="C218" s="65" t="s">
        <v>516</v>
      </c>
      <c r="D218" s="71">
        <v>2289</v>
      </c>
      <c r="E218" s="44">
        <v>-23</v>
      </c>
      <c r="F218" s="44" t="s">
        <v>530</v>
      </c>
      <c r="G218" s="45" t="s">
        <v>509</v>
      </c>
      <c r="H218" s="46" t="s">
        <v>457</v>
      </c>
      <c r="I218" s="46">
        <v>2022</v>
      </c>
      <c r="J218" s="46" t="s">
        <v>444</v>
      </c>
    </row>
    <row r="219" spans="1:10">
      <c r="A219" s="65" t="s">
        <v>526</v>
      </c>
      <c r="B219" s="66">
        <v>44686</v>
      </c>
      <c r="C219" s="65" t="s">
        <v>517</v>
      </c>
      <c r="D219" s="71">
        <v>352</v>
      </c>
      <c r="E219" s="44">
        <v>36</v>
      </c>
      <c r="F219" s="44" t="s">
        <v>532</v>
      </c>
      <c r="G219" s="45" t="s">
        <v>530</v>
      </c>
      <c r="H219" s="46" t="s">
        <v>459</v>
      </c>
      <c r="I219" s="46">
        <v>2022</v>
      </c>
      <c r="J219" s="46" t="s">
        <v>445</v>
      </c>
    </row>
    <row r="220" spans="1:10">
      <c r="A220" s="65" t="s">
        <v>526</v>
      </c>
      <c r="B220" s="66">
        <v>44710</v>
      </c>
      <c r="C220" s="65" t="s">
        <v>515</v>
      </c>
      <c r="D220" s="71">
        <v>1610</v>
      </c>
      <c r="E220" s="44">
        <v>60</v>
      </c>
      <c r="F220" s="44" t="s">
        <v>531</v>
      </c>
      <c r="G220" s="45" t="s">
        <v>530</v>
      </c>
      <c r="H220" s="46" t="s">
        <v>459</v>
      </c>
      <c r="I220" s="46">
        <v>2022</v>
      </c>
      <c r="J220" s="46" t="s">
        <v>443</v>
      </c>
    </row>
    <row r="221" spans="1:10">
      <c r="A221" s="65" t="s">
        <v>524</v>
      </c>
      <c r="B221" s="66">
        <v>44697</v>
      </c>
      <c r="C221" s="65" t="s">
        <v>517</v>
      </c>
      <c r="D221" s="71">
        <v>1858</v>
      </c>
      <c r="E221" s="44">
        <v>47</v>
      </c>
      <c r="F221" s="44" t="s">
        <v>531</v>
      </c>
      <c r="G221" s="45" t="s">
        <v>530</v>
      </c>
      <c r="H221" s="46" t="s">
        <v>459</v>
      </c>
      <c r="I221" s="46">
        <v>2022</v>
      </c>
      <c r="J221" s="46" t="s">
        <v>445</v>
      </c>
    </row>
    <row r="222" spans="1:10">
      <c r="A222" s="65" t="s">
        <v>520</v>
      </c>
      <c r="B222" s="66">
        <v>44642</v>
      </c>
      <c r="C222" s="65" t="s">
        <v>517</v>
      </c>
      <c r="D222" s="71">
        <v>2158</v>
      </c>
      <c r="E222" s="44">
        <v>-8</v>
      </c>
      <c r="F222" s="44" t="s">
        <v>530</v>
      </c>
      <c r="G222" s="45" t="s">
        <v>508</v>
      </c>
      <c r="H222" s="46" t="s">
        <v>457</v>
      </c>
      <c r="I222" s="46">
        <v>2022</v>
      </c>
      <c r="J222" s="46" t="s">
        <v>445</v>
      </c>
    </row>
    <row r="223" spans="1:10">
      <c r="A223" s="65" t="s">
        <v>519</v>
      </c>
      <c r="B223" s="66">
        <v>44641</v>
      </c>
      <c r="C223" s="65" t="s">
        <v>516</v>
      </c>
      <c r="D223" s="71">
        <v>2591</v>
      </c>
      <c r="E223" s="44">
        <v>-9</v>
      </c>
      <c r="F223" s="44" t="s">
        <v>530</v>
      </c>
      <c r="G223" s="45" t="s">
        <v>508</v>
      </c>
      <c r="H223" s="46" t="s">
        <v>457</v>
      </c>
      <c r="I223" s="46">
        <v>2022</v>
      </c>
      <c r="J223" s="46" t="s">
        <v>444</v>
      </c>
    </row>
    <row r="224" spans="1:10">
      <c r="A224" s="65" t="s">
        <v>522</v>
      </c>
      <c r="B224" s="66">
        <v>44553</v>
      </c>
      <c r="C224" s="65" t="s">
        <v>517</v>
      </c>
      <c r="D224" s="71">
        <v>2390</v>
      </c>
      <c r="E224" s="44">
        <v>-97</v>
      </c>
      <c r="F224" s="44" t="s">
        <v>530</v>
      </c>
      <c r="G224" s="45" t="s">
        <v>531</v>
      </c>
      <c r="H224" s="46" t="s">
        <v>466</v>
      </c>
      <c r="I224" s="46">
        <v>2021</v>
      </c>
      <c r="J224" s="46" t="s">
        <v>445</v>
      </c>
    </row>
    <row r="225" spans="1:12">
      <c r="A225" s="65" t="s">
        <v>527</v>
      </c>
      <c r="B225" s="66">
        <v>44590</v>
      </c>
      <c r="C225" s="65" t="s">
        <v>516</v>
      </c>
      <c r="D225" s="71">
        <v>1718</v>
      </c>
      <c r="E225" s="44">
        <v>-60</v>
      </c>
      <c r="F225" s="44" t="s">
        <v>530</v>
      </c>
      <c r="G225" s="45" t="s">
        <v>530</v>
      </c>
      <c r="H225" s="46" t="s">
        <v>455</v>
      </c>
      <c r="I225" s="46">
        <v>2022</v>
      </c>
      <c r="J225" s="46" t="s">
        <v>442</v>
      </c>
    </row>
    <row r="226" spans="1:12">
      <c r="A226" s="65" t="s">
        <v>526</v>
      </c>
      <c r="B226" s="66">
        <v>44537</v>
      </c>
      <c r="C226" s="65" t="s">
        <v>517</v>
      </c>
      <c r="D226" s="71">
        <v>2274</v>
      </c>
      <c r="E226" s="44">
        <v>-113</v>
      </c>
      <c r="F226" s="44" t="s">
        <v>530</v>
      </c>
      <c r="G226" s="45" t="s">
        <v>531</v>
      </c>
      <c r="H226" s="46" t="s">
        <v>466</v>
      </c>
      <c r="I226" s="46">
        <v>2021</v>
      </c>
      <c r="J226" s="46" t="s">
        <v>445</v>
      </c>
    </row>
    <row r="227" spans="1:12">
      <c r="A227" s="65" t="s">
        <v>525</v>
      </c>
      <c r="B227" s="66">
        <v>44656</v>
      </c>
      <c r="C227" s="65" t="s">
        <v>515</v>
      </c>
      <c r="D227" s="71">
        <v>337</v>
      </c>
      <c r="E227" s="44">
        <v>6</v>
      </c>
      <c r="F227" s="44" t="s">
        <v>508</v>
      </c>
      <c r="G227" s="45" t="s">
        <v>530</v>
      </c>
      <c r="H227" s="46" t="s">
        <v>458</v>
      </c>
      <c r="I227" s="46">
        <v>2022</v>
      </c>
      <c r="J227" s="46" t="s">
        <v>443</v>
      </c>
    </row>
    <row r="228" spans="1:12">
      <c r="A228" s="65" t="s">
        <v>526</v>
      </c>
      <c r="B228" s="66">
        <v>44640</v>
      </c>
      <c r="C228" s="65" t="s">
        <v>516</v>
      </c>
      <c r="D228" s="71">
        <v>289</v>
      </c>
      <c r="E228" s="44">
        <v>-10</v>
      </c>
      <c r="F228" s="44" t="s">
        <v>530</v>
      </c>
      <c r="G228" s="45" t="s">
        <v>530</v>
      </c>
      <c r="H228" s="46" t="s">
        <v>457</v>
      </c>
      <c r="I228" s="46">
        <v>2022</v>
      </c>
      <c r="J228" s="46" t="s">
        <v>442</v>
      </c>
    </row>
    <row r="229" spans="1:12">
      <c r="A229" s="65" t="s">
        <v>518</v>
      </c>
      <c r="B229" s="66">
        <v>44679</v>
      </c>
      <c r="C229" s="65" t="s">
        <v>515</v>
      </c>
      <c r="D229" s="71">
        <v>1585</v>
      </c>
      <c r="E229" s="44">
        <v>29</v>
      </c>
      <c r="F229" s="44" t="s">
        <v>509</v>
      </c>
      <c r="G229" s="45" t="s">
        <v>530</v>
      </c>
      <c r="H229" s="46" t="s">
        <v>458</v>
      </c>
      <c r="I229" s="46">
        <v>2022</v>
      </c>
      <c r="J229" s="46" t="s">
        <v>443</v>
      </c>
    </row>
    <row r="230" spans="1:12">
      <c r="A230" s="65" t="s">
        <v>523</v>
      </c>
      <c r="B230" s="66">
        <v>44699</v>
      </c>
      <c r="C230" s="65" t="s">
        <v>516</v>
      </c>
      <c r="D230" s="71">
        <v>2347</v>
      </c>
      <c r="E230" s="44">
        <v>49</v>
      </c>
      <c r="F230" s="44" t="s">
        <v>530</v>
      </c>
      <c r="G230" s="45" t="s">
        <v>530</v>
      </c>
      <c r="H230" s="46" t="s">
        <v>459</v>
      </c>
      <c r="I230" s="46">
        <v>2022</v>
      </c>
      <c r="J230" s="46" t="s">
        <v>442</v>
      </c>
    </row>
    <row r="231" spans="1:12">
      <c r="A231" s="65" t="s">
        <v>523</v>
      </c>
      <c r="B231" s="66">
        <v>44558</v>
      </c>
      <c r="C231" s="65" t="s">
        <v>449</v>
      </c>
      <c r="D231" s="71">
        <v>171</v>
      </c>
      <c r="E231" s="44">
        <v>-92</v>
      </c>
      <c r="F231" s="44" t="s">
        <v>530</v>
      </c>
      <c r="G231" s="45" t="s">
        <v>531</v>
      </c>
      <c r="H231" s="46" t="s">
        <v>466</v>
      </c>
      <c r="I231" s="46">
        <v>2021</v>
      </c>
      <c r="J231" s="46" t="s">
        <v>444</v>
      </c>
    </row>
    <row r="232" spans="1:12">
      <c r="A232" s="65" t="s">
        <v>519</v>
      </c>
      <c r="B232" s="66">
        <v>44700</v>
      </c>
      <c r="C232" s="65" t="s">
        <v>516</v>
      </c>
      <c r="D232" s="71">
        <v>2080</v>
      </c>
      <c r="E232" s="44">
        <v>50</v>
      </c>
      <c r="F232" s="44" t="s">
        <v>530</v>
      </c>
      <c r="G232" s="45" t="s">
        <v>530</v>
      </c>
      <c r="H232" s="46" t="s">
        <v>459</v>
      </c>
      <c r="I232" s="46">
        <v>2022</v>
      </c>
      <c r="J232" s="46" t="s">
        <v>442</v>
      </c>
    </row>
    <row r="233" spans="1:12">
      <c r="A233" s="65" t="s">
        <v>522</v>
      </c>
      <c r="B233" s="66">
        <v>44611</v>
      </c>
      <c r="C233" s="65" t="s">
        <v>449</v>
      </c>
      <c r="D233" s="71">
        <v>772</v>
      </c>
      <c r="E233" s="44">
        <v>-39</v>
      </c>
      <c r="F233" s="44" t="s">
        <v>530</v>
      </c>
      <c r="G233" s="45" t="s">
        <v>532</v>
      </c>
      <c r="H233" s="46" t="s">
        <v>456</v>
      </c>
      <c r="I233" s="46">
        <v>2022</v>
      </c>
      <c r="J233" s="46" t="s">
        <v>444</v>
      </c>
    </row>
    <row r="234" spans="1:12">
      <c r="A234" s="65" t="s">
        <v>523</v>
      </c>
      <c r="B234" s="66">
        <v>44601</v>
      </c>
      <c r="C234" s="65" t="s">
        <v>516</v>
      </c>
      <c r="D234" s="71">
        <v>1012</v>
      </c>
      <c r="E234" s="44">
        <v>-49</v>
      </c>
      <c r="F234" s="44" t="s">
        <v>530</v>
      </c>
      <c r="G234" s="45" t="s">
        <v>530</v>
      </c>
      <c r="H234" s="46" t="s">
        <v>456</v>
      </c>
      <c r="I234" s="46">
        <v>2022</v>
      </c>
      <c r="J234" s="46" t="s">
        <v>442</v>
      </c>
    </row>
    <row r="235" spans="1:12">
      <c r="A235" s="65" t="s">
        <v>521</v>
      </c>
      <c r="B235" s="66">
        <v>44540</v>
      </c>
      <c r="C235" s="65" t="s">
        <v>517</v>
      </c>
      <c r="D235" s="71">
        <v>1797</v>
      </c>
      <c r="E235" s="44">
        <v>-110</v>
      </c>
      <c r="F235" s="44" t="s">
        <v>530</v>
      </c>
      <c r="G235" s="45" t="s">
        <v>531</v>
      </c>
      <c r="H235" s="46" t="s">
        <v>466</v>
      </c>
      <c r="I235" s="46">
        <v>2021</v>
      </c>
      <c r="J235" s="46" t="s">
        <v>445</v>
      </c>
    </row>
    <row r="236" spans="1:12">
      <c r="A236" s="65" t="s">
        <v>521</v>
      </c>
      <c r="B236" s="66">
        <v>44601</v>
      </c>
      <c r="C236" s="65" t="s">
        <v>517</v>
      </c>
      <c r="D236" s="71">
        <v>901</v>
      </c>
      <c r="E236" s="44">
        <v>-49</v>
      </c>
      <c r="F236" s="44" t="s">
        <v>530</v>
      </c>
      <c r="G236" s="45" t="s">
        <v>531</v>
      </c>
      <c r="H236" s="46" t="s">
        <v>456</v>
      </c>
      <c r="I236" s="46">
        <v>2022</v>
      </c>
      <c r="J236" s="46" t="s">
        <v>445</v>
      </c>
    </row>
    <row r="237" spans="1:12">
      <c r="A237" s="65" t="s">
        <v>525</v>
      </c>
      <c r="B237" s="66">
        <v>44548</v>
      </c>
      <c r="C237" s="65" t="s">
        <v>515</v>
      </c>
      <c r="D237" s="71">
        <v>1971</v>
      </c>
      <c r="E237" s="44">
        <v>-102</v>
      </c>
      <c r="F237" s="44" t="s">
        <v>530</v>
      </c>
      <c r="G237" s="45" t="s">
        <v>531</v>
      </c>
      <c r="H237" s="46" t="s">
        <v>466</v>
      </c>
      <c r="I237" s="46">
        <v>2021</v>
      </c>
      <c r="J237" s="46" t="s">
        <v>444</v>
      </c>
    </row>
    <row r="238" spans="1:12">
      <c r="A238" s="65" t="s">
        <v>522</v>
      </c>
      <c r="B238" s="66">
        <v>44633</v>
      </c>
      <c r="C238" s="65" t="s">
        <v>515</v>
      </c>
      <c r="D238" s="71">
        <v>2690</v>
      </c>
      <c r="E238" s="44">
        <v>-17</v>
      </c>
      <c r="F238" s="44" t="s">
        <v>530</v>
      </c>
      <c r="G238" s="45" t="s">
        <v>509</v>
      </c>
      <c r="H238" s="46" t="s">
        <v>457</v>
      </c>
      <c r="I238" s="46">
        <v>2022</v>
      </c>
      <c r="J238" s="46" t="s">
        <v>444</v>
      </c>
      <c r="L238" s="68"/>
    </row>
    <row r="239" spans="1:12">
      <c r="A239" s="65" t="s">
        <v>518</v>
      </c>
      <c r="B239" s="66">
        <v>44604</v>
      </c>
      <c r="C239" s="65" t="s">
        <v>516</v>
      </c>
      <c r="D239" s="71">
        <v>1558</v>
      </c>
      <c r="E239" s="44">
        <v>-46</v>
      </c>
      <c r="F239" s="44" t="s">
        <v>530</v>
      </c>
      <c r="G239" s="45" t="s">
        <v>530</v>
      </c>
      <c r="H239" s="46" t="s">
        <v>456</v>
      </c>
      <c r="I239" s="46">
        <v>2022</v>
      </c>
      <c r="J239" s="46" t="s">
        <v>442</v>
      </c>
    </row>
    <row r="240" spans="1:12">
      <c r="A240" s="65" t="s">
        <v>523</v>
      </c>
      <c r="B240" s="66">
        <v>44577</v>
      </c>
      <c r="C240" s="65" t="s">
        <v>516</v>
      </c>
      <c r="D240" s="71">
        <v>529</v>
      </c>
      <c r="E240" s="44">
        <v>-73</v>
      </c>
      <c r="F240" s="44" t="s">
        <v>530</v>
      </c>
      <c r="G240" s="45" t="s">
        <v>530</v>
      </c>
      <c r="H240" s="46" t="s">
        <v>455</v>
      </c>
      <c r="I240" s="46">
        <v>2022</v>
      </c>
      <c r="J240" s="46" t="s">
        <v>442</v>
      </c>
    </row>
    <row r="241" spans="1:10">
      <c r="A241" s="65" t="s">
        <v>520</v>
      </c>
      <c r="B241" s="66">
        <v>44649</v>
      </c>
      <c r="C241" s="65" t="s">
        <v>515</v>
      </c>
      <c r="D241" s="71">
        <v>1418</v>
      </c>
      <c r="E241" s="44">
        <v>-1</v>
      </c>
      <c r="F241" s="44" t="s">
        <v>530</v>
      </c>
      <c r="G241" s="45" t="s">
        <v>508</v>
      </c>
      <c r="H241" s="46" t="s">
        <v>457</v>
      </c>
      <c r="I241" s="46">
        <v>2022</v>
      </c>
      <c r="J241" s="46" t="s">
        <v>444</v>
      </c>
    </row>
    <row r="242" spans="1:10">
      <c r="A242" s="65" t="s">
        <v>520</v>
      </c>
      <c r="B242" s="66">
        <v>44614</v>
      </c>
      <c r="C242" s="65" t="s">
        <v>516</v>
      </c>
      <c r="D242" s="71">
        <v>2568</v>
      </c>
      <c r="E242" s="44">
        <v>-36</v>
      </c>
      <c r="F242" s="44" t="s">
        <v>530</v>
      </c>
      <c r="G242" s="45" t="s">
        <v>532</v>
      </c>
      <c r="H242" s="46" t="s">
        <v>456</v>
      </c>
      <c r="I242" s="46">
        <v>2022</v>
      </c>
      <c r="J242" s="46" t="s">
        <v>444</v>
      </c>
    </row>
    <row r="243" spans="1:10">
      <c r="A243" s="65" t="s">
        <v>518</v>
      </c>
      <c r="B243" s="66">
        <v>44622</v>
      </c>
      <c r="C243" s="65" t="s">
        <v>517</v>
      </c>
      <c r="D243" s="71">
        <v>1730</v>
      </c>
      <c r="E243" s="44">
        <v>-28</v>
      </c>
      <c r="F243" s="44" t="s">
        <v>530</v>
      </c>
      <c r="G243" s="45" t="s">
        <v>509</v>
      </c>
      <c r="H243" s="46" t="s">
        <v>457</v>
      </c>
      <c r="I243" s="46">
        <v>2022</v>
      </c>
      <c r="J243" s="46" t="s">
        <v>445</v>
      </c>
    </row>
    <row r="244" spans="1:10">
      <c r="A244" s="65" t="s">
        <v>527</v>
      </c>
      <c r="B244" s="66">
        <v>44671</v>
      </c>
      <c r="C244" s="65" t="s">
        <v>449</v>
      </c>
      <c r="D244" s="71">
        <v>1636</v>
      </c>
      <c r="E244" s="44">
        <v>21</v>
      </c>
      <c r="F244" s="44" t="s">
        <v>509</v>
      </c>
      <c r="G244" s="45" t="s">
        <v>530</v>
      </c>
      <c r="H244" s="46" t="s">
        <v>458</v>
      </c>
      <c r="I244" s="46">
        <v>2022</v>
      </c>
      <c r="J244" s="46" t="s">
        <v>443</v>
      </c>
    </row>
    <row r="245" spans="1:10">
      <c r="A245" s="65" t="s">
        <v>522</v>
      </c>
      <c r="B245" s="66">
        <v>44689</v>
      </c>
      <c r="C245" s="65" t="s">
        <v>517</v>
      </c>
      <c r="D245" s="71">
        <v>1195</v>
      </c>
      <c r="E245" s="44">
        <v>39</v>
      </c>
      <c r="F245" s="50" t="s">
        <v>532</v>
      </c>
      <c r="G245" s="51" t="s">
        <v>530</v>
      </c>
      <c r="H245" s="50" t="s">
        <v>459</v>
      </c>
      <c r="I245" s="50">
        <v>2022</v>
      </c>
      <c r="J245" s="50" t="s">
        <v>445</v>
      </c>
    </row>
    <row r="246" spans="1:10">
      <c r="A246" s="65" t="s">
        <v>520</v>
      </c>
      <c r="B246" s="66">
        <v>44691</v>
      </c>
      <c r="C246" s="65" t="s">
        <v>517</v>
      </c>
      <c r="D246" s="71">
        <v>1471</v>
      </c>
      <c r="E246" s="44">
        <v>41</v>
      </c>
      <c r="F246" s="50" t="s">
        <v>532</v>
      </c>
      <c r="G246" s="51" t="s">
        <v>530</v>
      </c>
      <c r="H246" s="50" t="s">
        <v>459</v>
      </c>
      <c r="I246" s="50">
        <v>2022</v>
      </c>
      <c r="J246" s="50" t="s">
        <v>445</v>
      </c>
    </row>
    <row r="247" spans="1:10">
      <c r="A247" s="65" t="s">
        <v>519</v>
      </c>
      <c r="B247" s="66">
        <v>44704</v>
      </c>
      <c r="C247" s="65" t="s">
        <v>516</v>
      </c>
      <c r="D247" s="71">
        <v>2384</v>
      </c>
      <c r="E247" s="44">
        <v>54</v>
      </c>
      <c r="F247" s="50" t="s">
        <v>531</v>
      </c>
      <c r="G247" s="51" t="s">
        <v>530</v>
      </c>
      <c r="H247" s="50" t="s">
        <v>459</v>
      </c>
      <c r="I247" s="50">
        <v>2022</v>
      </c>
      <c r="J247" s="50" t="s">
        <v>443</v>
      </c>
    </row>
    <row r="248" spans="1:10">
      <c r="A248" s="65" t="s">
        <v>525</v>
      </c>
      <c r="B248" s="66">
        <v>44676</v>
      </c>
      <c r="C248" s="65" t="s">
        <v>515</v>
      </c>
      <c r="D248" s="71">
        <v>1900</v>
      </c>
      <c r="E248" s="44">
        <v>26</v>
      </c>
      <c r="F248" s="50" t="s">
        <v>509</v>
      </c>
      <c r="G248" s="51" t="s">
        <v>530</v>
      </c>
      <c r="H248" s="50" t="s">
        <v>458</v>
      </c>
      <c r="I248" s="50">
        <v>2022</v>
      </c>
      <c r="J248" s="50" t="s">
        <v>443</v>
      </c>
    </row>
    <row r="249" spans="1:10">
      <c r="A249" s="65" t="s">
        <v>526</v>
      </c>
      <c r="B249" s="66">
        <v>44629</v>
      </c>
      <c r="C249" s="65" t="s">
        <v>517</v>
      </c>
      <c r="D249" s="71">
        <v>532</v>
      </c>
      <c r="E249" s="44">
        <v>-21</v>
      </c>
      <c r="F249" s="50" t="s">
        <v>530</v>
      </c>
      <c r="G249" s="51" t="s">
        <v>509</v>
      </c>
      <c r="H249" s="50" t="s">
        <v>457</v>
      </c>
      <c r="I249" s="50">
        <v>2022</v>
      </c>
      <c r="J249" s="50" t="s">
        <v>445</v>
      </c>
    </row>
    <row r="250" spans="1:10">
      <c r="A250" s="65" t="s">
        <v>521</v>
      </c>
      <c r="B250" s="66">
        <v>44532</v>
      </c>
      <c r="C250" s="65" t="s">
        <v>449</v>
      </c>
      <c r="D250" s="71">
        <v>587</v>
      </c>
      <c r="E250" s="44">
        <v>-118</v>
      </c>
      <c r="F250" s="50" t="s">
        <v>530</v>
      </c>
      <c r="G250" s="51" t="s">
        <v>531</v>
      </c>
      <c r="H250" s="50" t="s">
        <v>466</v>
      </c>
      <c r="I250" s="50">
        <v>2021</v>
      </c>
      <c r="J250" s="50" t="s">
        <v>444</v>
      </c>
    </row>
    <row r="251" spans="1:10">
      <c r="A251" s="65" t="s">
        <v>522</v>
      </c>
      <c r="B251" s="66">
        <v>44600</v>
      </c>
      <c r="C251" s="65" t="s">
        <v>449</v>
      </c>
      <c r="D251" s="71">
        <v>877</v>
      </c>
      <c r="E251" s="44">
        <v>-50</v>
      </c>
      <c r="F251" s="50" t="s">
        <v>530</v>
      </c>
      <c r="G251" s="51" t="s">
        <v>531</v>
      </c>
      <c r="H251" s="50" t="s">
        <v>456</v>
      </c>
      <c r="I251" s="50">
        <v>2022</v>
      </c>
      <c r="J251" s="50" t="s">
        <v>444</v>
      </c>
    </row>
    <row r="252" spans="1:10">
      <c r="A252" s="65" t="s">
        <v>527</v>
      </c>
      <c r="B252" s="66">
        <v>44703</v>
      </c>
      <c r="C252" s="65" t="s">
        <v>516</v>
      </c>
      <c r="D252" s="71">
        <v>945</v>
      </c>
      <c r="E252" s="44">
        <v>53</v>
      </c>
      <c r="F252" s="50" t="s">
        <v>530</v>
      </c>
      <c r="G252" s="51" t="s">
        <v>530</v>
      </c>
      <c r="H252" s="50" t="s">
        <v>459</v>
      </c>
      <c r="I252" s="50">
        <v>2022</v>
      </c>
      <c r="J252" s="50" t="s">
        <v>442</v>
      </c>
    </row>
    <row r="253" spans="1:10">
      <c r="A253" s="65" t="s">
        <v>518</v>
      </c>
      <c r="B253" s="66">
        <v>44704</v>
      </c>
      <c r="C253" s="65" t="s">
        <v>516</v>
      </c>
      <c r="D253" s="71">
        <v>2272</v>
      </c>
      <c r="E253" s="44">
        <v>54</v>
      </c>
      <c r="F253" s="50" t="s">
        <v>530</v>
      </c>
      <c r="G253" s="51" t="s">
        <v>530</v>
      </c>
      <c r="H253" s="50" t="s">
        <v>459</v>
      </c>
      <c r="I253" s="50">
        <v>2022</v>
      </c>
      <c r="J253" s="50" t="s">
        <v>442</v>
      </c>
    </row>
    <row r="254" spans="1:10">
      <c r="A254" s="65" t="s">
        <v>518</v>
      </c>
      <c r="B254" s="66">
        <v>44596</v>
      </c>
      <c r="C254" s="65" t="s">
        <v>515</v>
      </c>
      <c r="D254" s="71">
        <v>1408</v>
      </c>
      <c r="E254" s="44">
        <v>-54</v>
      </c>
      <c r="F254" s="50" t="s">
        <v>530</v>
      </c>
      <c r="G254" s="51" t="s">
        <v>531</v>
      </c>
      <c r="H254" s="50" t="s">
        <v>456</v>
      </c>
      <c r="I254" s="50">
        <v>2022</v>
      </c>
      <c r="J254" s="50" t="s">
        <v>444</v>
      </c>
    </row>
    <row r="255" spans="1:10">
      <c r="A255" s="65" t="s">
        <v>523</v>
      </c>
      <c r="B255" s="66">
        <v>44711</v>
      </c>
      <c r="C255" s="65" t="s">
        <v>516</v>
      </c>
      <c r="D255" s="71">
        <v>1466</v>
      </c>
      <c r="E255" s="44">
        <v>61</v>
      </c>
      <c r="F255" s="50" t="s">
        <v>530</v>
      </c>
      <c r="G255" s="51" t="s">
        <v>530</v>
      </c>
      <c r="H255" s="50" t="s">
        <v>459</v>
      </c>
      <c r="I255" s="50">
        <v>2022</v>
      </c>
      <c r="J255" s="50" t="s">
        <v>442</v>
      </c>
    </row>
    <row r="256" spans="1:10">
      <c r="A256" s="65" t="s">
        <v>523</v>
      </c>
      <c r="B256" s="66">
        <v>44627</v>
      </c>
      <c r="C256" s="65" t="s">
        <v>515</v>
      </c>
      <c r="D256" s="71">
        <v>1549</v>
      </c>
      <c r="E256" s="44">
        <v>-23</v>
      </c>
      <c r="F256" s="50" t="s">
        <v>530</v>
      </c>
      <c r="G256" s="51" t="s">
        <v>509</v>
      </c>
      <c r="H256" s="50" t="s">
        <v>457</v>
      </c>
      <c r="I256" s="50">
        <v>2022</v>
      </c>
      <c r="J256" s="50" t="s">
        <v>444</v>
      </c>
    </row>
    <row r="257" spans="1:10">
      <c r="A257" s="65" t="s">
        <v>524</v>
      </c>
      <c r="B257" s="66">
        <v>44545</v>
      </c>
      <c r="C257" s="65" t="s">
        <v>516</v>
      </c>
      <c r="D257" s="71">
        <v>2427</v>
      </c>
      <c r="E257" s="44">
        <v>-105</v>
      </c>
      <c r="F257" s="50" t="s">
        <v>530</v>
      </c>
      <c r="G257" s="51" t="s">
        <v>530</v>
      </c>
      <c r="H257" s="50" t="s">
        <v>466</v>
      </c>
      <c r="I257" s="50">
        <v>2021</v>
      </c>
      <c r="J257" s="50" t="s">
        <v>442</v>
      </c>
    </row>
    <row r="258" spans="1:10">
      <c r="A258" s="65" t="s">
        <v>523</v>
      </c>
      <c r="B258" s="66">
        <v>44600</v>
      </c>
      <c r="C258" s="65" t="s">
        <v>517</v>
      </c>
      <c r="D258" s="71">
        <v>616</v>
      </c>
      <c r="E258" s="44">
        <v>-50</v>
      </c>
      <c r="F258" s="50" t="s">
        <v>530</v>
      </c>
      <c r="G258" s="51" t="s">
        <v>531</v>
      </c>
      <c r="H258" s="50" t="s">
        <v>456</v>
      </c>
      <c r="I258" s="50">
        <v>2022</v>
      </c>
      <c r="J258" s="50" t="s">
        <v>445</v>
      </c>
    </row>
    <row r="259" spans="1:10">
      <c r="A259" s="65" t="s">
        <v>527</v>
      </c>
      <c r="B259" s="66">
        <v>44702</v>
      </c>
      <c r="C259" s="65" t="s">
        <v>449</v>
      </c>
      <c r="D259" s="71">
        <v>2265</v>
      </c>
      <c r="E259" s="44">
        <v>52</v>
      </c>
      <c r="F259" s="50" t="s">
        <v>531</v>
      </c>
      <c r="G259" s="51" t="s">
        <v>530</v>
      </c>
      <c r="H259" s="50" t="s">
        <v>459</v>
      </c>
      <c r="I259" s="50">
        <v>2022</v>
      </c>
      <c r="J259" s="50" t="s">
        <v>443</v>
      </c>
    </row>
    <row r="260" spans="1:10">
      <c r="A260" s="65" t="s">
        <v>524</v>
      </c>
      <c r="B260" s="66">
        <v>44664</v>
      </c>
      <c r="C260" s="65" t="s">
        <v>449</v>
      </c>
      <c r="D260" s="71">
        <v>1172</v>
      </c>
      <c r="E260" s="44">
        <v>14</v>
      </c>
      <c r="F260" s="50" t="s">
        <v>508</v>
      </c>
      <c r="G260" s="51" t="s">
        <v>530</v>
      </c>
      <c r="H260" s="50" t="s">
        <v>458</v>
      </c>
      <c r="I260" s="50">
        <v>2022</v>
      </c>
      <c r="J260" s="50" t="s">
        <v>443</v>
      </c>
    </row>
    <row r="261" spans="1:10">
      <c r="A261" s="65" t="s">
        <v>524</v>
      </c>
      <c r="B261" s="66">
        <v>44601</v>
      </c>
      <c r="C261" s="65" t="s">
        <v>516</v>
      </c>
      <c r="D261" s="71">
        <v>978</v>
      </c>
      <c r="E261" s="44">
        <v>-49</v>
      </c>
      <c r="F261" s="50" t="s">
        <v>530</v>
      </c>
      <c r="G261" s="51" t="s">
        <v>530</v>
      </c>
      <c r="H261" s="50" t="s">
        <v>456</v>
      </c>
      <c r="I261" s="50">
        <v>2022</v>
      </c>
      <c r="J261" s="50" t="s">
        <v>442</v>
      </c>
    </row>
    <row r="262" spans="1:10">
      <c r="A262" s="65" t="s">
        <v>526</v>
      </c>
      <c r="B262" s="66">
        <v>44648</v>
      </c>
      <c r="C262" s="65" t="s">
        <v>517</v>
      </c>
      <c r="D262" s="71">
        <v>477</v>
      </c>
      <c r="E262" s="44">
        <v>-2</v>
      </c>
      <c r="F262" s="50" t="s">
        <v>530</v>
      </c>
      <c r="G262" s="51" t="s">
        <v>508</v>
      </c>
      <c r="H262" s="50" t="s">
        <v>457</v>
      </c>
      <c r="I262" s="50">
        <v>2022</v>
      </c>
      <c r="J262" s="50" t="s">
        <v>445</v>
      </c>
    </row>
    <row r="263" spans="1:10">
      <c r="A263" s="65" t="s">
        <v>518</v>
      </c>
      <c r="B263" s="66">
        <v>44594</v>
      </c>
      <c r="C263" s="65" t="s">
        <v>517</v>
      </c>
      <c r="D263" s="71">
        <v>1371</v>
      </c>
      <c r="E263" s="44">
        <v>-56</v>
      </c>
      <c r="F263" s="50" t="s">
        <v>530</v>
      </c>
      <c r="G263" s="51" t="s">
        <v>531</v>
      </c>
      <c r="H263" s="50" t="s">
        <v>456</v>
      </c>
      <c r="I263" s="50">
        <v>2022</v>
      </c>
      <c r="J263" s="50" t="s">
        <v>445</v>
      </c>
    </row>
    <row r="264" spans="1:10">
      <c r="A264" s="65" t="s">
        <v>522</v>
      </c>
      <c r="B264" s="66">
        <v>44601</v>
      </c>
      <c r="C264" s="65" t="s">
        <v>449</v>
      </c>
      <c r="D264" s="71">
        <v>881</v>
      </c>
      <c r="E264" s="44">
        <v>-49</v>
      </c>
      <c r="F264" s="50" t="s">
        <v>530</v>
      </c>
      <c r="G264" s="51" t="s">
        <v>531</v>
      </c>
      <c r="H264" s="50" t="s">
        <v>456</v>
      </c>
      <c r="I264" s="50">
        <v>2022</v>
      </c>
      <c r="J264" s="50" t="s">
        <v>444</v>
      </c>
    </row>
    <row r="265" spans="1:10">
      <c r="A265" s="65" t="s">
        <v>523</v>
      </c>
      <c r="B265" s="66">
        <v>44562</v>
      </c>
      <c r="C265" s="65" t="s">
        <v>449</v>
      </c>
      <c r="D265" s="71">
        <v>1856</v>
      </c>
      <c r="E265" s="44">
        <v>-88</v>
      </c>
      <c r="F265" s="50" t="s">
        <v>530</v>
      </c>
      <c r="G265" s="51" t="s">
        <v>531</v>
      </c>
      <c r="H265" s="50" t="s">
        <v>455</v>
      </c>
      <c r="I265" s="50">
        <v>2022</v>
      </c>
      <c r="J265" s="50" t="s">
        <v>444</v>
      </c>
    </row>
    <row r="266" spans="1:10">
      <c r="A266" s="65" t="s">
        <v>523</v>
      </c>
      <c r="B266" s="66">
        <v>44639</v>
      </c>
      <c r="C266" s="65" t="s">
        <v>515</v>
      </c>
      <c r="D266" s="71">
        <v>1206</v>
      </c>
      <c r="E266" s="44">
        <v>-11</v>
      </c>
      <c r="F266" s="50" t="s">
        <v>530</v>
      </c>
      <c r="G266" s="51" t="s">
        <v>508</v>
      </c>
      <c r="H266" s="50" t="s">
        <v>457</v>
      </c>
      <c r="I266" s="50">
        <v>2022</v>
      </c>
      <c r="J266" s="50" t="s">
        <v>444</v>
      </c>
    </row>
    <row r="267" spans="1:10">
      <c r="A267" s="65" t="s">
        <v>527</v>
      </c>
      <c r="B267" s="66">
        <v>44694</v>
      </c>
      <c r="C267" s="65" t="s">
        <v>449</v>
      </c>
      <c r="D267" s="71">
        <v>1222</v>
      </c>
      <c r="E267" s="44">
        <v>44</v>
      </c>
      <c r="F267" s="50" t="s">
        <v>532</v>
      </c>
      <c r="G267" s="51" t="s">
        <v>530</v>
      </c>
      <c r="H267" s="50" t="s">
        <v>459</v>
      </c>
      <c r="I267" s="50">
        <v>2022</v>
      </c>
      <c r="J267" s="50" t="s">
        <v>443</v>
      </c>
    </row>
    <row r="268" spans="1:10">
      <c r="A268" s="65" t="s">
        <v>527</v>
      </c>
      <c r="B268" s="66">
        <v>44531</v>
      </c>
      <c r="C268" s="65" t="s">
        <v>449</v>
      </c>
      <c r="D268" s="71">
        <v>2079</v>
      </c>
      <c r="E268" s="44">
        <v>-119</v>
      </c>
      <c r="F268" s="50" t="s">
        <v>530</v>
      </c>
      <c r="G268" s="51" t="s">
        <v>531</v>
      </c>
      <c r="H268" s="50" t="s">
        <v>466</v>
      </c>
      <c r="I268" s="50">
        <v>2021</v>
      </c>
      <c r="J268" s="50" t="s">
        <v>444</v>
      </c>
    </row>
    <row r="269" spans="1:10">
      <c r="A269" s="65" t="s">
        <v>519</v>
      </c>
      <c r="B269" s="66">
        <v>44645</v>
      </c>
      <c r="C269" s="65" t="s">
        <v>517</v>
      </c>
      <c r="D269" s="71">
        <v>1600</v>
      </c>
      <c r="E269" s="44">
        <v>-5</v>
      </c>
      <c r="F269" s="50" t="s">
        <v>530</v>
      </c>
      <c r="G269" s="51" t="s">
        <v>508</v>
      </c>
      <c r="H269" s="50" t="s">
        <v>457</v>
      </c>
      <c r="I269" s="50">
        <v>2022</v>
      </c>
      <c r="J269" s="50" t="s">
        <v>445</v>
      </c>
    </row>
    <row r="270" spans="1:10">
      <c r="A270" s="65" t="s">
        <v>527</v>
      </c>
      <c r="B270" s="66">
        <v>44567</v>
      </c>
      <c r="C270" s="65" t="s">
        <v>517</v>
      </c>
      <c r="D270" s="71">
        <v>2308</v>
      </c>
      <c r="E270" s="44">
        <v>-83</v>
      </c>
      <c r="F270" s="50" t="s">
        <v>530</v>
      </c>
      <c r="G270" s="51" t="s">
        <v>531</v>
      </c>
      <c r="H270" s="50" t="s">
        <v>455</v>
      </c>
      <c r="I270" s="50">
        <v>2022</v>
      </c>
      <c r="J270" s="50" t="s">
        <v>445</v>
      </c>
    </row>
    <row r="271" spans="1:10">
      <c r="A271" s="65" t="s">
        <v>519</v>
      </c>
      <c r="B271" s="66">
        <v>44663</v>
      </c>
      <c r="C271" s="65" t="s">
        <v>516</v>
      </c>
      <c r="D271" s="71">
        <v>1775</v>
      </c>
      <c r="E271" s="44">
        <v>13</v>
      </c>
      <c r="F271" s="50" t="s">
        <v>530</v>
      </c>
      <c r="G271" s="51" t="s">
        <v>530</v>
      </c>
      <c r="H271" s="50" t="s">
        <v>458</v>
      </c>
      <c r="I271" s="50">
        <v>2022</v>
      </c>
      <c r="J271" s="50" t="s">
        <v>442</v>
      </c>
    </row>
    <row r="272" spans="1:10">
      <c r="A272" s="65" t="s">
        <v>527</v>
      </c>
      <c r="B272" s="66">
        <v>44658</v>
      </c>
      <c r="C272" s="65" t="s">
        <v>449</v>
      </c>
      <c r="D272" s="71">
        <v>2376</v>
      </c>
      <c r="E272" s="44">
        <v>8</v>
      </c>
      <c r="F272" s="50" t="s">
        <v>508</v>
      </c>
      <c r="G272" s="51" t="s">
        <v>530</v>
      </c>
      <c r="H272" s="50" t="s">
        <v>458</v>
      </c>
      <c r="I272" s="50">
        <v>2022</v>
      </c>
      <c r="J272" s="50" t="s">
        <v>443</v>
      </c>
    </row>
    <row r="273" spans="1:10">
      <c r="A273" s="65" t="s">
        <v>525</v>
      </c>
      <c r="B273" s="66">
        <v>44637</v>
      </c>
      <c r="C273" s="65" t="s">
        <v>515</v>
      </c>
      <c r="D273" s="71">
        <v>1314</v>
      </c>
      <c r="E273" s="44">
        <v>-13</v>
      </c>
      <c r="F273" s="50" t="s">
        <v>530</v>
      </c>
      <c r="G273" s="51" t="s">
        <v>508</v>
      </c>
      <c r="H273" s="50" t="s">
        <v>457</v>
      </c>
      <c r="I273" s="50">
        <v>2022</v>
      </c>
      <c r="J273" s="50" t="s">
        <v>444</v>
      </c>
    </row>
    <row r="274" spans="1:10">
      <c r="A274" s="65" t="s">
        <v>522</v>
      </c>
      <c r="B274" s="66">
        <v>44658</v>
      </c>
      <c r="C274" s="65" t="s">
        <v>517</v>
      </c>
      <c r="D274" s="71">
        <v>1168</v>
      </c>
      <c r="E274" s="44">
        <v>8</v>
      </c>
      <c r="F274" s="50" t="s">
        <v>508</v>
      </c>
      <c r="G274" s="51" t="s">
        <v>530</v>
      </c>
      <c r="H274" s="50" t="s">
        <v>458</v>
      </c>
      <c r="I274" s="50">
        <v>2022</v>
      </c>
      <c r="J274" s="50" t="s">
        <v>445</v>
      </c>
    </row>
    <row r="275" spans="1:10">
      <c r="A275" s="65" t="s">
        <v>527</v>
      </c>
      <c r="B275" s="66">
        <v>44544</v>
      </c>
      <c r="C275" s="65" t="s">
        <v>515</v>
      </c>
      <c r="D275" s="71">
        <v>2361</v>
      </c>
      <c r="E275" s="44">
        <v>-106</v>
      </c>
      <c r="F275" s="50" t="s">
        <v>530</v>
      </c>
      <c r="G275" s="51" t="s">
        <v>531</v>
      </c>
      <c r="H275" s="50" t="s">
        <v>466</v>
      </c>
      <c r="I275" s="50">
        <v>2021</v>
      </c>
      <c r="J275" s="50" t="s">
        <v>444</v>
      </c>
    </row>
    <row r="276" spans="1:10">
      <c r="A276" s="65" t="s">
        <v>526</v>
      </c>
      <c r="B276" s="66">
        <v>44592</v>
      </c>
      <c r="C276" s="65" t="s">
        <v>515</v>
      </c>
      <c r="D276" s="71">
        <v>1664</v>
      </c>
      <c r="E276" s="44">
        <v>-58</v>
      </c>
      <c r="F276" s="50" t="s">
        <v>530</v>
      </c>
      <c r="G276" s="51" t="s">
        <v>531</v>
      </c>
      <c r="H276" s="50" t="s">
        <v>455</v>
      </c>
      <c r="I276" s="50">
        <v>2022</v>
      </c>
      <c r="J276" s="50" t="s">
        <v>444</v>
      </c>
    </row>
    <row r="277" spans="1:10">
      <c r="A277" s="65" t="s">
        <v>523</v>
      </c>
      <c r="B277" s="66">
        <v>44631</v>
      </c>
      <c r="C277" s="65" t="s">
        <v>449</v>
      </c>
      <c r="D277" s="71">
        <v>2229</v>
      </c>
      <c r="E277" s="44">
        <v>-19</v>
      </c>
      <c r="F277" s="50" t="s">
        <v>530</v>
      </c>
      <c r="G277" s="51" t="s">
        <v>509</v>
      </c>
      <c r="H277" s="50" t="s">
        <v>457</v>
      </c>
      <c r="I277" s="50">
        <v>2022</v>
      </c>
      <c r="J277" s="50" t="s">
        <v>444</v>
      </c>
    </row>
    <row r="278" spans="1:10">
      <c r="A278" s="65" t="s">
        <v>527</v>
      </c>
      <c r="B278" s="66">
        <v>44622</v>
      </c>
      <c r="C278" s="65" t="s">
        <v>515</v>
      </c>
      <c r="D278" s="71">
        <v>2236</v>
      </c>
      <c r="E278" s="44">
        <v>-28</v>
      </c>
      <c r="F278" s="50" t="s">
        <v>530</v>
      </c>
      <c r="G278" s="51" t="s">
        <v>509</v>
      </c>
      <c r="H278" s="50" t="s">
        <v>457</v>
      </c>
      <c r="I278" s="50">
        <v>2022</v>
      </c>
      <c r="J278" s="50" t="s">
        <v>444</v>
      </c>
    </row>
    <row r="279" spans="1:10">
      <c r="A279" s="65" t="s">
        <v>520</v>
      </c>
      <c r="B279" s="66">
        <v>44682</v>
      </c>
      <c r="C279" s="65" t="s">
        <v>515</v>
      </c>
      <c r="D279" s="71">
        <v>967</v>
      </c>
      <c r="E279" s="44">
        <v>32</v>
      </c>
      <c r="F279" s="50" t="s">
        <v>532</v>
      </c>
      <c r="G279" s="51" t="s">
        <v>530</v>
      </c>
      <c r="H279" s="50" t="s">
        <v>459</v>
      </c>
      <c r="I279" s="50">
        <v>2022</v>
      </c>
      <c r="J279" s="50" t="s">
        <v>443</v>
      </c>
    </row>
    <row r="280" spans="1:10">
      <c r="A280" s="65" t="s">
        <v>519</v>
      </c>
      <c r="B280" s="66">
        <v>44612</v>
      </c>
      <c r="C280" s="65" t="s">
        <v>516</v>
      </c>
      <c r="D280" s="71">
        <v>2456</v>
      </c>
      <c r="E280" s="44">
        <v>-38</v>
      </c>
      <c r="F280" s="50" t="s">
        <v>530</v>
      </c>
      <c r="G280" s="51" t="s">
        <v>532</v>
      </c>
      <c r="H280" s="50" t="s">
        <v>456</v>
      </c>
      <c r="I280" s="50">
        <v>2022</v>
      </c>
      <c r="J280" s="50" t="s">
        <v>444</v>
      </c>
    </row>
    <row r="281" spans="1:10">
      <c r="A281" s="65" t="s">
        <v>525</v>
      </c>
      <c r="B281" s="66">
        <v>44699</v>
      </c>
      <c r="C281" s="65" t="s">
        <v>449</v>
      </c>
      <c r="D281" s="71">
        <v>1226</v>
      </c>
      <c r="E281" s="44">
        <v>49</v>
      </c>
      <c r="F281" s="50" t="s">
        <v>531</v>
      </c>
      <c r="G281" s="51" t="s">
        <v>530</v>
      </c>
      <c r="H281" s="50" t="s">
        <v>459</v>
      </c>
      <c r="I281" s="50">
        <v>2022</v>
      </c>
      <c r="J281" s="50" t="s">
        <v>443</v>
      </c>
    </row>
    <row r="282" spans="1:10">
      <c r="A282" s="65" t="s">
        <v>524</v>
      </c>
      <c r="B282" s="66">
        <v>44557</v>
      </c>
      <c r="C282" s="65" t="s">
        <v>515</v>
      </c>
      <c r="D282" s="71">
        <v>315</v>
      </c>
      <c r="E282" s="44">
        <v>-93</v>
      </c>
      <c r="F282" s="50" t="s">
        <v>530</v>
      </c>
      <c r="G282" s="51" t="s">
        <v>531</v>
      </c>
      <c r="H282" s="50" t="s">
        <v>466</v>
      </c>
      <c r="I282" s="50">
        <v>2021</v>
      </c>
      <c r="J282" s="50" t="s">
        <v>444</v>
      </c>
    </row>
    <row r="283" spans="1:10">
      <c r="A283" s="65" t="s">
        <v>518</v>
      </c>
      <c r="B283" s="66">
        <v>44553</v>
      </c>
      <c r="C283" s="65" t="s">
        <v>517</v>
      </c>
      <c r="D283" s="71">
        <v>914</v>
      </c>
      <c r="E283" s="44">
        <v>-97</v>
      </c>
      <c r="F283" s="50" t="s">
        <v>530</v>
      </c>
      <c r="G283" s="51" t="s">
        <v>531</v>
      </c>
      <c r="H283" s="50" t="s">
        <v>466</v>
      </c>
      <c r="I283" s="50">
        <v>2021</v>
      </c>
      <c r="J283" s="50" t="s">
        <v>445</v>
      </c>
    </row>
    <row r="284" spans="1:10">
      <c r="A284" s="65" t="s">
        <v>526</v>
      </c>
      <c r="B284" s="66">
        <v>44537</v>
      </c>
      <c r="C284" s="65" t="s">
        <v>516</v>
      </c>
      <c r="D284" s="71">
        <v>772</v>
      </c>
      <c r="E284" s="44">
        <v>-113</v>
      </c>
      <c r="F284" s="50" t="s">
        <v>530</v>
      </c>
      <c r="G284" s="51" t="s">
        <v>530</v>
      </c>
      <c r="H284" s="50" t="s">
        <v>466</v>
      </c>
      <c r="I284" s="50">
        <v>2021</v>
      </c>
      <c r="J284" s="50" t="s">
        <v>442</v>
      </c>
    </row>
    <row r="285" spans="1:10">
      <c r="A285" s="65" t="s">
        <v>520</v>
      </c>
      <c r="B285" s="66">
        <v>44587</v>
      </c>
      <c r="C285" s="65" t="s">
        <v>515</v>
      </c>
      <c r="D285" s="71">
        <v>1037</v>
      </c>
      <c r="E285" s="44">
        <v>-63</v>
      </c>
      <c r="F285" s="50" t="s">
        <v>530</v>
      </c>
      <c r="G285" s="51" t="s">
        <v>531</v>
      </c>
      <c r="H285" s="50" t="s">
        <v>455</v>
      </c>
      <c r="I285" s="50">
        <v>2022</v>
      </c>
      <c r="J285" s="50" t="s">
        <v>444</v>
      </c>
    </row>
    <row r="286" spans="1:10">
      <c r="A286" s="65" t="s">
        <v>527</v>
      </c>
      <c r="B286" s="66">
        <v>44685</v>
      </c>
      <c r="C286" s="65" t="s">
        <v>449</v>
      </c>
      <c r="D286" s="71">
        <v>388</v>
      </c>
      <c r="E286" s="44">
        <v>35</v>
      </c>
      <c r="F286" s="50" t="s">
        <v>532</v>
      </c>
      <c r="G286" s="51" t="s">
        <v>530</v>
      </c>
      <c r="H286" s="50" t="s">
        <v>459</v>
      </c>
      <c r="I286" s="50">
        <v>2022</v>
      </c>
      <c r="J286" s="50" t="s">
        <v>443</v>
      </c>
    </row>
    <row r="287" spans="1:10">
      <c r="A287" s="65" t="s">
        <v>523</v>
      </c>
      <c r="B287" s="66">
        <v>44613</v>
      </c>
      <c r="C287" s="65" t="s">
        <v>515</v>
      </c>
      <c r="D287" s="71">
        <v>1614</v>
      </c>
      <c r="E287" s="44">
        <v>-37</v>
      </c>
      <c r="F287" s="50" t="s">
        <v>530</v>
      </c>
      <c r="G287" s="51" t="s">
        <v>532</v>
      </c>
      <c r="H287" s="50" t="s">
        <v>456</v>
      </c>
      <c r="I287" s="50">
        <v>2022</v>
      </c>
      <c r="J287" s="50" t="s">
        <v>444</v>
      </c>
    </row>
    <row r="288" spans="1:10">
      <c r="A288" s="65" t="s">
        <v>525</v>
      </c>
      <c r="B288" s="66">
        <v>44564</v>
      </c>
      <c r="C288" s="65" t="s">
        <v>517</v>
      </c>
      <c r="D288" s="71">
        <v>554</v>
      </c>
      <c r="E288" s="44">
        <v>-86</v>
      </c>
      <c r="F288" s="50" t="s">
        <v>530</v>
      </c>
      <c r="G288" s="51" t="s">
        <v>531</v>
      </c>
      <c r="H288" s="50" t="s">
        <v>455</v>
      </c>
      <c r="I288" s="50">
        <v>2022</v>
      </c>
      <c r="J288" s="50" t="s">
        <v>445</v>
      </c>
    </row>
    <row r="289" spans="1:10">
      <c r="A289" s="65" t="s">
        <v>525</v>
      </c>
      <c r="B289" s="66">
        <v>44566</v>
      </c>
      <c r="C289" s="65" t="s">
        <v>516</v>
      </c>
      <c r="D289" s="71">
        <v>2342</v>
      </c>
      <c r="E289" s="44">
        <v>-84</v>
      </c>
      <c r="F289" s="50" t="s">
        <v>530</v>
      </c>
      <c r="G289" s="51" t="s">
        <v>530</v>
      </c>
      <c r="H289" s="50" t="s">
        <v>455</v>
      </c>
      <c r="I289" s="50">
        <v>2022</v>
      </c>
      <c r="J289" s="50" t="s">
        <v>442</v>
      </c>
    </row>
    <row r="290" spans="1:10">
      <c r="A290" s="65" t="s">
        <v>521</v>
      </c>
      <c r="B290" s="66">
        <v>44699</v>
      </c>
      <c r="C290" s="65" t="s">
        <v>515</v>
      </c>
      <c r="D290" s="71">
        <v>300</v>
      </c>
      <c r="E290" s="44">
        <v>49</v>
      </c>
      <c r="F290" s="50" t="s">
        <v>531</v>
      </c>
      <c r="G290" s="51" t="s">
        <v>530</v>
      </c>
      <c r="H290" s="50" t="s">
        <v>459</v>
      </c>
      <c r="I290" s="50">
        <v>2022</v>
      </c>
      <c r="J290" s="50" t="s">
        <v>443</v>
      </c>
    </row>
    <row r="291" spans="1:10">
      <c r="A291" s="65" t="s">
        <v>520</v>
      </c>
      <c r="B291" s="66">
        <v>44579</v>
      </c>
      <c r="C291" s="65" t="s">
        <v>517</v>
      </c>
      <c r="D291" s="71">
        <v>2316</v>
      </c>
      <c r="E291" s="44">
        <v>-71</v>
      </c>
      <c r="F291" s="50" t="s">
        <v>530</v>
      </c>
      <c r="G291" s="51" t="s">
        <v>531</v>
      </c>
      <c r="H291" s="50" t="s">
        <v>455</v>
      </c>
      <c r="I291" s="50">
        <v>2022</v>
      </c>
      <c r="J291" s="50" t="s">
        <v>445</v>
      </c>
    </row>
    <row r="292" spans="1:10">
      <c r="A292" s="65" t="s">
        <v>525</v>
      </c>
      <c r="B292" s="66">
        <v>44644</v>
      </c>
      <c r="C292" s="65" t="s">
        <v>515</v>
      </c>
      <c r="D292" s="71">
        <v>2686</v>
      </c>
      <c r="E292" s="44">
        <v>-6</v>
      </c>
      <c r="F292" s="50" t="s">
        <v>530</v>
      </c>
      <c r="G292" s="51" t="s">
        <v>508</v>
      </c>
      <c r="H292" s="50" t="s">
        <v>457</v>
      </c>
      <c r="I292" s="50">
        <v>2022</v>
      </c>
      <c r="J292" s="50" t="s">
        <v>444</v>
      </c>
    </row>
    <row r="293" spans="1:10">
      <c r="A293" s="65" t="s">
        <v>524</v>
      </c>
      <c r="B293" s="66">
        <v>44650</v>
      </c>
      <c r="C293" s="65" t="s">
        <v>449</v>
      </c>
      <c r="D293" s="71">
        <v>2156</v>
      </c>
      <c r="E293" s="44">
        <v>0</v>
      </c>
      <c r="F293" s="50" t="s">
        <v>508</v>
      </c>
      <c r="G293" s="51" t="s">
        <v>530</v>
      </c>
      <c r="H293" s="50" t="s">
        <v>457</v>
      </c>
      <c r="I293" s="50">
        <v>2022</v>
      </c>
      <c r="J293" s="50" t="s">
        <v>443</v>
      </c>
    </row>
    <row r="294" spans="1:10">
      <c r="A294" s="65" t="s">
        <v>526</v>
      </c>
      <c r="B294" s="66">
        <v>44684</v>
      </c>
      <c r="C294" s="65" t="s">
        <v>516</v>
      </c>
      <c r="D294" s="71">
        <v>1226</v>
      </c>
      <c r="E294" s="44">
        <v>34</v>
      </c>
      <c r="F294" s="50" t="s">
        <v>530</v>
      </c>
      <c r="G294" s="51" t="s">
        <v>530</v>
      </c>
      <c r="H294" s="50" t="s">
        <v>459</v>
      </c>
      <c r="I294" s="50">
        <v>2022</v>
      </c>
      <c r="J294" s="50" t="s">
        <v>442</v>
      </c>
    </row>
    <row r="295" spans="1:10">
      <c r="A295" s="65" t="s">
        <v>520</v>
      </c>
      <c r="B295" s="66">
        <v>44677</v>
      </c>
      <c r="C295" s="65" t="s">
        <v>517</v>
      </c>
      <c r="D295" s="71">
        <v>229</v>
      </c>
      <c r="E295" s="44">
        <v>27</v>
      </c>
      <c r="F295" s="50" t="s">
        <v>509</v>
      </c>
      <c r="G295" s="51" t="s">
        <v>530</v>
      </c>
      <c r="H295" s="50" t="s">
        <v>458</v>
      </c>
      <c r="I295" s="50">
        <v>2022</v>
      </c>
      <c r="J295" s="50" t="s">
        <v>445</v>
      </c>
    </row>
    <row r="296" spans="1:10">
      <c r="A296" s="65" t="s">
        <v>521</v>
      </c>
      <c r="B296" s="66">
        <v>44574</v>
      </c>
      <c r="C296" s="65" t="s">
        <v>517</v>
      </c>
      <c r="D296" s="71">
        <v>1271</v>
      </c>
      <c r="E296" s="44">
        <v>-76</v>
      </c>
      <c r="F296" s="50" t="s">
        <v>530</v>
      </c>
      <c r="G296" s="51" t="s">
        <v>531</v>
      </c>
      <c r="H296" s="50" t="s">
        <v>455</v>
      </c>
      <c r="I296" s="50">
        <v>2022</v>
      </c>
      <c r="J296" s="50" t="s">
        <v>445</v>
      </c>
    </row>
    <row r="297" spans="1:10">
      <c r="A297" s="65" t="s">
        <v>526</v>
      </c>
      <c r="B297" s="66">
        <v>44587</v>
      </c>
      <c r="C297" s="65" t="s">
        <v>517</v>
      </c>
      <c r="D297" s="71">
        <v>521</v>
      </c>
      <c r="E297" s="44">
        <v>-63</v>
      </c>
      <c r="F297" s="50" t="s">
        <v>530</v>
      </c>
      <c r="G297" s="51" t="s">
        <v>531</v>
      </c>
      <c r="H297" s="50" t="s">
        <v>455</v>
      </c>
      <c r="I297" s="50">
        <v>2022</v>
      </c>
      <c r="J297" s="50" t="s">
        <v>445</v>
      </c>
    </row>
    <row r="298" spans="1:10">
      <c r="A298" s="65" t="s">
        <v>521</v>
      </c>
      <c r="B298" s="66">
        <v>44618</v>
      </c>
      <c r="C298" s="65" t="s">
        <v>449</v>
      </c>
      <c r="D298" s="71">
        <v>463</v>
      </c>
      <c r="E298" s="44">
        <v>-32</v>
      </c>
      <c r="F298" s="50" t="s">
        <v>530</v>
      </c>
      <c r="G298" s="51" t="s">
        <v>532</v>
      </c>
      <c r="H298" s="50" t="s">
        <v>456</v>
      </c>
      <c r="I298" s="50">
        <v>2022</v>
      </c>
      <c r="J298" s="50" t="s">
        <v>444</v>
      </c>
    </row>
    <row r="299" spans="1:10">
      <c r="A299" s="65" t="s">
        <v>523</v>
      </c>
      <c r="B299" s="66">
        <v>44627</v>
      </c>
      <c r="C299" s="65" t="s">
        <v>449</v>
      </c>
      <c r="D299" s="71">
        <v>1398</v>
      </c>
      <c r="E299" s="44">
        <v>-23</v>
      </c>
      <c r="F299" s="50" t="s">
        <v>530</v>
      </c>
      <c r="G299" s="51" t="s">
        <v>509</v>
      </c>
      <c r="H299" s="50" t="s">
        <v>457</v>
      </c>
      <c r="I299" s="50">
        <v>2022</v>
      </c>
      <c r="J299" s="50" t="s">
        <v>444</v>
      </c>
    </row>
    <row r="300" spans="1:10">
      <c r="A300" s="65" t="s">
        <v>524</v>
      </c>
      <c r="B300" s="66">
        <v>44605</v>
      </c>
      <c r="C300" s="65" t="s">
        <v>449</v>
      </c>
      <c r="D300" s="71">
        <v>1779</v>
      </c>
      <c r="E300" s="44">
        <v>-45</v>
      </c>
      <c r="F300" s="50" t="s">
        <v>530</v>
      </c>
      <c r="G300" s="51" t="s">
        <v>531</v>
      </c>
      <c r="H300" s="50" t="s">
        <v>456</v>
      </c>
      <c r="I300" s="50">
        <v>2022</v>
      </c>
      <c r="J300" s="50" t="s">
        <v>444</v>
      </c>
    </row>
    <row r="301" spans="1:10">
      <c r="A301" s="65" t="s">
        <v>525</v>
      </c>
      <c r="B301" s="66">
        <v>44587</v>
      </c>
      <c r="C301" s="65" t="s">
        <v>516</v>
      </c>
      <c r="D301" s="71">
        <v>542</v>
      </c>
      <c r="E301" s="44">
        <v>-63</v>
      </c>
      <c r="F301" s="50" t="s">
        <v>530</v>
      </c>
      <c r="G301" s="51" t="s">
        <v>530</v>
      </c>
      <c r="H301" s="50" t="s">
        <v>455</v>
      </c>
      <c r="I301" s="50">
        <v>2022</v>
      </c>
      <c r="J301" s="50" t="s">
        <v>442</v>
      </c>
    </row>
    <row r="302" spans="1:10">
      <c r="A302" s="65" t="s">
        <v>527</v>
      </c>
      <c r="B302" s="66">
        <v>44701</v>
      </c>
      <c r="C302" s="65" t="s">
        <v>515</v>
      </c>
      <c r="D302" s="71">
        <v>2208</v>
      </c>
      <c r="E302" s="44">
        <v>51</v>
      </c>
      <c r="F302" s="50" t="s">
        <v>531</v>
      </c>
      <c r="G302" s="51" t="s">
        <v>530</v>
      </c>
      <c r="H302" s="50" t="s">
        <v>459</v>
      </c>
      <c r="I302" s="50">
        <v>2022</v>
      </c>
      <c r="J302" s="50" t="s">
        <v>443</v>
      </c>
    </row>
    <row r="303" spans="1:10">
      <c r="A303" s="65" t="s">
        <v>522</v>
      </c>
      <c r="B303" s="66">
        <v>44700</v>
      </c>
      <c r="C303" s="65" t="s">
        <v>515</v>
      </c>
      <c r="D303" s="71">
        <v>2390</v>
      </c>
      <c r="E303" s="44">
        <v>50</v>
      </c>
      <c r="F303" s="50" t="s">
        <v>531</v>
      </c>
      <c r="G303" s="51" t="s">
        <v>530</v>
      </c>
      <c r="H303" s="50" t="s">
        <v>459</v>
      </c>
      <c r="I303" s="50">
        <v>2022</v>
      </c>
      <c r="J303" s="50" t="s">
        <v>443</v>
      </c>
    </row>
    <row r="304" spans="1:10">
      <c r="A304" s="65" t="s">
        <v>522</v>
      </c>
      <c r="B304" s="66">
        <v>44568</v>
      </c>
      <c r="C304" s="65" t="s">
        <v>449</v>
      </c>
      <c r="D304" s="71">
        <v>898</v>
      </c>
      <c r="E304" s="44">
        <v>-82</v>
      </c>
      <c r="F304" s="50" t="s">
        <v>530</v>
      </c>
      <c r="G304" s="51" t="s">
        <v>531</v>
      </c>
      <c r="H304" s="50" t="s">
        <v>455</v>
      </c>
      <c r="I304" s="50">
        <v>2022</v>
      </c>
      <c r="J304" s="50" t="s">
        <v>444</v>
      </c>
    </row>
    <row r="305" spans="1:10">
      <c r="A305" s="65" t="s">
        <v>518</v>
      </c>
      <c r="B305" s="66">
        <v>44645</v>
      </c>
      <c r="C305" s="65" t="s">
        <v>515</v>
      </c>
      <c r="D305" s="71">
        <v>1033</v>
      </c>
      <c r="E305" s="44">
        <v>-5</v>
      </c>
      <c r="F305" s="50" t="s">
        <v>530</v>
      </c>
      <c r="G305" s="51" t="s">
        <v>508</v>
      </c>
      <c r="H305" s="50" t="s">
        <v>457</v>
      </c>
      <c r="I305" s="50">
        <v>2022</v>
      </c>
      <c r="J305" s="50" t="s">
        <v>444</v>
      </c>
    </row>
    <row r="306" spans="1:10">
      <c r="A306" s="65" t="s">
        <v>519</v>
      </c>
      <c r="B306" s="66">
        <v>44688</v>
      </c>
      <c r="C306" s="65" t="s">
        <v>515</v>
      </c>
      <c r="D306" s="71">
        <v>981</v>
      </c>
      <c r="E306" s="44">
        <v>38</v>
      </c>
      <c r="F306" s="50" t="s">
        <v>532</v>
      </c>
      <c r="G306" s="51" t="s">
        <v>530</v>
      </c>
      <c r="H306" s="50" t="s">
        <v>459</v>
      </c>
      <c r="I306" s="50">
        <v>2022</v>
      </c>
      <c r="J306" s="50" t="s">
        <v>443</v>
      </c>
    </row>
    <row r="307" spans="1:10">
      <c r="A307" s="65" t="s">
        <v>524</v>
      </c>
      <c r="B307" s="66">
        <v>44687</v>
      </c>
      <c r="C307" s="65" t="s">
        <v>517</v>
      </c>
      <c r="D307" s="71">
        <v>1042</v>
      </c>
      <c r="E307" s="44">
        <v>37</v>
      </c>
      <c r="F307" s="50" t="s">
        <v>532</v>
      </c>
      <c r="G307" s="51" t="s">
        <v>530</v>
      </c>
      <c r="H307" s="50" t="s">
        <v>459</v>
      </c>
      <c r="I307" s="50">
        <v>2022</v>
      </c>
      <c r="J307" s="50" t="s">
        <v>445</v>
      </c>
    </row>
    <row r="308" spans="1:10">
      <c r="A308" s="65" t="s">
        <v>520</v>
      </c>
      <c r="B308" s="66">
        <v>44632</v>
      </c>
      <c r="C308" s="65" t="s">
        <v>517</v>
      </c>
      <c r="D308" s="71">
        <v>597</v>
      </c>
      <c r="E308" s="44">
        <v>-18</v>
      </c>
      <c r="F308" s="50" t="s">
        <v>530</v>
      </c>
      <c r="G308" s="51" t="s">
        <v>509</v>
      </c>
      <c r="H308" s="50" t="s">
        <v>457</v>
      </c>
      <c r="I308" s="50">
        <v>2022</v>
      </c>
      <c r="J308" s="50" t="s">
        <v>445</v>
      </c>
    </row>
    <row r="309" spans="1:10">
      <c r="A309" s="65" t="s">
        <v>523</v>
      </c>
      <c r="B309" s="66">
        <v>44701</v>
      </c>
      <c r="C309" s="65" t="s">
        <v>449</v>
      </c>
      <c r="D309" s="71">
        <v>2499</v>
      </c>
      <c r="E309" s="44">
        <v>51</v>
      </c>
      <c r="F309" s="50" t="s">
        <v>531</v>
      </c>
      <c r="G309" s="51" t="s">
        <v>530</v>
      </c>
      <c r="H309" s="50" t="s">
        <v>459</v>
      </c>
      <c r="I309" s="50">
        <v>2022</v>
      </c>
      <c r="J309" s="50" t="s">
        <v>443</v>
      </c>
    </row>
    <row r="310" spans="1:10">
      <c r="A310" s="65" t="s">
        <v>526</v>
      </c>
      <c r="B310" s="66">
        <v>44605</v>
      </c>
      <c r="C310" s="65" t="s">
        <v>515</v>
      </c>
      <c r="D310" s="71">
        <v>929</v>
      </c>
      <c r="E310" s="44">
        <v>-45</v>
      </c>
      <c r="F310" s="50" t="s">
        <v>530</v>
      </c>
      <c r="G310" s="51" t="s">
        <v>531</v>
      </c>
      <c r="H310" s="50" t="s">
        <v>456</v>
      </c>
      <c r="I310" s="50">
        <v>2022</v>
      </c>
      <c r="J310" s="50" t="s">
        <v>444</v>
      </c>
    </row>
    <row r="311" spans="1:10">
      <c r="A311" s="65" t="s">
        <v>525</v>
      </c>
      <c r="B311" s="66">
        <v>44676</v>
      </c>
      <c r="C311" s="65" t="s">
        <v>516</v>
      </c>
      <c r="D311" s="71">
        <v>758</v>
      </c>
      <c r="E311" s="44">
        <v>26</v>
      </c>
      <c r="F311" s="50" t="s">
        <v>530</v>
      </c>
      <c r="G311" s="51" t="s">
        <v>530</v>
      </c>
      <c r="H311" s="50" t="s">
        <v>458</v>
      </c>
      <c r="I311" s="50">
        <v>2022</v>
      </c>
      <c r="J311" s="50" t="s">
        <v>442</v>
      </c>
    </row>
    <row r="312" spans="1:10">
      <c r="A312" s="65" t="s">
        <v>521</v>
      </c>
      <c r="B312" s="66">
        <v>44711</v>
      </c>
      <c r="C312" s="65" t="s">
        <v>516</v>
      </c>
      <c r="D312" s="71">
        <v>1632</v>
      </c>
      <c r="E312" s="44">
        <v>61</v>
      </c>
      <c r="F312" s="50" t="s">
        <v>530</v>
      </c>
      <c r="G312" s="51" t="s">
        <v>530</v>
      </c>
      <c r="H312" s="50" t="s">
        <v>459</v>
      </c>
      <c r="I312" s="50">
        <v>2022</v>
      </c>
      <c r="J312" s="50" t="s">
        <v>442</v>
      </c>
    </row>
    <row r="313" spans="1:10">
      <c r="A313" s="65" t="s">
        <v>520</v>
      </c>
      <c r="B313" s="66">
        <v>44610</v>
      </c>
      <c r="C313" s="65" t="s">
        <v>516</v>
      </c>
      <c r="D313" s="71">
        <v>2013</v>
      </c>
      <c r="E313" s="44">
        <v>-40</v>
      </c>
      <c r="F313" s="50" t="s">
        <v>530</v>
      </c>
      <c r="G313" s="51" t="s">
        <v>530</v>
      </c>
      <c r="H313" s="50" t="s">
        <v>456</v>
      </c>
      <c r="I313" s="50">
        <v>2022</v>
      </c>
      <c r="J313" s="50" t="s">
        <v>442</v>
      </c>
    </row>
    <row r="314" spans="1:10">
      <c r="A314" s="65" t="s">
        <v>521</v>
      </c>
      <c r="B314" s="66">
        <v>44547</v>
      </c>
      <c r="C314" s="65" t="s">
        <v>515</v>
      </c>
      <c r="D314" s="71">
        <v>2006</v>
      </c>
      <c r="E314" s="44">
        <v>-103</v>
      </c>
      <c r="F314" s="50" t="s">
        <v>530</v>
      </c>
      <c r="G314" s="51" t="s">
        <v>531</v>
      </c>
      <c r="H314" s="50" t="s">
        <v>466</v>
      </c>
      <c r="I314" s="50">
        <v>2021</v>
      </c>
      <c r="J314" s="50" t="s">
        <v>444</v>
      </c>
    </row>
    <row r="315" spans="1:10">
      <c r="A315" s="65" t="s">
        <v>524</v>
      </c>
      <c r="B315" s="66">
        <v>44582</v>
      </c>
      <c r="C315" s="65" t="s">
        <v>515</v>
      </c>
      <c r="D315" s="71">
        <v>1250</v>
      </c>
      <c r="E315" s="44">
        <v>-68</v>
      </c>
      <c r="F315" s="50" t="s">
        <v>530</v>
      </c>
      <c r="G315" s="51" t="s">
        <v>531</v>
      </c>
      <c r="H315" s="50" t="s">
        <v>455</v>
      </c>
      <c r="I315" s="50">
        <v>2022</v>
      </c>
      <c r="J315" s="50" t="s">
        <v>444</v>
      </c>
    </row>
    <row r="316" spans="1:10">
      <c r="A316" s="65" t="s">
        <v>526</v>
      </c>
      <c r="B316" s="66">
        <v>44556</v>
      </c>
      <c r="C316" s="65" t="s">
        <v>515</v>
      </c>
      <c r="D316" s="71">
        <v>1303</v>
      </c>
      <c r="E316" s="44">
        <v>-94</v>
      </c>
      <c r="F316" s="50" t="s">
        <v>530</v>
      </c>
      <c r="G316" s="51" t="s">
        <v>531</v>
      </c>
      <c r="H316" s="50" t="s">
        <v>466</v>
      </c>
      <c r="I316" s="50">
        <v>2021</v>
      </c>
      <c r="J316" s="50" t="s">
        <v>444</v>
      </c>
    </row>
    <row r="317" spans="1:10">
      <c r="A317" s="65" t="s">
        <v>524</v>
      </c>
      <c r="B317" s="66">
        <v>44639</v>
      </c>
      <c r="C317" s="65" t="s">
        <v>449</v>
      </c>
      <c r="D317" s="71">
        <v>648</v>
      </c>
      <c r="E317" s="44">
        <v>-11</v>
      </c>
      <c r="F317" s="50" t="s">
        <v>530</v>
      </c>
      <c r="G317" s="51" t="s">
        <v>508</v>
      </c>
      <c r="H317" s="50" t="s">
        <v>457</v>
      </c>
      <c r="I317" s="50">
        <v>2022</v>
      </c>
      <c r="J317" s="50" t="s">
        <v>444</v>
      </c>
    </row>
    <row r="318" spans="1:10">
      <c r="A318" s="65" t="s">
        <v>527</v>
      </c>
      <c r="B318" s="66">
        <v>44579</v>
      </c>
      <c r="C318" s="65" t="s">
        <v>516</v>
      </c>
      <c r="D318" s="71">
        <v>592</v>
      </c>
      <c r="E318" s="44">
        <v>-71</v>
      </c>
      <c r="F318" s="50" t="s">
        <v>530</v>
      </c>
      <c r="G318" s="51" t="s">
        <v>530</v>
      </c>
      <c r="H318" s="50" t="s">
        <v>455</v>
      </c>
      <c r="I318" s="50">
        <v>2022</v>
      </c>
      <c r="J318" s="50" t="s">
        <v>442</v>
      </c>
    </row>
    <row r="319" spans="1:10">
      <c r="A319" s="65" t="s">
        <v>525</v>
      </c>
      <c r="B319" s="66">
        <v>44544</v>
      </c>
      <c r="C319" s="65" t="s">
        <v>515</v>
      </c>
      <c r="D319" s="71">
        <v>2194</v>
      </c>
      <c r="E319" s="44">
        <v>-106</v>
      </c>
      <c r="F319" s="50" t="s">
        <v>530</v>
      </c>
      <c r="G319" s="51" t="s">
        <v>531</v>
      </c>
      <c r="H319" s="50" t="s">
        <v>466</v>
      </c>
      <c r="I319" s="50">
        <v>2021</v>
      </c>
      <c r="J319" s="50" t="s">
        <v>444</v>
      </c>
    </row>
    <row r="320" spans="1:10">
      <c r="A320" s="65" t="s">
        <v>523</v>
      </c>
      <c r="B320" s="66">
        <v>44571</v>
      </c>
      <c r="C320" s="65" t="s">
        <v>515</v>
      </c>
      <c r="D320" s="71">
        <v>2156</v>
      </c>
      <c r="E320" s="44">
        <v>-79</v>
      </c>
      <c r="F320" s="50" t="s">
        <v>530</v>
      </c>
      <c r="G320" s="51" t="s">
        <v>531</v>
      </c>
      <c r="H320" s="50" t="s">
        <v>455</v>
      </c>
      <c r="I320" s="50">
        <v>2022</v>
      </c>
      <c r="J320" s="50" t="s">
        <v>444</v>
      </c>
    </row>
    <row r="321" spans="1:10">
      <c r="A321" s="74" t="s">
        <v>521</v>
      </c>
      <c r="B321" s="75">
        <v>44678</v>
      </c>
      <c r="C321" s="74" t="s">
        <v>449</v>
      </c>
      <c r="D321" s="79">
        <v>1703</v>
      </c>
      <c r="E321" s="76">
        <v>28</v>
      </c>
      <c r="F321" s="77" t="s">
        <v>509</v>
      </c>
      <c r="G321" s="78" t="s">
        <v>530</v>
      </c>
      <c r="H321" s="77" t="s">
        <v>458</v>
      </c>
      <c r="I321" s="77">
        <v>2022</v>
      </c>
      <c r="J321" s="77" t="s">
        <v>443</v>
      </c>
    </row>
    <row r="322" spans="1:10">
      <c r="A322" s="29"/>
      <c r="B322" s="72"/>
      <c r="C322" s="72"/>
      <c r="D322" s="72"/>
      <c r="E322" s="72"/>
      <c r="F322" s="72"/>
      <c r="G322" s="73"/>
    </row>
    <row r="323" spans="1:10">
      <c r="A323" s="29"/>
      <c r="B323" s="27"/>
      <c r="C323" s="27"/>
      <c r="D323" s="27"/>
      <c r="E323" s="27"/>
      <c r="F323" s="27"/>
      <c r="G323" s="28"/>
    </row>
    <row r="324" spans="1:10">
      <c r="A324" s="26"/>
      <c r="B324" s="27"/>
      <c r="C324" s="27"/>
      <c r="D324" s="27"/>
      <c r="E324" s="27"/>
      <c r="F324" s="27"/>
      <c r="G324" s="28"/>
    </row>
    <row r="325" spans="1:10">
      <c r="A325" s="26"/>
      <c r="B325" s="27"/>
      <c r="C325" s="27"/>
      <c r="D325" s="27"/>
      <c r="E325" s="27"/>
      <c r="F325" s="27"/>
      <c r="G325" s="28"/>
    </row>
    <row r="326" spans="1:10">
      <c r="A326" s="26"/>
      <c r="B326" s="27"/>
      <c r="C326" s="27"/>
      <c r="D326" s="27"/>
      <c r="E326" s="27"/>
      <c r="F326" s="27"/>
      <c r="G326" s="28"/>
    </row>
    <row r="327" spans="1:10">
      <c r="A327" s="26"/>
      <c r="B327" s="27"/>
      <c r="C327" s="27"/>
      <c r="D327" s="27"/>
      <c r="E327" s="27"/>
      <c r="F327" s="27"/>
      <c r="G327" s="28"/>
    </row>
  </sheetData>
  <mergeCells count="1">
    <mergeCell ref="O1:P1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/>
  <dimension ref="A1:O28"/>
  <sheetViews>
    <sheetView workbookViewId="0">
      <selection activeCell="H25" sqref="H25"/>
    </sheetView>
  </sheetViews>
  <sheetFormatPr defaultRowHeight="15"/>
  <cols>
    <col min="1" max="1" width="18" bestFit="1" customWidth="1"/>
    <col min="2" max="2" width="15.7109375" bestFit="1" customWidth="1"/>
    <col min="3" max="3" width="13.28515625" bestFit="1" customWidth="1"/>
    <col min="4" max="4" width="13.28515625" customWidth="1"/>
    <col min="5" max="5" width="14.28515625" bestFit="1" customWidth="1"/>
    <col min="7" max="7" width="18" bestFit="1" customWidth="1"/>
    <col min="8" max="8" width="15.7109375" bestFit="1" customWidth="1"/>
    <col min="9" max="11" width="13.28515625" bestFit="1" customWidth="1"/>
    <col min="12" max="12" width="14.28515625" bestFit="1" customWidth="1"/>
    <col min="14" max="14" width="15" bestFit="1" customWidth="1"/>
    <col min="15" max="15" width="14.28515625" bestFit="1" customWidth="1"/>
  </cols>
  <sheetData>
    <row r="1" spans="1:15">
      <c r="N1" t="s">
        <v>533</v>
      </c>
      <c r="O1" s="7">
        <f>SUMIF('DBO Receber'!C:C,"Atrasada",'DBO Receber'!D:D)+SUMIF('DBO Receber'!C:C,"Parcial",'DBO Receber'!D:D)</f>
        <v>121085</v>
      </c>
    </row>
    <row r="3" spans="1:15">
      <c r="A3" s="8" t="s">
        <v>453</v>
      </c>
      <c r="B3" t="s">
        <v>443</v>
      </c>
      <c r="G3" t="s">
        <v>528</v>
      </c>
    </row>
    <row r="4" spans="1:15">
      <c r="G4" s="8" t="s">
        <v>446</v>
      </c>
      <c r="H4" s="8" t="s">
        <v>436</v>
      </c>
    </row>
    <row r="5" spans="1:15">
      <c r="A5" s="8" t="s">
        <v>446</v>
      </c>
      <c r="B5" s="8" t="s">
        <v>436</v>
      </c>
      <c r="G5" s="8" t="s">
        <v>388</v>
      </c>
      <c r="H5" t="s">
        <v>508</v>
      </c>
      <c r="I5" t="s">
        <v>509</v>
      </c>
      <c r="J5" t="s">
        <v>532</v>
      </c>
      <c r="K5" t="s">
        <v>531</v>
      </c>
      <c r="L5" t="s">
        <v>389</v>
      </c>
    </row>
    <row r="6" spans="1:15">
      <c r="A6" s="8" t="s">
        <v>388</v>
      </c>
      <c r="B6" t="s">
        <v>532</v>
      </c>
      <c r="C6" t="s">
        <v>389</v>
      </c>
      <c r="G6" s="9" t="s">
        <v>444</v>
      </c>
      <c r="H6" s="10">
        <v>24198</v>
      </c>
      <c r="I6" s="10">
        <v>33381</v>
      </c>
      <c r="J6" s="10">
        <v>14082</v>
      </c>
      <c r="K6" s="10">
        <v>53351</v>
      </c>
      <c r="L6" s="10">
        <v>125012</v>
      </c>
    </row>
    <row r="7" spans="1:15">
      <c r="A7" s="9" t="s">
        <v>515</v>
      </c>
      <c r="B7" s="10">
        <v>9238</v>
      </c>
      <c r="C7" s="10">
        <v>9238</v>
      </c>
      <c r="G7" s="9" t="s">
        <v>445</v>
      </c>
      <c r="H7" s="10">
        <v>7789</v>
      </c>
      <c r="I7" s="10">
        <v>4184</v>
      </c>
      <c r="J7" s="10">
        <v>4486</v>
      </c>
      <c r="K7" s="10">
        <v>31547</v>
      </c>
      <c r="L7" s="10">
        <v>48006</v>
      </c>
    </row>
    <row r="8" spans="1:15">
      <c r="A8" s="9" t="s">
        <v>449</v>
      </c>
      <c r="B8" s="10">
        <v>7099</v>
      </c>
      <c r="C8" s="10">
        <v>7099</v>
      </c>
      <c r="G8" s="9" t="s">
        <v>389</v>
      </c>
      <c r="H8" s="10">
        <v>31987</v>
      </c>
      <c r="I8" s="10">
        <v>37565</v>
      </c>
      <c r="J8" s="10">
        <v>18568</v>
      </c>
      <c r="K8" s="10">
        <v>84898</v>
      </c>
      <c r="L8" s="10">
        <v>173018</v>
      </c>
    </row>
    <row r="9" spans="1:15">
      <c r="A9" s="9" t="s">
        <v>389</v>
      </c>
      <c r="B9" s="10">
        <v>16337</v>
      </c>
      <c r="C9" s="10">
        <v>16337</v>
      </c>
    </row>
    <row r="13" spans="1:15">
      <c r="A13" t="s">
        <v>529</v>
      </c>
    </row>
    <row r="14" spans="1:15">
      <c r="A14" s="8" t="s">
        <v>453</v>
      </c>
      <c r="B14" t="s">
        <v>443</v>
      </c>
    </row>
    <row r="15" spans="1:15">
      <c r="G15" s="8" t="s">
        <v>453</v>
      </c>
      <c r="H15" t="s">
        <v>454</v>
      </c>
    </row>
    <row r="16" spans="1:15">
      <c r="A16" s="8" t="s">
        <v>388</v>
      </c>
      <c r="B16" s="10" t="s">
        <v>446</v>
      </c>
    </row>
    <row r="17" spans="1:8">
      <c r="A17" s="9" t="s">
        <v>527</v>
      </c>
      <c r="B17" s="10">
        <v>1610</v>
      </c>
      <c r="G17" s="8" t="s">
        <v>388</v>
      </c>
      <c r="H17" s="10" t="s">
        <v>446</v>
      </c>
    </row>
    <row r="18" spans="1:8">
      <c r="A18" s="9" t="s">
        <v>525</v>
      </c>
      <c r="B18" s="10">
        <v>952</v>
      </c>
      <c r="G18" s="9" t="s">
        <v>527</v>
      </c>
      <c r="H18" s="10">
        <v>11120</v>
      </c>
    </row>
    <row r="19" spans="1:8">
      <c r="A19" s="9" t="s">
        <v>524</v>
      </c>
      <c r="B19" s="10">
        <v>3958</v>
      </c>
      <c r="G19" s="9" t="s">
        <v>526</v>
      </c>
      <c r="H19" s="10">
        <v>13803</v>
      </c>
    </row>
    <row r="20" spans="1:8">
      <c r="A20" s="9" t="s">
        <v>523</v>
      </c>
      <c r="B20" s="10">
        <v>2268</v>
      </c>
      <c r="G20" s="9" t="s">
        <v>525</v>
      </c>
      <c r="H20" s="10">
        <v>18652</v>
      </c>
    </row>
    <row r="21" spans="1:8">
      <c r="A21" s="9" t="s">
        <v>522</v>
      </c>
      <c r="B21" s="10">
        <v>3331</v>
      </c>
      <c r="G21" s="9" t="s">
        <v>524</v>
      </c>
      <c r="H21" s="10">
        <v>18465</v>
      </c>
    </row>
    <row r="22" spans="1:8">
      <c r="A22" s="9" t="s">
        <v>520</v>
      </c>
      <c r="B22" s="10">
        <v>967</v>
      </c>
      <c r="G22" s="9" t="s">
        <v>523</v>
      </c>
      <c r="H22" s="10">
        <v>25157</v>
      </c>
    </row>
    <row r="23" spans="1:8">
      <c r="A23" s="9" t="s">
        <v>519</v>
      </c>
      <c r="B23" s="10">
        <v>3251</v>
      </c>
      <c r="G23" s="9" t="s">
        <v>522</v>
      </c>
      <c r="H23" s="10">
        <v>10204</v>
      </c>
    </row>
    <row r="24" spans="1:8">
      <c r="A24" s="9" t="s">
        <v>389</v>
      </c>
      <c r="B24" s="10">
        <v>16337</v>
      </c>
      <c r="G24" s="9" t="s">
        <v>521</v>
      </c>
      <c r="H24" s="10">
        <v>11602</v>
      </c>
    </row>
    <row r="25" spans="1:8">
      <c r="G25" s="9" t="s">
        <v>520</v>
      </c>
      <c r="H25" s="10">
        <v>31085</v>
      </c>
    </row>
    <row r="26" spans="1:8">
      <c r="G26" s="9" t="s">
        <v>519</v>
      </c>
      <c r="H26" s="10">
        <v>13406</v>
      </c>
    </row>
    <row r="27" spans="1:8">
      <c r="G27" s="9" t="s">
        <v>518</v>
      </c>
      <c r="H27" s="10">
        <v>19524</v>
      </c>
    </row>
    <row r="28" spans="1:8">
      <c r="G28" s="9" t="s">
        <v>389</v>
      </c>
      <c r="H28" s="10">
        <v>173018</v>
      </c>
    </row>
  </sheetData>
  <pageMargins left="0.511811024" right="0.511811024" top="0.78740157499999996" bottom="0.78740157499999996" header="0.31496062000000002" footer="0.31496062000000002"/>
  <pageSetup paperSize="9" orientation="portrait" r:id="rId5"/>
  <headerFooter>
    <oddFooter>&amp;R&amp;1#&amp;"Arial"&amp;10&amp;K000000Confidential C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7"/>
  <dimension ref="A1:E12"/>
  <sheetViews>
    <sheetView workbookViewId="0">
      <selection activeCell="E1" sqref="E1"/>
    </sheetView>
  </sheetViews>
  <sheetFormatPr defaultRowHeight="15"/>
  <cols>
    <col min="4" max="4" width="17" bestFit="1" customWidth="1"/>
    <col min="5" max="5" width="15.85546875" style="7" bestFit="1" customWidth="1"/>
  </cols>
  <sheetData>
    <row r="1" spans="1:5">
      <c r="A1">
        <v>1</v>
      </c>
      <c r="B1" t="s">
        <v>455</v>
      </c>
      <c r="D1" t="s">
        <v>468</v>
      </c>
      <c r="E1" s="7">
        <f>SUMIF('DBO Receber'!C:C,"pago",'DBO Receber'!D:D)</f>
        <v>107478</v>
      </c>
    </row>
    <row r="2" spans="1:5">
      <c r="A2">
        <v>2</v>
      </c>
      <c r="B2" t="s">
        <v>456</v>
      </c>
      <c r="D2" t="s">
        <v>470</v>
      </c>
      <c r="E2" s="7">
        <f>SUMIF('DBO Receber'!C:C,"aberto",'DBO Receber'!D:D)</f>
        <v>149746</v>
      </c>
    </row>
    <row r="3" spans="1:5">
      <c r="A3">
        <v>3</v>
      </c>
      <c r="B3" t="s">
        <v>457</v>
      </c>
      <c r="D3" t="s">
        <v>469</v>
      </c>
      <c r="E3" s="7">
        <f>SUMIF('DBO Receber'!C:C,"atrasada",'DBO Receber'!D:D)+SUMIF('DBO Receber'!C:C,"parcial",'DBO Receber'!D:D)</f>
        <v>121085</v>
      </c>
    </row>
    <row r="4" spans="1:5">
      <c r="A4">
        <v>4</v>
      </c>
      <c r="B4" t="s">
        <v>458</v>
      </c>
      <c r="D4" t="s">
        <v>471</v>
      </c>
      <c r="E4" s="7">
        <f>SUM(E2:E3)</f>
        <v>270831</v>
      </c>
    </row>
    <row r="5" spans="1:5">
      <c r="A5">
        <v>5</v>
      </c>
      <c r="B5" t="s">
        <v>459</v>
      </c>
    </row>
    <row r="6" spans="1:5">
      <c r="A6">
        <v>6</v>
      </c>
      <c r="B6" t="s">
        <v>460</v>
      </c>
    </row>
    <row r="7" spans="1:5">
      <c r="A7">
        <v>7</v>
      </c>
      <c r="B7" t="s">
        <v>461</v>
      </c>
    </row>
    <row r="8" spans="1:5">
      <c r="A8">
        <v>8</v>
      </c>
      <c r="B8" t="s">
        <v>462</v>
      </c>
    </row>
    <row r="9" spans="1:5">
      <c r="A9">
        <v>9</v>
      </c>
      <c r="B9" t="s">
        <v>463</v>
      </c>
    </row>
    <row r="10" spans="1:5">
      <c r="A10">
        <v>10</v>
      </c>
      <c r="B10" t="s">
        <v>464</v>
      </c>
    </row>
    <row r="11" spans="1:5">
      <c r="A11">
        <v>11</v>
      </c>
      <c r="B11" t="s">
        <v>465</v>
      </c>
    </row>
    <row r="12" spans="1:5">
      <c r="A12">
        <v>12</v>
      </c>
      <c r="B12" t="s">
        <v>466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DashBoard Vendas</vt:lpstr>
      <vt:lpstr>DBO Vendas</vt:lpstr>
      <vt:lpstr>Ven. Peso e Valor</vt:lpstr>
      <vt:lpstr>Ven. Mes</vt:lpstr>
      <vt:lpstr>TOP Compradores</vt:lpstr>
      <vt:lpstr>Auxiliar Vendas</vt:lpstr>
      <vt:lpstr>DashBoard Compras</vt:lpstr>
      <vt:lpstr>DBO Compras</vt:lpstr>
      <vt:lpstr>Com. Vlr</vt:lpstr>
      <vt:lpstr>Top 10 Compras</vt:lpstr>
      <vt:lpstr>Com. Mes</vt:lpstr>
      <vt:lpstr>Auxiliar Compras</vt:lpstr>
      <vt:lpstr>A pagar Semanal</vt:lpstr>
      <vt:lpstr>DashBoard Receber</vt:lpstr>
      <vt:lpstr>DBO Receber</vt:lpstr>
      <vt:lpstr>Prazo</vt:lpstr>
      <vt:lpstr>Auxiliar a 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carlos.eduardo</dc:creator>
  <cp:lastModifiedBy>SANTOS Matheus</cp:lastModifiedBy>
  <dcterms:created xsi:type="dcterms:W3CDTF">2022-01-04T12:09:58Z</dcterms:created>
  <dcterms:modified xsi:type="dcterms:W3CDTF">2022-05-04T18:42:00Z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1c0902-ed92-4fed-896d-2e7725de02d4_Enabled">
    <vt:lpwstr>true</vt:lpwstr>
  </property>
  <property fmtid="{D5CDD505-2E9C-101B-9397-08002B2CF9AE}" pid="3" name="MSIP_Label_fd1c0902-ed92-4fed-896d-2e7725de02d4_SetDate">
    <vt:lpwstr>2022-05-04T18:42:00Z</vt:lpwstr>
  </property>
  <property fmtid="{D5CDD505-2E9C-101B-9397-08002B2CF9AE}" pid="4" name="MSIP_Label_fd1c0902-ed92-4fed-896d-2e7725de02d4_Method">
    <vt:lpwstr>Standard</vt:lpwstr>
  </property>
  <property fmtid="{D5CDD505-2E9C-101B-9397-08002B2CF9AE}" pid="5" name="MSIP_Label_fd1c0902-ed92-4fed-896d-2e7725de02d4_Name">
    <vt:lpwstr>Anyone (not protected)</vt:lpwstr>
  </property>
  <property fmtid="{D5CDD505-2E9C-101B-9397-08002B2CF9AE}" pid="6" name="MSIP_Label_fd1c0902-ed92-4fed-896d-2e7725de02d4_SiteId">
    <vt:lpwstr>d6b0bbee-7cd9-4d60-bce6-4a67b543e2ae</vt:lpwstr>
  </property>
  <property fmtid="{D5CDD505-2E9C-101B-9397-08002B2CF9AE}" pid="7" name="MSIP_Label_fd1c0902-ed92-4fed-896d-2e7725de02d4_ActionId">
    <vt:lpwstr>8dea2639-9e26-4586-8abd-7aff9bd2edc6</vt:lpwstr>
  </property>
  <property fmtid="{D5CDD505-2E9C-101B-9397-08002B2CF9AE}" pid="8" name="MSIP_Label_fd1c0902-ed92-4fed-896d-2e7725de02d4_ContentBits">
    <vt:lpwstr>2</vt:lpwstr>
  </property>
</Properties>
</file>