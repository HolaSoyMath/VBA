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grouperenault-my.sharepoint.com/personal/matheus_santos-extern_renault_com/Documents/Área de Trabalho/Math/2. Planilhas de teste/Macro RPIC2/"/>
    </mc:Choice>
  </mc:AlternateContent>
  <xr:revisionPtr revIDLastSave="4858" documentId="8_{6FFEA3B1-BAFE-4F99-AD9A-39D5EAA89999}" xr6:coauthVersionLast="47" xr6:coauthVersionMax="47" xr10:uidLastSave="{393C2ECA-BB10-4E55-9E9D-BB25F31F14ED}"/>
  <bookViews>
    <workbookView xWindow="810" yWindow="-120" windowWidth="19800" windowHeight="11760" tabRatio="541" xr2:uid="{F5D144C0-B7A7-47E4-8AAC-FD8C5FAF2A2F}"/>
  </bookViews>
  <sheets>
    <sheet name="Menu" sheetId="1" r:id="rId1"/>
    <sheet name="CriarPç" sheetId="7" r:id="rId2"/>
    <sheet name="ScrapAutorizado" sheetId="6" r:id="rId3"/>
    <sheet name="AnaNvl1" sheetId="3" r:id="rId4"/>
    <sheet name="Referencias" sheetId="10" r:id="rId5"/>
    <sheet name="Problema" sheetId="9" r:id="rId6"/>
    <sheet name="Reg.DHL" sheetId="8" r:id="rId7"/>
  </sheets>
  <functionGroups builtInGroupCount="19"/>
  <definedNames>
    <definedName name="_xlnm._FilterDatabase" localSheetId="4" hidden="1">Referencias!$C$1:$D$1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8" i="1" l="1"/>
  <c r="I7" i="1"/>
  <c r="I6" i="1"/>
  <c r="I5" i="1"/>
  <c r="I4" i="1"/>
  <c r="I3" i="1"/>
</calcChain>
</file>

<file path=xl/sharedStrings.xml><?xml version="1.0" encoding="utf-8"?>
<sst xmlns="http://schemas.openxmlformats.org/spreadsheetml/2006/main" count="227" uniqueCount="144">
  <si>
    <t>Data</t>
  </si>
  <si>
    <t>NIS</t>
  </si>
  <si>
    <t>Autorizado por</t>
  </si>
  <si>
    <t>Data Fab</t>
  </si>
  <si>
    <t>Conclusão de Análise</t>
  </si>
  <si>
    <t>Robson Yamashita</t>
  </si>
  <si>
    <t>Nome</t>
  </si>
  <si>
    <t>Função</t>
  </si>
  <si>
    <t>LB07382</t>
  </si>
  <si>
    <t>LB07577</t>
  </si>
  <si>
    <t>LB00680</t>
  </si>
  <si>
    <t>LB06628</t>
  </si>
  <si>
    <t>LB11414</t>
  </si>
  <si>
    <t>PM19530</t>
  </si>
  <si>
    <t>LB14477</t>
  </si>
  <si>
    <t>LB07312</t>
  </si>
  <si>
    <t>LB02648</t>
  </si>
  <si>
    <t>LB14845</t>
  </si>
  <si>
    <t>LB08885</t>
  </si>
  <si>
    <t>LB92317</t>
  </si>
  <si>
    <t>LB14371</t>
  </si>
  <si>
    <t>PM18736</t>
  </si>
  <si>
    <t>LB00279</t>
  </si>
  <si>
    <t>LB07567</t>
  </si>
  <si>
    <t>LB02818</t>
  </si>
  <si>
    <t>LB11322</t>
  </si>
  <si>
    <t>LB03906</t>
  </si>
  <si>
    <t>LC00071</t>
  </si>
  <si>
    <t>PM18524</t>
  </si>
  <si>
    <t>LB15326</t>
  </si>
  <si>
    <t>LB14454</t>
  </si>
  <si>
    <t>LB14609</t>
  </si>
  <si>
    <t>LB03907</t>
  </si>
  <si>
    <t>Rafael Perotti</t>
  </si>
  <si>
    <t>LB09186</t>
  </si>
  <si>
    <t>LB07974</t>
  </si>
  <si>
    <t>PM16657</t>
  </si>
  <si>
    <t>Carlos Kiapuchinski</t>
  </si>
  <si>
    <t>Fernanda Stall</t>
  </si>
  <si>
    <t>Lauro Esmanhoto</t>
  </si>
  <si>
    <t>Adriano Ueno</t>
  </si>
  <si>
    <t>Alisson Matos</t>
  </si>
  <si>
    <t>Ana Lammel</t>
  </si>
  <si>
    <t>Antonio Rocha</t>
  </si>
  <si>
    <t>Antonio Zem</t>
  </si>
  <si>
    <t>Carlos Camargo</t>
  </si>
  <si>
    <t>Caue Baptista</t>
  </si>
  <si>
    <t>Denilson Valentini</t>
  </si>
  <si>
    <t>Denis Sawa</t>
  </si>
  <si>
    <t>Gustavo Santos</t>
  </si>
  <si>
    <t>Luandson Silva</t>
  </si>
  <si>
    <t>Ramon Fiuza</t>
  </si>
  <si>
    <t>Ezequiel Soares</t>
  </si>
  <si>
    <t>Luiz Lopes</t>
  </si>
  <si>
    <t>Vinicius Sert</t>
  </si>
  <si>
    <t>Denis Lima</t>
  </si>
  <si>
    <t>Eduardo DA-SILVA</t>
  </si>
  <si>
    <t>Esteban Arcos</t>
  </si>
  <si>
    <t>Guilherme Pontarolo</t>
  </si>
  <si>
    <t>Leandro Vitalino</t>
  </si>
  <si>
    <t>Luana Vilela</t>
  </si>
  <si>
    <t>Lucas Halmata</t>
  </si>
  <si>
    <t>Murilo Fernandes</t>
  </si>
  <si>
    <t>Wellington Orestes</t>
  </si>
  <si>
    <t>IPN</t>
  </si>
  <si>
    <t>RAIC</t>
  </si>
  <si>
    <t>RSQC</t>
  </si>
  <si>
    <t>PQC</t>
  </si>
  <si>
    <t>LB11748</t>
  </si>
  <si>
    <t>Peça</t>
  </si>
  <si>
    <t>Solicitado por</t>
  </si>
  <si>
    <t>VIN</t>
  </si>
  <si>
    <t>NITG</t>
  </si>
  <si>
    <t>Ação</t>
  </si>
  <si>
    <t>Criação de Peça</t>
  </si>
  <si>
    <t>Log ações tomadas</t>
  </si>
  <si>
    <t>Prateleira</t>
  </si>
  <si>
    <t>Análise</t>
  </si>
  <si>
    <t>Scrap</t>
  </si>
  <si>
    <t>Grafico</t>
  </si>
  <si>
    <t>Criar peça</t>
  </si>
  <si>
    <t>Gráfico</t>
  </si>
  <si>
    <t>Registro DHL</t>
  </si>
  <si>
    <t>Contagem</t>
  </si>
  <si>
    <t>Chegada peça DHL</t>
  </si>
  <si>
    <t>NIS/VIN/Peça</t>
  </si>
  <si>
    <t>Daniel Fagundes</t>
  </si>
  <si>
    <t>LB02915</t>
  </si>
  <si>
    <t>Caminho</t>
  </si>
  <si>
    <t>Cedric Drunot</t>
  </si>
  <si>
    <t>A669229</t>
  </si>
  <si>
    <t>CI</t>
  </si>
  <si>
    <t>Drunot Cedric</t>
  </si>
  <si>
    <t>Ref</t>
  </si>
  <si>
    <t>Qntd</t>
  </si>
  <si>
    <t>Cristian Corvalan</t>
  </si>
  <si>
    <t>LC03973</t>
  </si>
  <si>
    <t>Livia Kuczera</t>
  </si>
  <si>
    <t>PM18767</t>
  </si>
  <si>
    <t>Matheus Santin</t>
  </si>
  <si>
    <t>PM19780</t>
  </si>
  <si>
    <t>Leandro Monteiro</t>
  </si>
  <si>
    <t>LB96060</t>
  </si>
  <si>
    <t>Palheta</t>
  </si>
  <si>
    <t>Rampa</t>
  </si>
  <si>
    <t>Alternador</t>
  </si>
  <si>
    <t>93YRBB005PJ197376</t>
  </si>
  <si>
    <t>CAIXA DE MARCHA</t>
  </si>
  <si>
    <t>93YHJD205PJ132647</t>
  </si>
  <si>
    <t>Calculador</t>
  </si>
  <si>
    <t>93YMAF4XENJ796746</t>
  </si>
  <si>
    <t>Bico Injetor</t>
  </si>
  <si>
    <t>93YMAF4XENJ796637</t>
  </si>
  <si>
    <t>Motor de Arranque</t>
  </si>
  <si>
    <t>93YRBB009NJ918120</t>
  </si>
  <si>
    <t>tubo combustivel</t>
  </si>
  <si>
    <t>93YRBB002PJ202498</t>
  </si>
  <si>
    <t>Valvula termostatica</t>
  </si>
  <si>
    <t>MABEC</t>
  </si>
  <si>
    <t>Conta</t>
  </si>
  <si>
    <t>ZDOA</t>
  </si>
  <si>
    <t>Criar RC</t>
  </si>
  <si>
    <t>Alterar RC</t>
  </si>
  <si>
    <t>Coluna1</t>
  </si>
  <si>
    <t>ZDOA31007AD2</t>
  </si>
  <si>
    <t>MS10011764</t>
  </si>
  <si>
    <t>MS10018112</t>
  </si>
  <si>
    <t>Forn.</t>
  </si>
  <si>
    <t>Para</t>
  </si>
  <si>
    <t>Cópia</t>
  </si>
  <si>
    <t>elidar@nelsonheusi.com; expo-div@nelsonheusi.com; tassiane.soares@renault.com; leandro.liebl@renault.com</t>
  </si>
  <si>
    <t>pm19020</t>
  </si>
  <si>
    <t>pm21239</t>
  </si>
  <si>
    <t>lb02557</t>
  </si>
  <si>
    <t>mauro.coronado@renault.com; matheus.santos-extern@renault.com</t>
  </si>
  <si>
    <t>matheus.santos-extern@renault.com; lucas.l.bueno@renault.com</t>
  </si>
  <si>
    <t>mauro.coronado@renault.com; lucas.l.bueno@renault.com</t>
  </si>
  <si>
    <t>Análise Nível 1</t>
  </si>
  <si>
    <t>29/03/21</t>
  </si>
  <si>
    <t>Amortecedor está vazando</t>
  </si>
  <si>
    <t>Rolamento de Embreagem - 24929287</t>
  </si>
  <si>
    <t>Criação de RC</t>
  </si>
  <si>
    <t>Contactor Stop - 24965304</t>
  </si>
  <si>
    <t>Caixa de Direção - 24965431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</si>
</sst>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4472C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14" fontId="0" fillId="0" borderId="0" xfId="0" applyNumberFormat="1"/>
    <xf numFmtId="0" fontId="3" fillId="0" borderId="1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0" fillId="0" borderId="8" xfId="0" applyBorder="1"/>
    <xf numFmtId="0" fontId="0" fillId="0" borderId="9" xfId="0" applyBorder="1"/>
    <xf numFmtId="1" fontId="3" fillId="0" borderId="2" xfId="0" applyNumberFormat="1" applyFont="1" applyBorder="1" applyAlignment="1">
      <alignment horizontal="left"/>
    </xf>
    <xf numFmtId="1" fontId="3" fillId="0" borderId="7" xfId="0" applyNumberFormat="1" applyFont="1" applyBorder="1" applyAlignment="1">
      <alignment horizontal="left"/>
    </xf>
    <xf numFmtId="1" fontId="0" fillId="0" borderId="0" xfId="0" applyNumberFormat="1"/>
    <xf numFmtId="14" fontId="3" fillId="0" borderId="7" xfId="0" applyNumberFormat="1" applyFont="1" applyBorder="1" applyAlignment="1">
      <alignment horizontal="left"/>
    </xf>
    <xf numFmtId="164" fontId="0" fillId="0" borderId="6" xfId="0" applyNumberFormat="1" applyFill="1" applyBorder="1"/>
    <xf numFmtId="164" fontId="0" fillId="0" borderId="5" xfId="0" applyNumberFormat="1" applyBorder="1"/>
    <xf numFmtId="0" fontId="1" fillId="2" borderId="2" xfId="0" applyFont="1" applyFill="1" applyBorder="1"/>
    <xf numFmtId="0" fontId="1" fillId="2" borderId="1" xfId="0" applyFont="1" applyFill="1" applyBorder="1"/>
    <xf numFmtId="0" fontId="1" fillId="2" borderId="3" xfId="0" applyFont="1" applyFill="1" applyBorder="1"/>
    <xf numFmtId="0" fontId="1" fillId="2" borderId="7" xfId="0" applyFont="1" applyFill="1" applyBorder="1"/>
    <xf numFmtId="14" fontId="0" fillId="0" borderId="7" xfId="0" applyNumberFormat="1" applyBorder="1"/>
    <xf numFmtId="0" fontId="1" fillId="4" borderId="2" xfId="0" applyFont="1" applyFill="1" applyBorder="1"/>
    <xf numFmtId="0" fontId="3" fillId="5" borderId="1" xfId="0" applyFont="1" applyFill="1" applyBorder="1"/>
    <xf numFmtId="0" fontId="0" fillId="3" borderId="7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7" borderId="20" xfId="0" applyFill="1" applyBorder="1"/>
    <xf numFmtId="0" fontId="0" fillId="7" borderId="11" xfId="0" applyFill="1" applyBorder="1"/>
    <xf numFmtId="0" fontId="0" fillId="7" borderId="21" xfId="0" applyFill="1" applyBorder="1"/>
    <xf numFmtId="0" fontId="5" fillId="6" borderId="22" xfId="0" applyFont="1" applyFill="1" applyBorder="1"/>
    <xf numFmtId="0" fontId="0" fillId="6" borderId="23" xfId="0" applyFill="1" applyBorder="1"/>
    <xf numFmtId="0" fontId="0" fillId="6" borderId="24" xfId="0" applyFill="1" applyBorder="1"/>
    <xf numFmtId="0" fontId="2" fillId="2" borderId="10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1" fillId="5" borderId="18" xfId="0" applyFont="1" applyFill="1" applyBorder="1" applyAlignment="1">
      <alignment horizontal="left" vertical="center"/>
    </xf>
    <xf numFmtId="0" fontId="1" fillId="5" borderId="19" xfId="0" applyFont="1" applyFill="1" applyBorder="1" applyAlignment="1">
      <alignment horizontal="left" vertical="center"/>
    </xf>
  </cellXfs>
  <cellStyles count="1">
    <cellStyle name="Normal" xfId="0" builtinId="0"/>
  </cellStyles>
  <dxfs count="58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7"/>
          <bgColor theme="7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4" formatCode="m/d/yyyy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447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9012345679012"/>
          <c:y val="5.5490542198001785E-2"/>
          <c:w val="0.60036512345679005"/>
          <c:h val="0.78197588524809614"/>
        </c:manualLayout>
      </c:layout>
      <c:pieChart>
        <c:varyColors val="1"/>
        <c:ser>
          <c:idx val="0"/>
          <c:order val="0"/>
          <c:tx>
            <c:strRef>
              <c:f>Menu!$I$2</c:f>
              <c:strCache>
                <c:ptCount val="1"/>
                <c:pt idx="0">
                  <c:v>Contagem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2E6-42E1-8A87-4D8405DB76A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2E6-42E1-8A87-4D8405DB76A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2E6-42E1-8A87-4D8405DB76A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2E6-42E1-8A87-4D8405DB76A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2E6-42E1-8A87-4D8405DB76A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BCC-4530-BAF7-1FD4E1D3FF4C}"/>
              </c:ext>
            </c:extLst>
          </c:dPt>
          <c:dLbls>
            <c:dLbl>
              <c:idx val="2"/>
              <c:layout>
                <c:manualLayout>
                  <c:x val="-7.1861309769712849E-17"/>
                  <c:y val="-2.6800670016750419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2E6-42E1-8A87-4D8405DB76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Menu!$H$3:$H$8</c:f>
              <c:strCache>
                <c:ptCount val="6"/>
                <c:pt idx="0">
                  <c:v>Análise</c:v>
                </c:pt>
                <c:pt idx="1">
                  <c:v>Prateleira</c:v>
                </c:pt>
                <c:pt idx="2">
                  <c:v>Registro DHL</c:v>
                </c:pt>
                <c:pt idx="3">
                  <c:v>Scrap</c:v>
                </c:pt>
                <c:pt idx="4">
                  <c:v>Criar peça</c:v>
                </c:pt>
                <c:pt idx="5">
                  <c:v>Criar RC</c:v>
                </c:pt>
              </c:strCache>
            </c:strRef>
          </c:cat>
          <c:val>
            <c:numRef>
              <c:f>Menu!$I$3:$I$8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10</c:v>
                </c:pt>
                <c:pt idx="3">
                  <c:v>0</c:v>
                </c:pt>
                <c:pt idx="4">
                  <c:v>6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A1-4D61-85EB-6DB70CF8E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00000000000001E-2"/>
          <c:y val="0.88693388200846757"/>
          <c:w val="0.9"/>
          <c:h val="0.113066117991532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</xdr:row>
          <xdr:rowOff>76200</xdr:rowOff>
        </xdr:from>
        <xdr:to>
          <xdr:col>1</xdr:col>
          <xdr:colOff>590550</xdr:colOff>
          <xdr:row>3</xdr:row>
          <xdr:rowOff>161925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19048</xdr:colOff>
      <xdr:row>9</xdr:row>
      <xdr:rowOff>19050</xdr:rowOff>
    </xdr:from>
    <xdr:to>
      <xdr:col>12</xdr:col>
      <xdr:colOff>228600</xdr:colOff>
      <xdr:row>19</xdr:row>
      <xdr:rowOff>9525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F76D98-6953-4C08-8BF3-79D97578066A}" name="Tabela4" displayName="Tabela4" ref="C2:F22" totalsRowShown="0" headerRowDxfId="57" dataDxfId="55" headerRowBorderDxfId="56" tableBorderDxfId="54" totalsRowBorderDxfId="53">
  <autoFilter ref="C2:F22" xr:uid="{AD2C8F7F-9E5F-4C00-85DC-8A0C6B744B19}"/>
  <tableColumns count="4">
    <tableColumn id="1" xr3:uid="{EF5A9E3C-F143-4CB7-9D2C-B35B4FA1B17F}" name="Data" dataDxfId="52"/>
    <tableColumn id="2" xr3:uid="{3152A00B-3061-48BB-81C1-9AD5DC16B39E}" name="NIS/VIN/Peça" dataDxfId="51"/>
    <tableColumn id="3" xr3:uid="{673D77DE-EA46-4498-9076-D841D549B240}" name="Ação" dataDxfId="50"/>
    <tableColumn id="4" xr3:uid="{90E4C9C2-EE58-446A-82B0-DE930CD7C00D}" name="Grafico" dataDxfId="49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B263A-C242-482D-BD2B-AB938593BC01}" name="Tabela9" displayName="Tabela9" ref="H2:I8" totalsRowShown="0" headerRowDxfId="48" headerRowBorderDxfId="47" tableBorderDxfId="46" totalsRowBorderDxfId="45">
  <autoFilter ref="H2:I8" xr:uid="{DC5C19EC-30D4-4438-9AC0-BA4C40289885}"/>
  <tableColumns count="2">
    <tableColumn id="1" xr3:uid="{9AC4E858-8C85-4F07-A1B2-8D632C99A24A}" name="Gráfico" dataDxfId="44"/>
    <tableColumn id="2" xr3:uid="{275E6EC3-DF27-410C-80F2-7AC258DDED83}" name="Contagem" dataDxfId="4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DDCA28-6CC1-4CB0-823F-4BBC07B8EB79}" name="Tabela1" displayName="Tabela1" ref="N2:R4" totalsRowShown="0" headerRowDxfId="42" headerRowBorderDxfId="41" tableBorderDxfId="40" totalsRowBorderDxfId="39">
  <autoFilter ref="N2:R4" xr:uid="{74DDCA28-6CC1-4CB0-823F-4BBC07B8EB79}"/>
  <tableColumns count="5">
    <tableColumn id="1" xr3:uid="{2081D8BC-E5A0-4AEC-A4D7-91D204781C4D}" name="Coluna1" dataDxfId="38"/>
    <tableColumn id="2" xr3:uid="{F2D5F137-41F9-4361-A497-3968BCB6CF84}" name="MABEC" dataDxfId="37"/>
    <tableColumn id="3" xr3:uid="{5DE7055E-1B18-4323-807A-431CBB56A602}" name="Forn." dataDxfId="36"/>
    <tableColumn id="4" xr3:uid="{FE6E41FF-4973-4DFE-8FD7-7EADCE04FEE4}" name="Conta" dataDxfId="35"/>
    <tableColumn id="5" xr3:uid="{527B4BD0-8DCA-46F7-8B28-BAF9B12D9E20}" name="ZDOA" dataDxfId="3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E8C9B2-36F8-4681-B1BF-D511C180CEB7}" name="Tabela2" displayName="Tabela2" ref="A1:C2" insertRow="1" totalsRowShown="0" headerRowDxfId="33" headerRowBorderDxfId="32" tableBorderDxfId="31" totalsRowBorderDxfId="30">
  <autoFilter ref="A1:C2" xr:uid="{2B25C084-4536-4EEC-B5E9-5422F29A43EC}"/>
  <tableColumns count="3">
    <tableColumn id="1" xr3:uid="{0612E2AB-942F-49C8-A634-E7B12D738937}" name="VIN" dataDxfId="29"/>
    <tableColumn id="2" xr3:uid="{FCD68F88-7E65-4BAE-8D98-5490469AE2CB}" name="NITG" dataDxfId="28"/>
    <tableColumn id="3" xr3:uid="{4C14DE94-7CB1-44C6-9918-4F5E424442AD}" name="Função" dataDxfId="2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5DD53-DB20-46F2-8756-D85FF242109B}" name="Tabela3" displayName="Tabela3" ref="A1:C2" insertRow="1" totalsRowShown="0" headerRowDxfId="26" headerRowBorderDxfId="25" tableBorderDxfId="24" totalsRowBorderDxfId="23">
  <autoFilter ref="A1:C2" xr:uid="{20A02D3F-7BE0-4258-8142-608F02292AEE}"/>
  <tableColumns count="3">
    <tableColumn id="1" xr3:uid="{BF05F389-FFFD-4C47-93B9-A9736B6F9AAA}" name="NIS" dataDxfId="22"/>
    <tableColumn id="2" xr3:uid="{70A2EDB7-2689-4807-891F-3816F79F59E8}" name="Autorizado por" dataDxfId="21"/>
    <tableColumn id="3" xr3:uid="{0E265D56-1296-4E9F-9D85-D1272FD1101A}" name="Data" dataDxfId="2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ABA8A1-2027-46CD-9593-02B3231655B8}" name="Tabela5" displayName="Tabela5" ref="A1:D2" totalsRowShown="0" headerRowDxfId="19" headerRowBorderDxfId="18" tableBorderDxfId="17" totalsRowBorderDxfId="16">
  <autoFilter ref="A1:D2" xr:uid="{B8525685-0E34-408C-9E00-D571B7AF975F}"/>
  <tableColumns count="4">
    <tableColumn id="1" xr3:uid="{40A2225E-4E9A-4E18-A690-91F54A499FB6}" name="NIS" dataDxfId="15"/>
    <tableColumn id="2" xr3:uid="{2A88FF5E-55E0-4713-8E34-56B091593AE4}" name="Data Fab" dataDxfId="14"/>
    <tableColumn id="3" xr3:uid="{39ECC15E-B13C-4E37-A5A6-D8CB65D87082}" name="Conclusão de Análise" dataDxfId="13"/>
    <tableColumn id="4" xr3:uid="{92BC8D87-7BF6-4E93-B733-D5E90CBF10C0}" name="Caminho" dataDxfId="12"/>
  </tableColumns>
  <tableStyleInfo name="TableStyleMedium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3E0A726-CED8-4636-AE3D-E57CB75306EF}" name="Tabela6" displayName="Tabela6" ref="A1:C37" totalsRowShown="0">
  <autoFilter ref="A1:C37" xr:uid="{2CAA28A7-1618-4FF7-AA41-3B0C03F66CCE}"/>
  <sortState xmlns:xlrd2="http://schemas.microsoft.com/office/spreadsheetml/2017/richdata2" ref="A2:C37">
    <sortCondition ref="A1:A37"/>
  </sortState>
  <tableColumns count="3">
    <tableColumn id="1" xr3:uid="{C181A25E-6B6C-4A0F-9AB8-418B9B784B80}" name="Nome" dataDxfId="11"/>
    <tableColumn id="2" xr3:uid="{C91AF5EF-1CB5-4BBB-8343-792D6BEFAE3E}" name="IPN" dataDxfId="10"/>
    <tableColumn id="3" xr3:uid="{35C67EFD-06F7-433D-82E8-2205B7D73A04}" name="Função" dataDxfId="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E106984-C33C-4902-9799-95A8168A2DFE}" name="Tabela7" displayName="Tabela7" ref="F1:J2" insertRow="1" totalsRowShown="0" headerRowDxfId="8" headerRowBorderDxfId="7" tableBorderDxfId="6" totalsRowBorderDxfId="5">
  <autoFilter ref="F1:J2" xr:uid="{8D99CE07-0AA0-4271-9ADE-DECE91F81C2F}"/>
  <tableColumns count="5">
    <tableColumn id="1" xr3:uid="{024CC5A8-7CC2-459E-915D-EC41480045A0}" name="Data" dataDxfId="4"/>
    <tableColumn id="2" xr3:uid="{758FBC84-64B2-42A0-ADE8-8CFF4A7E59C6}" name="Peça" dataDxfId="3"/>
    <tableColumn id="3" xr3:uid="{1683D3A4-3373-45E5-BC6D-A1025CA1D7C8}" name="Solicitado por" dataDxfId="2"/>
    <tableColumn id="4" xr3:uid="{443ED4E4-72CA-4CF4-AFD1-AD1038A587DF}" name="Função" dataDxfId="1"/>
    <tableColumn id="5" xr3:uid="{CEF4D966-3CE7-4A4A-8A3C-45651CB63736}" name="VIN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C7B30-27FF-496E-9943-50F15B6CB9C9}">
  <sheetPr codeName="Planilha1"/>
  <dimension ref="C1:Y40"/>
  <sheetViews>
    <sheetView tabSelected="1" workbookViewId="0"/>
  </sheetViews>
  <sheetFormatPr defaultRowHeight="15" x14ac:dyDescent="0.25"/>
  <cols>
    <col min="1" max="2" width="9.7109375" customWidth="1"/>
    <col min="3" max="3" width="10.7109375" style="8" bestFit="1" customWidth="1"/>
    <col min="4" max="4" width="34.85546875" style="17" bestFit="1" customWidth="1"/>
    <col min="5" max="5" width="24.140625" bestFit="1" customWidth="1"/>
    <col min="6" max="6" width="24.140625" customWidth="1"/>
    <col min="8" max="8" width="12.140625" bestFit="1" customWidth="1"/>
    <col min="9" max="9" width="12.140625" customWidth="1"/>
    <col min="13" max="13" width="10.28515625" customWidth="1"/>
    <col min="14" max="14" width="10.42578125" bestFit="1" customWidth="1"/>
    <col min="15" max="15" width="11.7109375" bestFit="1" customWidth="1"/>
    <col min="16" max="16" width="7.85546875" bestFit="1" customWidth="1"/>
    <col min="17" max="17" width="8.42578125" bestFit="1" customWidth="1"/>
    <col min="18" max="18" width="14.7109375" bestFit="1" customWidth="1"/>
  </cols>
  <sheetData>
    <row r="1" spans="3:25" x14ac:dyDescent="0.25">
      <c r="C1" s="42" t="s">
        <v>75</v>
      </c>
      <c r="D1" s="43"/>
      <c r="E1" s="43"/>
      <c r="F1" s="43"/>
    </row>
    <row r="2" spans="3:25" ht="15" customHeight="1" x14ac:dyDescent="0.25">
      <c r="C2" s="9" t="s">
        <v>0</v>
      </c>
      <c r="D2" s="15" t="s">
        <v>85</v>
      </c>
      <c r="E2" s="11" t="s">
        <v>73</v>
      </c>
      <c r="F2" s="10" t="s">
        <v>79</v>
      </c>
      <c r="H2" s="1" t="s">
        <v>81</v>
      </c>
      <c r="I2" s="3" t="s">
        <v>83</v>
      </c>
      <c r="N2" s="27" t="s">
        <v>123</v>
      </c>
      <c r="O2" s="2" t="s">
        <v>118</v>
      </c>
      <c r="P2" s="2" t="s">
        <v>127</v>
      </c>
      <c r="Q2" s="2" t="s">
        <v>119</v>
      </c>
      <c r="R2" s="3" t="s">
        <v>120</v>
      </c>
    </row>
    <row r="3" spans="3:25" x14ac:dyDescent="0.25">
      <c r="C3" s="18">
        <v>44707</v>
      </c>
      <c r="D3" s="16" t="s">
        <v>143</v>
      </c>
      <c r="E3" s="12" t="s">
        <v>141</v>
      </c>
      <c r="F3" s="12" t="s">
        <v>121</v>
      </c>
      <c r="H3" s="13" t="s">
        <v>77</v>
      </c>
      <c r="I3" s="14">
        <f>COUNTIF(Tabela4[Grafico],Tabela9[[#This Row],[Gráfico]])</f>
        <v>1</v>
      </c>
      <c r="N3" s="26" t="s">
        <v>121</v>
      </c>
      <c r="O3" s="28" t="s">
        <v>125</v>
      </c>
      <c r="P3" s="28">
        <v>138616</v>
      </c>
      <c r="Q3" s="29">
        <v>624301</v>
      </c>
      <c r="R3" s="29" t="s">
        <v>124</v>
      </c>
    </row>
    <row r="4" spans="3:25" x14ac:dyDescent="0.25">
      <c r="C4" s="18">
        <v>44706</v>
      </c>
      <c r="D4" s="16" t="s">
        <v>142</v>
      </c>
      <c r="E4" s="12" t="s">
        <v>141</v>
      </c>
      <c r="F4" s="12" t="s">
        <v>121</v>
      </c>
      <c r="H4" s="13" t="s">
        <v>76</v>
      </c>
      <c r="I4" s="14">
        <f>COUNTIF(Tabela4[Grafico],Tabela9[[#This Row],[Gráfico]])</f>
        <v>0</v>
      </c>
      <c r="N4" s="26" t="s">
        <v>122</v>
      </c>
      <c r="O4" s="29" t="s">
        <v>126</v>
      </c>
      <c r="P4" s="29">
        <v>138616</v>
      </c>
      <c r="Q4" s="29">
        <v>624301</v>
      </c>
      <c r="R4" s="29" t="s">
        <v>124</v>
      </c>
    </row>
    <row r="5" spans="3:25" x14ac:dyDescent="0.25">
      <c r="C5" s="18">
        <v>44686</v>
      </c>
      <c r="D5" s="16" t="s">
        <v>140</v>
      </c>
      <c r="E5" s="12" t="s">
        <v>141</v>
      </c>
      <c r="F5" s="12" t="s">
        <v>121</v>
      </c>
      <c r="H5" s="13" t="s">
        <v>82</v>
      </c>
      <c r="I5" s="14">
        <f>COUNTIF(Tabela4[Grafico],Tabela9[[#This Row],[Gráfico]])</f>
        <v>10</v>
      </c>
    </row>
    <row r="6" spans="3:25" x14ac:dyDescent="0.25">
      <c r="C6" s="18">
        <v>44681</v>
      </c>
      <c r="D6" s="16">
        <v>11573203901</v>
      </c>
      <c r="E6" s="12" t="s">
        <v>137</v>
      </c>
      <c r="F6" s="12" t="s">
        <v>77</v>
      </c>
      <c r="H6" s="13" t="s">
        <v>78</v>
      </c>
      <c r="I6" s="14">
        <f>COUNTIF(Tabela4[Grafico],Tabela9[[#This Row],[Gráfico]])</f>
        <v>0</v>
      </c>
    </row>
    <row r="7" spans="3:25" x14ac:dyDescent="0.25">
      <c r="C7" s="18">
        <v>44676</v>
      </c>
      <c r="D7" s="16" t="s">
        <v>117</v>
      </c>
      <c r="E7" s="12" t="s">
        <v>84</v>
      </c>
      <c r="F7" s="12" t="s">
        <v>82</v>
      </c>
      <c r="H7" s="5" t="s">
        <v>80</v>
      </c>
      <c r="I7" s="14">
        <f>COUNTIF(Tabela4[Grafico],Tabela9[[#This Row],[Gráfico]])</f>
        <v>6</v>
      </c>
    </row>
    <row r="8" spans="3:25" x14ac:dyDescent="0.25">
      <c r="C8" s="18">
        <v>44676</v>
      </c>
      <c r="D8" s="16" t="s">
        <v>116</v>
      </c>
      <c r="E8" s="12" t="s">
        <v>74</v>
      </c>
      <c r="F8" s="12" t="s">
        <v>80</v>
      </c>
      <c r="H8" s="5" t="s">
        <v>121</v>
      </c>
      <c r="I8" s="14">
        <f>COUNTIF(Tabela4[Grafico],Tabela9[[#This Row],[Gráfico]])</f>
        <v>3</v>
      </c>
    </row>
    <row r="9" spans="3:25" ht="15.75" thickBot="1" x14ac:dyDescent="0.3">
      <c r="C9" s="18">
        <v>44676</v>
      </c>
      <c r="D9" s="16" t="s">
        <v>115</v>
      </c>
      <c r="E9" s="12" t="s">
        <v>84</v>
      </c>
      <c r="F9" s="12" t="s">
        <v>82</v>
      </c>
    </row>
    <row r="10" spans="3:25" ht="15.75" thickBot="1" x14ac:dyDescent="0.3">
      <c r="C10" s="18">
        <v>44676</v>
      </c>
      <c r="D10" s="16" t="s">
        <v>114</v>
      </c>
      <c r="E10" s="12" t="s">
        <v>74</v>
      </c>
      <c r="F10" s="12" t="s">
        <v>80</v>
      </c>
      <c r="N10" s="39" t="s">
        <v>128</v>
      </c>
      <c r="O10" s="40" t="s">
        <v>130</v>
      </c>
      <c r="P10" s="40"/>
      <c r="Q10" s="40"/>
      <c r="R10" s="40"/>
      <c r="S10" s="40"/>
      <c r="T10" s="40"/>
      <c r="U10" s="40"/>
      <c r="V10" s="40"/>
      <c r="W10" s="40"/>
      <c r="X10" s="40"/>
      <c r="Y10" s="41"/>
    </row>
    <row r="11" spans="3:25" x14ac:dyDescent="0.25">
      <c r="C11" s="18">
        <v>44671</v>
      </c>
      <c r="D11" s="16" t="s">
        <v>113</v>
      </c>
      <c r="E11" s="12" t="s">
        <v>84</v>
      </c>
      <c r="F11" s="12" t="s">
        <v>82</v>
      </c>
      <c r="N11" s="44" t="s">
        <v>129</v>
      </c>
      <c r="O11" s="36" t="s">
        <v>131</v>
      </c>
      <c r="P11" s="37" t="s">
        <v>136</v>
      </c>
      <c r="Q11" s="37"/>
      <c r="R11" s="37"/>
      <c r="S11" s="37"/>
      <c r="T11" s="37"/>
      <c r="U11" s="37"/>
      <c r="V11" s="38"/>
    </row>
    <row r="12" spans="3:25" x14ac:dyDescent="0.25">
      <c r="C12" s="18">
        <v>44671</v>
      </c>
      <c r="D12" s="16" t="s">
        <v>111</v>
      </c>
      <c r="E12" s="12" t="s">
        <v>84</v>
      </c>
      <c r="F12" s="12" t="s">
        <v>82</v>
      </c>
      <c r="N12" s="44"/>
      <c r="O12" s="31" t="s">
        <v>133</v>
      </c>
      <c r="P12" s="30" t="s">
        <v>135</v>
      </c>
      <c r="Q12" s="30"/>
      <c r="R12" s="30"/>
      <c r="S12" s="30"/>
      <c r="T12" s="30"/>
      <c r="U12" s="30"/>
      <c r="V12" s="32"/>
    </row>
    <row r="13" spans="3:25" ht="15.75" thickBot="1" x14ac:dyDescent="0.3">
      <c r="C13" s="18">
        <v>44671</v>
      </c>
      <c r="D13" s="16" t="s">
        <v>112</v>
      </c>
      <c r="E13" s="12" t="s">
        <v>74</v>
      </c>
      <c r="F13" s="12" t="s">
        <v>80</v>
      </c>
      <c r="N13" s="45"/>
      <c r="O13" s="33" t="s">
        <v>132</v>
      </c>
      <c r="P13" s="34" t="s">
        <v>134</v>
      </c>
      <c r="Q13" s="34"/>
      <c r="R13" s="34"/>
      <c r="S13" s="34"/>
      <c r="T13" s="34"/>
      <c r="U13" s="34"/>
      <c r="V13" s="35"/>
    </row>
    <row r="14" spans="3:25" x14ac:dyDescent="0.25">
      <c r="C14" s="18">
        <v>44671</v>
      </c>
      <c r="D14" s="16" t="s">
        <v>111</v>
      </c>
      <c r="E14" s="12" t="s">
        <v>84</v>
      </c>
      <c r="F14" s="12" t="s">
        <v>82</v>
      </c>
    </row>
    <row r="15" spans="3:25" x14ac:dyDescent="0.25">
      <c r="C15" s="18">
        <v>44671</v>
      </c>
      <c r="D15" s="16" t="s">
        <v>110</v>
      </c>
      <c r="E15" s="12" t="s">
        <v>74</v>
      </c>
      <c r="F15" s="12" t="s">
        <v>80</v>
      </c>
    </row>
    <row r="16" spans="3:25" x14ac:dyDescent="0.25">
      <c r="C16" s="18">
        <v>44670</v>
      </c>
      <c r="D16" s="16" t="s">
        <v>109</v>
      </c>
      <c r="E16" s="12" t="s">
        <v>84</v>
      </c>
      <c r="F16" s="12" t="s">
        <v>82</v>
      </c>
    </row>
    <row r="17" spans="3:6" x14ac:dyDescent="0.25">
      <c r="C17" s="18">
        <v>44670</v>
      </c>
      <c r="D17" s="16" t="s">
        <v>108</v>
      </c>
      <c r="E17" s="12" t="s">
        <v>74</v>
      </c>
      <c r="F17" s="12" t="s">
        <v>80</v>
      </c>
    </row>
    <row r="18" spans="3:6" x14ac:dyDescent="0.25">
      <c r="C18" s="18">
        <v>44669</v>
      </c>
      <c r="D18" s="16" t="s">
        <v>107</v>
      </c>
      <c r="E18" s="12" t="s">
        <v>84</v>
      </c>
      <c r="F18" s="12" t="s">
        <v>82</v>
      </c>
    </row>
    <row r="19" spans="3:6" x14ac:dyDescent="0.25">
      <c r="C19" s="18">
        <v>44669</v>
      </c>
      <c r="D19" s="16" t="s">
        <v>106</v>
      </c>
      <c r="E19" s="12" t="s">
        <v>74</v>
      </c>
      <c r="F19" s="12" t="s">
        <v>80</v>
      </c>
    </row>
    <row r="20" spans="3:6" x14ac:dyDescent="0.25">
      <c r="C20" s="18">
        <v>44663</v>
      </c>
      <c r="D20" s="16" t="s">
        <v>105</v>
      </c>
      <c r="E20" s="12" t="s">
        <v>84</v>
      </c>
      <c r="F20" s="12" t="s">
        <v>82</v>
      </c>
    </row>
    <row r="21" spans="3:6" x14ac:dyDescent="0.25">
      <c r="C21" s="18">
        <v>44662</v>
      </c>
      <c r="D21" s="16" t="s">
        <v>104</v>
      </c>
      <c r="E21" s="12" t="s">
        <v>84</v>
      </c>
      <c r="F21" s="12" t="s">
        <v>82</v>
      </c>
    </row>
    <row r="22" spans="3:6" x14ac:dyDescent="0.25">
      <c r="C22" s="18">
        <v>44662</v>
      </c>
      <c r="D22" s="16" t="s">
        <v>103</v>
      </c>
      <c r="E22" s="12" t="s">
        <v>84</v>
      </c>
      <c r="F22" s="12" t="s">
        <v>82</v>
      </c>
    </row>
    <row r="23" spans="3:6" x14ac:dyDescent="0.25">
      <c r="C23"/>
    </row>
    <row r="24" spans="3:6" x14ac:dyDescent="0.25">
      <c r="C24"/>
    </row>
    <row r="25" spans="3:6" x14ac:dyDescent="0.25">
      <c r="C25"/>
    </row>
    <row r="26" spans="3:6" x14ac:dyDescent="0.25">
      <c r="C26"/>
    </row>
    <row r="27" spans="3:6" x14ac:dyDescent="0.25">
      <c r="C27"/>
    </row>
    <row r="28" spans="3:6" x14ac:dyDescent="0.25">
      <c r="C28"/>
    </row>
    <row r="29" spans="3:6" x14ac:dyDescent="0.25">
      <c r="C29"/>
    </row>
    <row r="30" spans="3:6" x14ac:dyDescent="0.25">
      <c r="C30"/>
    </row>
    <row r="31" spans="3:6" x14ac:dyDescent="0.25">
      <c r="C31"/>
    </row>
    <row r="32" spans="3:6" x14ac:dyDescent="0.25">
      <c r="C32"/>
    </row>
    <row r="33" spans="3:3" x14ac:dyDescent="0.25">
      <c r="C33"/>
    </row>
    <row r="34" spans="3:3" x14ac:dyDescent="0.25">
      <c r="C34"/>
    </row>
    <row r="35" spans="3:3" x14ac:dyDescent="0.25">
      <c r="C35"/>
    </row>
    <row r="36" spans="3:3" x14ac:dyDescent="0.25">
      <c r="C36"/>
    </row>
    <row r="37" spans="3:3" x14ac:dyDescent="0.25">
      <c r="C37"/>
    </row>
    <row r="38" spans="3:3" x14ac:dyDescent="0.25">
      <c r="C38"/>
    </row>
    <row r="39" spans="3:3" x14ac:dyDescent="0.25">
      <c r="C39"/>
    </row>
    <row r="40" spans="3:3" x14ac:dyDescent="0.25">
      <c r="C40"/>
    </row>
  </sheetData>
  <mergeCells count="2">
    <mergeCell ref="C1:F1"/>
    <mergeCell ref="N11:N13"/>
  </mergeCells>
  <phoneticPr fontId="4" type="noConversion"/>
  <pageMargins left="0.511811024" right="0.511811024" top="0.78740157499999996" bottom="0.78740157499999996" header="0.31496062000000002" footer="0.31496062000000002"/>
  <pageSetup paperSize="9" orientation="portrait" r:id="rId1"/>
  <headerFooter>
    <oddFooter>&amp;R&amp;"Calibri"&amp;11&amp;K000000_x000D_&amp;1#&amp;"Arial"&amp;10&amp;K000000Confidential C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0</xdr:col>
                <xdr:colOff>57150</xdr:colOff>
                <xdr:row>1</xdr:row>
                <xdr:rowOff>76200</xdr:rowOff>
              </from>
              <to>
                <xdr:col>1</xdr:col>
                <xdr:colOff>590550</xdr:colOff>
                <xdr:row>3</xdr:row>
                <xdr:rowOff>161925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3"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ADD78-C6A1-415D-A6ED-BDB0A0EBBF5E}">
  <sheetPr codeName="Planilha6"/>
  <dimension ref="A1:C2"/>
  <sheetViews>
    <sheetView workbookViewId="0">
      <selection activeCell="A2" sqref="A2:C2"/>
    </sheetView>
  </sheetViews>
  <sheetFormatPr defaultRowHeight="15" x14ac:dyDescent="0.25"/>
  <cols>
    <col min="1" max="1" width="19.85546875" bestFit="1" customWidth="1"/>
    <col min="6" max="6" width="12" bestFit="1" customWidth="1"/>
    <col min="8" max="8" width="12" bestFit="1" customWidth="1"/>
  </cols>
  <sheetData>
    <row r="1" spans="1:3" x14ac:dyDescent="0.25">
      <c r="A1" s="1" t="s">
        <v>71</v>
      </c>
      <c r="B1" s="2" t="s">
        <v>72</v>
      </c>
      <c r="C1" s="2" t="s">
        <v>7</v>
      </c>
    </row>
    <row r="2" spans="1:3" x14ac:dyDescent="0.25">
      <c r="A2" s="5"/>
      <c r="B2" s="6"/>
      <c r="C2" s="6"/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&amp;R&amp;1#&amp;"Arial"&amp;10&amp;K000000Confidential C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2D93B-F5F4-437D-A30C-3936BE748C47}">
  <sheetPr codeName="Planilha5"/>
  <dimension ref="A1:C2"/>
  <sheetViews>
    <sheetView workbookViewId="0">
      <selection activeCell="E23" sqref="E23"/>
    </sheetView>
  </sheetViews>
  <sheetFormatPr defaultRowHeight="15" x14ac:dyDescent="0.25"/>
  <cols>
    <col min="1" max="1" width="12" bestFit="1" customWidth="1"/>
    <col min="2" max="2" width="16.28515625" customWidth="1"/>
    <col min="3" max="3" width="10.7109375" bestFit="1" customWidth="1"/>
  </cols>
  <sheetData>
    <row r="1" spans="1:3" x14ac:dyDescent="0.25">
      <c r="A1" s="1" t="s">
        <v>1</v>
      </c>
      <c r="B1" s="2" t="s">
        <v>2</v>
      </c>
      <c r="C1" s="3" t="s">
        <v>0</v>
      </c>
    </row>
    <row r="2" spans="1:3" x14ac:dyDescent="0.25">
      <c r="A2" s="5"/>
      <c r="B2" s="6"/>
      <c r="C2" s="19"/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&amp;R&amp;1#&amp;"Arial"&amp;10&amp;K000000Confidential C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C8F59-05D3-4B8A-A611-883E716BE6AA}">
  <sheetPr codeName="Planilha3"/>
  <dimension ref="A1:D1"/>
  <sheetViews>
    <sheetView workbookViewId="0">
      <selection activeCell="E9" sqref="E9"/>
    </sheetView>
  </sheetViews>
  <sheetFormatPr defaultRowHeight="15" x14ac:dyDescent="0.25"/>
  <cols>
    <col min="1" max="1" width="19.140625" bestFit="1" customWidth="1"/>
    <col min="2" max="2" width="10.85546875" bestFit="1" customWidth="1"/>
    <col min="3" max="3" width="43" bestFit="1" customWidth="1"/>
    <col min="4" max="4" width="82.28515625" customWidth="1"/>
  </cols>
  <sheetData>
    <row r="1" spans="1:4" x14ac:dyDescent="0.25">
      <c r="A1" s="24" t="s">
        <v>1</v>
      </c>
      <c r="B1" s="24" t="s">
        <v>3</v>
      </c>
      <c r="C1" s="24" t="s">
        <v>4</v>
      </c>
      <c r="D1" s="24" t="s">
        <v>88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&amp;R&amp;1#&amp;"Arial"&amp;10&amp;K000000Confidential C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E4248-A290-4D9D-8E4E-1AA7CB821F7A}">
  <sheetPr codeName="Planilha7"/>
  <dimension ref="A1:D1"/>
  <sheetViews>
    <sheetView workbookViewId="0">
      <selection activeCell="G18" sqref="G18"/>
    </sheetView>
  </sheetViews>
  <sheetFormatPr defaultRowHeight="15" x14ac:dyDescent="0.25"/>
  <sheetData>
    <row r="1" spans="1:4" x14ac:dyDescent="0.25">
      <c r="A1" t="s">
        <v>93</v>
      </c>
      <c r="C1" t="s">
        <v>93</v>
      </c>
      <c r="D1" t="s">
        <v>94</v>
      </c>
    </row>
  </sheetData>
  <autoFilter ref="C1:D1" xr:uid="{3DDDA669-D7C6-418D-B7CA-8DE4A448FA09}">
    <sortState xmlns:xlrd2="http://schemas.microsoft.com/office/spreadsheetml/2017/richdata2" ref="C2:D11">
      <sortCondition ref="C1"/>
    </sortState>
  </autoFilter>
  <pageMargins left="0.511811024" right="0.511811024" top="0.78740157499999996" bottom="0.78740157499999996" header="0.31496062000000002" footer="0.31496062000000002"/>
  <pageSetup paperSize="9" orientation="portrait" r:id="rId1"/>
  <headerFooter>
    <oddFooter>&amp;R&amp;1#&amp;"Arial"&amp;10&amp;K000000Confidential C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FCF3F-04C1-46E4-BBD8-546509826463}">
  <sheetPr codeName="Planilha4"/>
  <dimension ref="A1:D2"/>
  <sheetViews>
    <sheetView workbookViewId="0">
      <selection activeCell="F17" sqref="F17"/>
    </sheetView>
  </sheetViews>
  <sheetFormatPr defaultRowHeight="15" x14ac:dyDescent="0.25"/>
  <cols>
    <col min="1" max="1" width="12" bestFit="1" customWidth="1"/>
    <col min="2" max="2" width="10.7109375" customWidth="1"/>
    <col min="3" max="3" width="21.85546875" customWidth="1"/>
    <col min="4" max="4" width="11" customWidth="1"/>
    <col min="8" max="8" width="12" bestFit="1" customWidth="1"/>
  </cols>
  <sheetData>
    <row r="1" spans="1:4" x14ac:dyDescent="0.25">
      <c r="A1" s="22" t="s">
        <v>1</v>
      </c>
      <c r="B1" s="21" t="s">
        <v>3</v>
      </c>
      <c r="C1" s="21" t="s">
        <v>4</v>
      </c>
      <c r="D1" s="23" t="s">
        <v>88</v>
      </c>
    </row>
    <row r="2" spans="1:4" x14ac:dyDescent="0.25">
      <c r="A2" s="13">
        <v>11576421202</v>
      </c>
      <c r="B2" s="25" t="s">
        <v>138</v>
      </c>
      <c r="C2" s="7" t="s">
        <v>139</v>
      </c>
      <c r="D2" s="14"/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&amp;R&amp;1#&amp;"Arial"&amp;10&amp;K000000Confidential C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C0D23-7D5D-4C1A-9410-B4892A010090}">
  <sheetPr codeName="Planilha2"/>
  <dimension ref="A1:J37"/>
  <sheetViews>
    <sheetView zoomScaleNormal="100" workbookViewId="0">
      <selection activeCell="A2" sqref="A2:C37"/>
    </sheetView>
  </sheetViews>
  <sheetFormatPr defaultRowHeight="15" x14ac:dyDescent="0.25"/>
  <cols>
    <col min="1" max="1" width="19.85546875" bestFit="1" customWidth="1"/>
    <col min="3" max="3" width="9.42578125" customWidth="1"/>
    <col min="6" max="6" width="11.5703125" bestFit="1" customWidth="1"/>
    <col min="7" max="7" width="14.140625" bestFit="1" customWidth="1"/>
    <col min="8" max="8" width="16.7109375" bestFit="1" customWidth="1"/>
    <col min="9" max="9" width="9.42578125" customWidth="1"/>
    <col min="10" max="10" width="18.85546875" bestFit="1" customWidth="1"/>
  </cols>
  <sheetData>
    <row r="1" spans="1:10" x14ac:dyDescent="0.25">
      <c r="A1" t="s">
        <v>6</v>
      </c>
      <c r="B1" t="s">
        <v>64</v>
      </c>
      <c r="C1" t="s">
        <v>7</v>
      </c>
      <c r="F1" s="1" t="s">
        <v>0</v>
      </c>
      <c r="G1" s="2" t="s">
        <v>69</v>
      </c>
      <c r="H1" s="2" t="s">
        <v>70</v>
      </c>
      <c r="I1" s="2" t="s">
        <v>7</v>
      </c>
      <c r="J1" s="3" t="s">
        <v>71</v>
      </c>
    </row>
    <row r="2" spans="1:10" x14ac:dyDescent="0.25">
      <c r="A2" s="7" t="s">
        <v>40</v>
      </c>
      <c r="B2" s="7" t="s">
        <v>11</v>
      </c>
      <c r="C2" s="7" t="s">
        <v>65</v>
      </c>
      <c r="F2" s="20"/>
      <c r="G2" s="6"/>
      <c r="H2" s="6"/>
      <c r="I2" s="6"/>
      <c r="J2" s="4"/>
    </row>
    <row r="3" spans="1:10" x14ac:dyDescent="0.25">
      <c r="A3" s="7" t="s">
        <v>41</v>
      </c>
      <c r="B3" s="7" t="s">
        <v>12</v>
      </c>
      <c r="C3" s="7" t="s">
        <v>65</v>
      </c>
    </row>
    <row r="4" spans="1:10" x14ac:dyDescent="0.25">
      <c r="A4" s="7" t="s">
        <v>42</v>
      </c>
      <c r="B4" s="7" t="s">
        <v>13</v>
      </c>
      <c r="C4" s="7" t="s">
        <v>65</v>
      </c>
    </row>
    <row r="5" spans="1:10" x14ac:dyDescent="0.25">
      <c r="A5" s="7" t="s">
        <v>43</v>
      </c>
      <c r="B5" s="7" t="s">
        <v>14</v>
      </c>
      <c r="C5" s="7" t="s">
        <v>65</v>
      </c>
    </row>
    <row r="6" spans="1:10" x14ac:dyDescent="0.25">
      <c r="A6" s="7" t="s">
        <v>44</v>
      </c>
      <c r="B6" s="7" t="s">
        <v>15</v>
      </c>
      <c r="C6" s="7" t="s">
        <v>65</v>
      </c>
    </row>
    <row r="7" spans="1:10" x14ac:dyDescent="0.25">
      <c r="A7" s="7" t="s">
        <v>45</v>
      </c>
      <c r="B7" s="7" t="s">
        <v>16</v>
      </c>
      <c r="C7" s="7" t="s">
        <v>65</v>
      </c>
    </row>
    <row r="8" spans="1:10" x14ac:dyDescent="0.25">
      <c r="A8" s="7" t="s">
        <v>37</v>
      </c>
      <c r="B8" s="7" t="s">
        <v>8</v>
      </c>
      <c r="C8" s="7" t="s">
        <v>65</v>
      </c>
    </row>
    <row r="9" spans="1:10" x14ac:dyDescent="0.25">
      <c r="A9" s="7" t="s">
        <v>46</v>
      </c>
      <c r="B9" s="7" t="s">
        <v>17</v>
      </c>
      <c r="C9" s="7" t="s">
        <v>65</v>
      </c>
    </row>
    <row r="10" spans="1:10" x14ac:dyDescent="0.25">
      <c r="A10" s="7" t="s">
        <v>89</v>
      </c>
      <c r="B10" s="7" t="s">
        <v>90</v>
      </c>
      <c r="C10" s="7" t="s">
        <v>91</v>
      </c>
    </row>
    <row r="11" spans="1:10" x14ac:dyDescent="0.25">
      <c r="A11" s="7" t="s">
        <v>95</v>
      </c>
      <c r="B11" s="7" t="s">
        <v>96</v>
      </c>
      <c r="C11" s="7" t="s">
        <v>91</v>
      </c>
    </row>
    <row r="12" spans="1:10" x14ac:dyDescent="0.25">
      <c r="A12" s="7" t="s">
        <v>86</v>
      </c>
      <c r="B12" s="7" t="s">
        <v>87</v>
      </c>
      <c r="C12" s="7" t="s">
        <v>65</v>
      </c>
    </row>
    <row r="13" spans="1:10" x14ac:dyDescent="0.25">
      <c r="A13" s="7" t="s">
        <v>47</v>
      </c>
      <c r="B13" s="7" t="s">
        <v>18</v>
      </c>
      <c r="C13" s="7" t="s">
        <v>65</v>
      </c>
    </row>
    <row r="14" spans="1:10" x14ac:dyDescent="0.25">
      <c r="A14" s="7" t="s">
        <v>55</v>
      </c>
      <c r="B14" s="7" t="s">
        <v>68</v>
      </c>
      <c r="C14" s="7" t="s">
        <v>67</v>
      </c>
    </row>
    <row r="15" spans="1:10" x14ac:dyDescent="0.25">
      <c r="A15" s="7" t="s">
        <v>48</v>
      </c>
      <c r="B15" s="7" t="s">
        <v>19</v>
      </c>
      <c r="C15" s="7" t="s">
        <v>65</v>
      </c>
    </row>
    <row r="16" spans="1:10" x14ac:dyDescent="0.25">
      <c r="A16" s="6" t="s">
        <v>92</v>
      </c>
      <c r="B16" s="6" t="s">
        <v>90</v>
      </c>
      <c r="C16" s="6" t="s">
        <v>91</v>
      </c>
    </row>
    <row r="17" spans="1:3" x14ac:dyDescent="0.25">
      <c r="A17" s="6" t="s">
        <v>56</v>
      </c>
      <c r="B17" s="6" t="s">
        <v>26</v>
      </c>
      <c r="C17" s="6" t="s">
        <v>67</v>
      </c>
    </row>
    <row r="18" spans="1:3" x14ac:dyDescent="0.25">
      <c r="A18" s="6" t="s">
        <v>57</v>
      </c>
      <c r="B18" s="6" t="s">
        <v>27</v>
      </c>
      <c r="C18" s="6" t="s">
        <v>67</v>
      </c>
    </row>
    <row r="19" spans="1:3" x14ac:dyDescent="0.25">
      <c r="A19" s="6" t="s">
        <v>52</v>
      </c>
      <c r="B19" s="6" t="s">
        <v>23</v>
      </c>
      <c r="C19" s="6" t="s">
        <v>66</v>
      </c>
    </row>
    <row r="20" spans="1:3" x14ac:dyDescent="0.25">
      <c r="A20" s="6" t="s">
        <v>38</v>
      </c>
      <c r="B20" s="6" t="s">
        <v>9</v>
      </c>
      <c r="C20" s="6" t="s">
        <v>65</v>
      </c>
    </row>
    <row r="21" spans="1:3" x14ac:dyDescent="0.25">
      <c r="A21" s="6" t="s">
        <v>58</v>
      </c>
      <c r="B21" s="6" t="s">
        <v>28</v>
      </c>
      <c r="C21" s="6" t="s">
        <v>67</v>
      </c>
    </row>
    <row r="22" spans="1:3" x14ac:dyDescent="0.25">
      <c r="A22" s="6" t="s">
        <v>49</v>
      </c>
      <c r="B22" s="6" t="s">
        <v>20</v>
      </c>
      <c r="C22" s="6" t="s">
        <v>65</v>
      </c>
    </row>
    <row r="23" spans="1:3" x14ac:dyDescent="0.25">
      <c r="A23" s="6" t="s">
        <v>39</v>
      </c>
      <c r="B23" s="6" t="s">
        <v>10</v>
      </c>
      <c r="C23" s="6" t="s">
        <v>65</v>
      </c>
    </row>
    <row r="24" spans="1:3" x14ac:dyDescent="0.25">
      <c r="A24" s="6" t="s">
        <v>101</v>
      </c>
      <c r="B24" s="6" t="s">
        <v>102</v>
      </c>
      <c r="C24" s="6" t="s">
        <v>65</v>
      </c>
    </row>
    <row r="25" spans="1:3" x14ac:dyDescent="0.25">
      <c r="A25" s="6" t="s">
        <v>59</v>
      </c>
      <c r="B25" s="6" t="s">
        <v>29</v>
      </c>
      <c r="C25" s="6" t="s">
        <v>67</v>
      </c>
    </row>
    <row r="26" spans="1:3" x14ac:dyDescent="0.25">
      <c r="A26" s="6" t="s">
        <v>97</v>
      </c>
      <c r="B26" s="6" t="s">
        <v>98</v>
      </c>
      <c r="C26" s="6" t="s">
        <v>65</v>
      </c>
    </row>
    <row r="27" spans="1:3" x14ac:dyDescent="0.25">
      <c r="A27" s="6" t="s">
        <v>60</v>
      </c>
      <c r="B27" s="6" t="s">
        <v>30</v>
      </c>
      <c r="C27" s="6" t="s">
        <v>67</v>
      </c>
    </row>
    <row r="28" spans="1:3" x14ac:dyDescent="0.25">
      <c r="A28" s="6" t="s">
        <v>50</v>
      </c>
      <c r="B28" s="6" t="s">
        <v>21</v>
      </c>
      <c r="C28" s="6" t="s">
        <v>65</v>
      </c>
    </row>
    <row r="29" spans="1:3" x14ac:dyDescent="0.25">
      <c r="A29" s="6" t="s">
        <v>61</v>
      </c>
      <c r="B29" s="6" t="s">
        <v>31</v>
      </c>
      <c r="C29" s="6" t="s">
        <v>67</v>
      </c>
    </row>
    <row r="30" spans="1:3" x14ac:dyDescent="0.25">
      <c r="A30" s="6" t="s">
        <v>53</v>
      </c>
      <c r="B30" s="6" t="s">
        <v>24</v>
      </c>
      <c r="C30" s="6" t="s">
        <v>66</v>
      </c>
    </row>
    <row r="31" spans="1:3" x14ac:dyDescent="0.25">
      <c r="A31" s="6" t="s">
        <v>99</v>
      </c>
      <c r="B31" s="6" t="s">
        <v>100</v>
      </c>
      <c r="C31" s="6" t="s">
        <v>65</v>
      </c>
    </row>
    <row r="32" spans="1:3" x14ac:dyDescent="0.25">
      <c r="A32" s="6" t="s">
        <v>62</v>
      </c>
      <c r="B32" s="6" t="s">
        <v>32</v>
      </c>
      <c r="C32" s="6" t="s">
        <v>67</v>
      </c>
    </row>
    <row r="33" spans="1:3" x14ac:dyDescent="0.25">
      <c r="A33" s="6" t="s">
        <v>33</v>
      </c>
      <c r="B33" s="6" t="s">
        <v>34</v>
      </c>
      <c r="C33" s="6" t="s">
        <v>67</v>
      </c>
    </row>
    <row r="34" spans="1:3" x14ac:dyDescent="0.25">
      <c r="A34" s="6" t="s">
        <v>51</v>
      </c>
      <c r="B34" s="6" t="s">
        <v>22</v>
      </c>
      <c r="C34" s="6" t="s">
        <v>65</v>
      </c>
    </row>
    <row r="35" spans="1:3" x14ac:dyDescent="0.25">
      <c r="A35" s="6" t="s">
        <v>5</v>
      </c>
      <c r="B35" s="6" t="s">
        <v>35</v>
      </c>
      <c r="C35" s="6" t="s">
        <v>67</v>
      </c>
    </row>
    <row r="36" spans="1:3" x14ac:dyDescent="0.25">
      <c r="A36" s="6" t="s">
        <v>54</v>
      </c>
      <c r="B36" s="6" t="s">
        <v>25</v>
      </c>
      <c r="C36" s="6" t="s">
        <v>66</v>
      </c>
    </row>
    <row r="37" spans="1:3" x14ac:dyDescent="0.25">
      <c r="A37" s="6" t="s">
        <v>63</v>
      </c>
      <c r="B37" s="6" t="s">
        <v>36</v>
      </c>
      <c r="C37" s="6" t="s">
        <v>67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&amp;R&amp;1#&amp;"Arial"&amp;10&amp;K000000Confidential C</oddFooter>
  </headerFooter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BE96751C985F04CBF921BD9C2B2C97C" ma:contentTypeVersion="14" ma:contentTypeDescription="Crie um novo documento." ma:contentTypeScope="" ma:versionID="1cee048b775f6fc384913ce57c500f87">
  <xsd:schema xmlns:xsd="http://www.w3.org/2001/XMLSchema" xmlns:xs="http://www.w3.org/2001/XMLSchema" xmlns:p="http://schemas.microsoft.com/office/2006/metadata/properties" xmlns:ns2="a0ad2597-0ae1-476a-9c92-a8f83f71bb54" xmlns:ns3="82f55aea-2a22-44ed-a928-1eb0cee4dc54" targetNamespace="http://schemas.microsoft.com/office/2006/metadata/properties" ma:root="true" ma:fieldsID="3d78a3bb01dd5736d015706237fae2a0" ns2:_="" ns3:_="">
    <xsd:import namespace="a0ad2597-0ae1-476a-9c92-a8f83f71bb54"/>
    <xsd:import namespace="82f55aea-2a22-44ed-a928-1eb0cee4dc5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ad2597-0ae1-476a-9c92-a8f83f71bb5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_Flow_SignoffStatus" ma:index="21" nillable="true" ma:displayName="Sign-off status" ma:internalName="Sign_x002d_off_x0020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f55aea-2a22-44ed-a928-1eb0cee4dc54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a0ad2597-0ae1-476a-9c92-a8f83f71bb5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6839C9D-3096-483E-B6A1-AC3187107B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ad2597-0ae1-476a-9c92-a8f83f71bb54"/>
    <ds:schemaRef ds:uri="82f55aea-2a22-44ed-a928-1eb0cee4dc5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A0E5055-CF97-488D-8D98-DA870F995CC9}">
  <ds:schemaRefs>
    <ds:schemaRef ds:uri="http://purl.org/dc/terms/"/>
    <ds:schemaRef ds:uri="http://schemas.openxmlformats.org/package/2006/metadata/core-properties"/>
    <ds:schemaRef ds:uri="a0ad2597-0ae1-476a-9c92-a8f83f71bb5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82f55aea-2a22-44ed-a928-1eb0cee4dc54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1D08D81-65CD-4B2D-9E81-14F9F252CED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Menu</vt:lpstr>
      <vt:lpstr>CriarPç</vt:lpstr>
      <vt:lpstr>ScrapAutorizado</vt:lpstr>
      <vt:lpstr>AnaNvl1</vt:lpstr>
      <vt:lpstr>Referencias</vt:lpstr>
      <vt:lpstr>Problema</vt:lpstr>
      <vt:lpstr>Reg.DHL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Apache POI</dc:creator>
  <cp:keywords/>
  <dc:description/>
  <cp:lastModifiedBy>SANTOS Matheus (renexter)</cp:lastModifiedBy>
  <cp:revision/>
  <dcterms:created xsi:type="dcterms:W3CDTF">2020-10-19T21:19:51Z</dcterms:created>
  <dcterms:modified xsi:type="dcterms:W3CDTF">2022-05-26T14:30:46Z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0x0101004BE96751C985F04CBF921BD9C2B2C97C</vt:lpwstr>
  </property>
  <property fmtid="{D5CDD505-2E9C-101B-9397-08002B2CF9AE}" pid="3" name="MSIP_Label_fd1c0902-ed92-4fed-896d-2e7725de02d4_Enabled">
    <vt:lpwstr>true</vt:lpwstr>
  </property>
  <property fmtid="{D5CDD505-2E9C-101B-9397-08002B2CF9AE}" pid="4" name="MSIP_Label_fd1c0902-ed92-4fed-896d-2e7725de02d4_SetDate">
    <vt:lpwstr>2022-05-26T13:54:45Z</vt:lpwstr>
  </property>
  <property fmtid="{D5CDD505-2E9C-101B-9397-08002B2CF9AE}" pid="5" name="MSIP_Label_fd1c0902-ed92-4fed-896d-2e7725de02d4_Method">
    <vt:lpwstr>Standard</vt:lpwstr>
  </property>
  <property fmtid="{D5CDD505-2E9C-101B-9397-08002B2CF9AE}" pid="6" name="MSIP_Label_fd1c0902-ed92-4fed-896d-2e7725de02d4_Name">
    <vt:lpwstr>Anyone (not protected)</vt:lpwstr>
  </property>
  <property fmtid="{D5CDD505-2E9C-101B-9397-08002B2CF9AE}" pid="7" name="MSIP_Label_fd1c0902-ed92-4fed-896d-2e7725de02d4_SiteId">
    <vt:lpwstr>d6b0bbee-7cd9-4d60-bce6-4a67b543e2ae</vt:lpwstr>
  </property>
  <property fmtid="{D5CDD505-2E9C-101B-9397-08002B2CF9AE}" pid="8" name="MSIP_Label_fd1c0902-ed92-4fed-896d-2e7725de02d4_ActionId">
    <vt:lpwstr>38d6a47e-1dab-475b-8b01-a577dbc24fc5</vt:lpwstr>
  </property>
  <property fmtid="{D5CDD505-2E9C-101B-9397-08002B2CF9AE}" pid="9" name="MSIP_Label_fd1c0902-ed92-4fed-896d-2e7725de02d4_ContentBits">
    <vt:lpwstr>2</vt:lpwstr>
  </property>
</Properties>
</file>